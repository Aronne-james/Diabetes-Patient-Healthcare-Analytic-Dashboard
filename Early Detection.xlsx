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Excel\Projects\"/>
    </mc:Choice>
  </mc:AlternateContent>
  <xr:revisionPtr revIDLastSave="0" documentId="13_ncr:1_{4312C7ED-DFEA-4D56-A291-B2EFA05F22F3}" xr6:coauthVersionLast="47" xr6:coauthVersionMax="47" xr10:uidLastSave="{00000000-0000-0000-0000-000000000000}"/>
  <bookViews>
    <workbookView xWindow="-120" yWindow="-120" windowWidth="24240" windowHeight="13140" activeTab="5" xr2:uid="{00000000-000D-0000-FFFF-FFFF00000000}"/>
  </bookViews>
  <sheets>
    <sheet name="Data set" sheetId="1" r:id="rId1"/>
    <sheet name="Brief" sheetId="2" r:id="rId2"/>
    <sheet name="Report" sheetId="3" r:id="rId3"/>
    <sheet name="PT" sheetId="5" r:id="rId4"/>
    <sheet name="Dashboard" sheetId="6" r:id="rId5"/>
    <sheet name="Recommendation" sheetId="7" r:id="rId6"/>
  </sheets>
  <definedNames>
    <definedName name="Slicer_Family_History">#N/A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A20" i="5"/>
  <c r="A12" i="5"/>
  <c r="A9" i="5"/>
  <c r="A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rchive (10)" description="Connection to the 'archive (10)' query in the workbook." type="5" refreshedVersion="6" background="1" saveData="1">
    <dbPr connection="Provider=Microsoft.Mashup.OleDb.1;Data Source=$Workbook$;Location=&quot;archive (10)&quot;;Extended Properties=&quot;&quot;" command="SELECT * FROM [archive (10)]"/>
  </connection>
  <connection id="2" xr16:uid="{00000000-0015-0000-FFFF-FFFF01000000}"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3" xr16:uid="{00000000-0015-0000-FFFF-FFFF02000000}" keepAlive="1" name="Query - Transform File from archive (10)" description="Connection to the 'Transform File from archive (10)' query in the workbook." type="5" refreshedVersion="0" background="1">
    <dbPr connection="Provider=Microsoft.Mashup.OleDb.1;Data Source=$Workbook$;Location=&quot;Transform File from archive (10)&quot;;Extended Properties=&quot;&quot;" command="SELECT * FROM [Transform File from archive (10)]"/>
  </connection>
</connections>
</file>

<file path=xl/sharedStrings.xml><?xml version="1.0" encoding="utf-8"?>
<sst xmlns="http://schemas.openxmlformats.org/spreadsheetml/2006/main" count="7337" uniqueCount="944">
  <si>
    <t>Male</t>
  </si>
  <si>
    <t>Sitagliptin</t>
  </si>
  <si>
    <t>134/86</t>
  </si>
  <si>
    <t>No</t>
  </si>
  <si>
    <t>Yes</t>
  </si>
  <si>
    <t>71 &amp; above</t>
  </si>
  <si>
    <t>Metformin</t>
  </si>
  <si>
    <t>102/64</t>
  </si>
  <si>
    <t>51-60</t>
  </si>
  <si>
    <t>Female</t>
  </si>
  <si>
    <t>Insulin</t>
  </si>
  <si>
    <t>92/80</t>
  </si>
  <si>
    <t>31-40</t>
  </si>
  <si>
    <t>115/73</t>
  </si>
  <si>
    <t>Glipizide</t>
  </si>
  <si>
    <t>121/73</t>
  </si>
  <si>
    <t>123/85</t>
  </si>
  <si>
    <t>0-30</t>
  </si>
  <si>
    <t>119/70</t>
  </si>
  <si>
    <t>120/83</t>
  </si>
  <si>
    <t>93/85</t>
  </si>
  <si>
    <t>61-70</t>
  </si>
  <si>
    <t>98/60</t>
  </si>
  <si>
    <t>41-50</t>
  </si>
  <si>
    <t>109/63</t>
  </si>
  <si>
    <t>101/60</t>
  </si>
  <si>
    <t>103/88</t>
  </si>
  <si>
    <t>122/84</t>
  </si>
  <si>
    <t>107/66</t>
  </si>
  <si>
    <t>137/70</t>
  </si>
  <si>
    <t>120/64</t>
  </si>
  <si>
    <t>123/64</t>
  </si>
  <si>
    <t>139/64</t>
  </si>
  <si>
    <t>137/82</t>
  </si>
  <si>
    <t>127/85</t>
  </si>
  <si>
    <t>140/83</t>
  </si>
  <si>
    <t>103/89</t>
  </si>
  <si>
    <t>94/62</t>
  </si>
  <si>
    <t>122/68</t>
  </si>
  <si>
    <t>131/89</t>
  </si>
  <si>
    <t>91/64</t>
  </si>
  <si>
    <t>119/89</t>
  </si>
  <si>
    <t>111/60</t>
  </si>
  <si>
    <t>123/87</t>
  </si>
  <si>
    <t>122/79</t>
  </si>
  <si>
    <t>105/75</t>
  </si>
  <si>
    <t>99/90</t>
  </si>
  <si>
    <t>91/67</t>
  </si>
  <si>
    <t>102/70</t>
  </si>
  <si>
    <t>113/85</t>
  </si>
  <si>
    <t>90/90</t>
  </si>
  <si>
    <t>92/82</t>
  </si>
  <si>
    <t>98/79</t>
  </si>
  <si>
    <t>90/79</t>
  </si>
  <si>
    <t>112/89</t>
  </si>
  <si>
    <t>105/79</t>
  </si>
  <si>
    <t>96/76</t>
  </si>
  <si>
    <t>91/60</t>
  </si>
  <si>
    <t>124/88</t>
  </si>
  <si>
    <t>127/90</t>
  </si>
  <si>
    <t>115/67</t>
  </si>
  <si>
    <t>109/82</t>
  </si>
  <si>
    <t>104/81</t>
  </si>
  <si>
    <t>114/71</t>
  </si>
  <si>
    <t>123/60</t>
  </si>
  <si>
    <t>124/63</t>
  </si>
  <si>
    <t>133/87</t>
  </si>
  <si>
    <t>122/88</t>
  </si>
  <si>
    <t>136/83</t>
  </si>
  <si>
    <t>96/75</t>
  </si>
  <si>
    <t>112/79</t>
  </si>
  <si>
    <t>129/88</t>
  </si>
  <si>
    <t>120/85</t>
  </si>
  <si>
    <t>95/73</t>
  </si>
  <si>
    <t>96/87</t>
  </si>
  <si>
    <t>97/69</t>
  </si>
  <si>
    <t>117/68</t>
  </si>
  <si>
    <t>111/74</t>
  </si>
  <si>
    <t>109/70</t>
  </si>
  <si>
    <t>108/66</t>
  </si>
  <si>
    <t>127/76</t>
  </si>
  <si>
    <t>135/86</t>
  </si>
  <si>
    <t>90/81</t>
  </si>
  <si>
    <t>138/80</t>
  </si>
  <si>
    <t>103/61</t>
  </si>
  <si>
    <t>138/71</t>
  </si>
  <si>
    <t>97/60</t>
  </si>
  <si>
    <t>96/68</t>
  </si>
  <si>
    <t>116/74</t>
  </si>
  <si>
    <t>116/79</t>
  </si>
  <si>
    <t>134/61</t>
  </si>
  <si>
    <t>117/86</t>
  </si>
  <si>
    <t>127/84</t>
  </si>
  <si>
    <t>135/71</t>
  </si>
  <si>
    <t>116/84</t>
  </si>
  <si>
    <t>103/76</t>
  </si>
  <si>
    <t>138/61</t>
  </si>
  <si>
    <t>98/90</t>
  </si>
  <si>
    <t>127/86</t>
  </si>
  <si>
    <t>119/75</t>
  </si>
  <si>
    <t>137/66</t>
  </si>
  <si>
    <t>117/88</t>
  </si>
  <si>
    <t>112/84</t>
  </si>
  <si>
    <t>112/83</t>
  </si>
  <si>
    <t>136/73</t>
  </si>
  <si>
    <t>117/84</t>
  </si>
  <si>
    <t>102/81</t>
  </si>
  <si>
    <t>93/90</t>
  </si>
  <si>
    <t>128/78</t>
  </si>
  <si>
    <t>137/65</t>
  </si>
  <si>
    <t>110/68</t>
  </si>
  <si>
    <t>123/71</t>
  </si>
  <si>
    <t>102/85</t>
  </si>
  <si>
    <t>124/89</t>
  </si>
  <si>
    <t>118/64</t>
  </si>
  <si>
    <t>132/73</t>
  </si>
  <si>
    <t>128/79</t>
  </si>
  <si>
    <t>92/72</t>
  </si>
  <si>
    <t>134/60</t>
  </si>
  <si>
    <t>111/77</t>
  </si>
  <si>
    <t>95/84</t>
  </si>
  <si>
    <t>137/85</t>
  </si>
  <si>
    <t>96/71</t>
  </si>
  <si>
    <t>100/65</t>
  </si>
  <si>
    <t>98/85</t>
  </si>
  <si>
    <t>134/79</t>
  </si>
  <si>
    <t>93/89</t>
  </si>
  <si>
    <t>93/86</t>
  </si>
  <si>
    <t>113/75</t>
  </si>
  <si>
    <t>101/84</t>
  </si>
  <si>
    <t>140/61</t>
  </si>
  <si>
    <t>133/82</t>
  </si>
  <si>
    <t>131/81</t>
  </si>
  <si>
    <t>110/73</t>
  </si>
  <si>
    <t>121/62</t>
  </si>
  <si>
    <t>139/84</t>
  </si>
  <si>
    <t>109/83</t>
  </si>
  <si>
    <t>125/77</t>
  </si>
  <si>
    <t>90/74</t>
  </si>
  <si>
    <t>127/60</t>
  </si>
  <si>
    <t>93/73</t>
  </si>
  <si>
    <t>97/67</t>
  </si>
  <si>
    <t>93/76</t>
  </si>
  <si>
    <t>115/71</t>
  </si>
  <si>
    <t>106/64</t>
  </si>
  <si>
    <t>107/72</t>
  </si>
  <si>
    <t>91/71</t>
  </si>
  <si>
    <t>133/86</t>
  </si>
  <si>
    <t>115/68</t>
  </si>
  <si>
    <t>116/73</t>
  </si>
  <si>
    <t>117/72</t>
  </si>
  <si>
    <t>114/75</t>
  </si>
  <si>
    <t>140/71</t>
  </si>
  <si>
    <t>114/78</t>
  </si>
  <si>
    <t>116/69</t>
  </si>
  <si>
    <t>108/88</t>
  </si>
  <si>
    <t>131/63</t>
  </si>
  <si>
    <t>117/63</t>
  </si>
  <si>
    <t>115/66</t>
  </si>
  <si>
    <t>124/90</t>
  </si>
  <si>
    <t>100/76</t>
  </si>
  <si>
    <t>91/70</t>
  </si>
  <si>
    <t>109/85</t>
  </si>
  <si>
    <t>139/68</t>
  </si>
  <si>
    <t>136/69</t>
  </si>
  <si>
    <t>137/79</t>
  </si>
  <si>
    <t>105/80</t>
  </si>
  <si>
    <t>102/89</t>
  </si>
  <si>
    <t>91/62</t>
  </si>
  <si>
    <t>116/61</t>
  </si>
  <si>
    <t>118/62</t>
  </si>
  <si>
    <t>120/71</t>
  </si>
  <si>
    <t>133/79</t>
  </si>
  <si>
    <t>117/82</t>
  </si>
  <si>
    <t>130/63</t>
  </si>
  <si>
    <t>113/71</t>
  </si>
  <si>
    <t>111/64</t>
  </si>
  <si>
    <t>97/80</t>
  </si>
  <si>
    <t>125/62</t>
  </si>
  <si>
    <t>127/78</t>
  </si>
  <si>
    <t>93/64</t>
  </si>
  <si>
    <t>104/79</t>
  </si>
  <si>
    <t>101/82</t>
  </si>
  <si>
    <t>130/84</t>
  </si>
  <si>
    <t>106/68</t>
  </si>
  <si>
    <t>128/76</t>
  </si>
  <si>
    <t>116/83</t>
  </si>
  <si>
    <t>104/75</t>
  </si>
  <si>
    <t>96/64</t>
  </si>
  <si>
    <t>114/76</t>
  </si>
  <si>
    <t>110/63</t>
  </si>
  <si>
    <t>127/63</t>
  </si>
  <si>
    <t>105/81</t>
  </si>
  <si>
    <t>92/90</t>
  </si>
  <si>
    <t>115/63</t>
  </si>
  <si>
    <t>105/69</t>
  </si>
  <si>
    <t>134/72</t>
  </si>
  <si>
    <t>137/69</t>
  </si>
  <si>
    <t>137/77</t>
  </si>
  <si>
    <t>127/79</t>
  </si>
  <si>
    <t>94/89</t>
  </si>
  <si>
    <t>92/85</t>
  </si>
  <si>
    <t>132/66</t>
  </si>
  <si>
    <t>121/76</t>
  </si>
  <si>
    <t>115/80</t>
  </si>
  <si>
    <t>119/81</t>
  </si>
  <si>
    <t>94/87</t>
  </si>
  <si>
    <t>99/82</t>
  </si>
  <si>
    <t>121/66</t>
  </si>
  <si>
    <t>120/87</t>
  </si>
  <si>
    <t>116/89</t>
  </si>
  <si>
    <t>122/75</t>
  </si>
  <si>
    <t>136/86</t>
  </si>
  <si>
    <t>122/67</t>
  </si>
  <si>
    <t>131/61</t>
  </si>
  <si>
    <t>121/90</t>
  </si>
  <si>
    <t>101/74</t>
  </si>
  <si>
    <t>118/90</t>
  </si>
  <si>
    <t>104/63</t>
  </si>
  <si>
    <t>100/84</t>
  </si>
  <si>
    <t>124/71</t>
  </si>
  <si>
    <t>125/75</t>
  </si>
  <si>
    <t>123/65</t>
  </si>
  <si>
    <t>108/81</t>
  </si>
  <si>
    <t>100/60</t>
  </si>
  <si>
    <t>115/79</t>
  </si>
  <si>
    <t>137/67</t>
  </si>
  <si>
    <t>135/84</t>
  </si>
  <si>
    <t>125/63</t>
  </si>
  <si>
    <t>131/71</t>
  </si>
  <si>
    <t>121/82</t>
  </si>
  <si>
    <t>103/84</t>
  </si>
  <si>
    <t>96/74</t>
  </si>
  <si>
    <t>99/68</t>
  </si>
  <si>
    <t>135/90</t>
  </si>
  <si>
    <t>98/89</t>
  </si>
  <si>
    <t>137/75</t>
  </si>
  <si>
    <t>104/66</t>
  </si>
  <si>
    <t>116/75</t>
  </si>
  <si>
    <t>133/70</t>
  </si>
  <si>
    <t>118/67</t>
  </si>
  <si>
    <t>105/67</t>
  </si>
  <si>
    <t>138/70</t>
  </si>
  <si>
    <t>110/86</t>
  </si>
  <si>
    <t>94/60</t>
  </si>
  <si>
    <t>94/72</t>
  </si>
  <si>
    <t>129/73</t>
  </si>
  <si>
    <t>108/64</t>
  </si>
  <si>
    <t>93/78</t>
  </si>
  <si>
    <t>117/62</t>
  </si>
  <si>
    <t>100/80</t>
  </si>
  <si>
    <t>114/61</t>
  </si>
  <si>
    <t>137/62</t>
  </si>
  <si>
    <t>99/74</t>
  </si>
  <si>
    <t>134/66</t>
  </si>
  <si>
    <t>102/88</t>
  </si>
  <si>
    <t>94/64</t>
  </si>
  <si>
    <t>139/81</t>
  </si>
  <si>
    <t>101/71</t>
  </si>
  <si>
    <t>136/85</t>
  </si>
  <si>
    <t>111/90</t>
  </si>
  <si>
    <t>121/67</t>
  </si>
  <si>
    <t>94/82</t>
  </si>
  <si>
    <t>103/78</t>
  </si>
  <si>
    <t>113/72</t>
  </si>
  <si>
    <t>120/68</t>
  </si>
  <si>
    <t>118/81</t>
  </si>
  <si>
    <t>130/89</t>
  </si>
  <si>
    <t>97/73</t>
  </si>
  <si>
    <t>136/78</t>
  </si>
  <si>
    <t>116/77</t>
  </si>
  <si>
    <t>113/83</t>
  </si>
  <si>
    <t>121/83</t>
  </si>
  <si>
    <t>130/71</t>
  </si>
  <si>
    <t>114/69</t>
  </si>
  <si>
    <t>110/60</t>
  </si>
  <si>
    <t>110/90</t>
  </si>
  <si>
    <t>104/77</t>
  </si>
  <si>
    <t>140/78</t>
  </si>
  <si>
    <t>125/71</t>
  </si>
  <si>
    <t>103/71</t>
  </si>
  <si>
    <t>125/83</t>
  </si>
  <si>
    <t>124/77</t>
  </si>
  <si>
    <t>124/87</t>
  </si>
  <si>
    <t>106/80</t>
  </si>
  <si>
    <t>96/67</t>
  </si>
  <si>
    <t>112/68</t>
  </si>
  <si>
    <t>103/85</t>
  </si>
  <si>
    <t>131/77</t>
  </si>
  <si>
    <t>113/78</t>
  </si>
  <si>
    <t>97/71</t>
  </si>
  <si>
    <t>118/80</t>
  </si>
  <si>
    <t>130/78</t>
  </si>
  <si>
    <t>135/82</t>
  </si>
  <si>
    <t>94/66</t>
  </si>
  <si>
    <t>129/63</t>
  </si>
  <si>
    <t>98/62</t>
  </si>
  <si>
    <t>140/85</t>
  </si>
  <si>
    <t>123/88</t>
  </si>
  <si>
    <t>139/74</t>
  </si>
  <si>
    <t>95/60</t>
  </si>
  <si>
    <t>104/72</t>
  </si>
  <si>
    <t>104/73</t>
  </si>
  <si>
    <t>116/82</t>
  </si>
  <si>
    <t>116/72</t>
  </si>
  <si>
    <t>136/63</t>
  </si>
  <si>
    <t>96/66</t>
  </si>
  <si>
    <t>97/68</t>
  </si>
  <si>
    <t>101/62</t>
  </si>
  <si>
    <t>126/60</t>
  </si>
  <si>
    <t>106/83</t>
  </si>
  <si>
    <t>113/68</t>
  </si>
  <si>
    <t>140/66</t>
  </si>
  <si>
    <t>138/78</t>
  </si>
  <si>
    <t>132/71</t>
  </si>
  <si>
    <t>98/83</t>
  </si>
  <si>
    <t>139/86</t>
  </si>
  <si>
    <t>105/74</t>
  </si>
  <si>
    <t>116/85</t>
  </si>
  <si>
    <t>102/86</t>
  </si>
  <si>
    <t>100/82</t>
  </si>
  <si>
    <t>90/85</t>
  </si>
  <si>
    <t>133/75</t>
  </si>
  <si>
    <t>99/72</t>
  </si>
  <si>
    <t>95/67</t>
  </si>
  <si>
    <t>132/60</t>
  </si>
  <si>
    <t>113/70</t>
  </si>
  <si>
    <t>111/65</t>
  </si>
  <si>
    <t>130/70</t>
  </si>
  <si>
    <t>133/69</t>
  </si>
  <si>
    <t>114/67</t>
  </si>
  <si>
    <t>99/61</t>
  </si>
  <si>
    <t>134/71</t>
  </si>
  <si>
    <t>125/72</t>
  </si>
  <si>
    <t>107/84</t>
  </si>
  <si>
    <t>99/70</t>
  </si>
  <si>
    <t>110/78</t>
  </si>
  <si>
    <t>125/73</t>
  </si>
  <si>
    <t>108/61</t>
  </si>
  <si>
    <t>132/86</t>
  </si>
  <si>
    <t>95/78</t>
  </si>
  <si>
    <t>97/65</t>
  </si>
  <si>
    <t>139/61</t>
  </si>
  <si>
    <t>105/70</t>
  </si>
  <si>
    <t>100/64</t>
  </si>
  <si>
    <t>115/81</t>
  </si>
  <si>
    <t>132/85</t>
  </si>
  <si>
    <t>134/65</t>
  </si>
  <si>
    <t>110/84</t>
  </si>
  <si>
    <t>94/85</t>
  </si>
  <si>
    <t>107/69</t>
  </si>
  <si>
    <t>109/79</t>
  </si>
  <si>
    <t>115/70</t>
  </si>
  <si>
    <t>126/64</t>
  </si>
  <si>
    <t>129/82</t>
  </si>
  <si>
    <t>139/63</t>
  </si>
  <si>
    <t>109/80</t>
  </si>
  <si>
    <t>102/83</t>
  </si>
  <si>
    <t>101/79</t>
  </si>
  <si>
    <t>139/73</t>
  </si>
  <si>
    <t>90/76</t>
  </si>
  <si>
    <t>115/60</t>
  </si>
  <si>
    <t>135/77</t>
  </si>
  <si>
    <t>131/73</t>
  </si>
  <si>
    <t>120/75</t>
  </si>
  <si>
    <t>124/66</t>
  </si>
  <si>
    <t>117/87</t>
  </si>
  <si>
    <t>119/79</t>
  </si>
  <si>
    <t>127/75</t>
  </si>
  <si>
    <t>127/87</t>
  </si>
  <si>
    <t>130/82</t>
  </si>
  <si>
    <t>93/83</t>
  </si>
  <si>
    <t>116/67</t>
  </si>
  <si>
    <t>121/85</t>
  </si>
  <si>
    <t>96/62</t>
  </si>
  <si>
    <t>129/65</t>
  </si>
  <si>
    <t>90/84</t>
  </si>
  <si>
    <t>90/70</t>
  </si>
  <si>
    <t>117/90</t>
  </si>
  <si>
    <t>97/62</t>
  </si>
  <si>
    <t>139/70</t>
  </si>
  <si>
    <t>117/73</t>
  </si>
  <si>
    <t>138/69</t>
  </si>
  <si>
    <t>129/85</t>
  </si>
  <si>
    <t>129/75</t>
  </si>
  <si>
    <t>134/63</t>
  </si>
  <si>
    <t>93/77</t>
  </si>
  <si>
    <t>140/73</t>
  </si>
  <si>
    <t>99/83</t>
  </si>
  <si>
    <t>122/60</t>
  </si>
  <si>
    <t>122/71</t>
  </si>
  <si>
    <t>106/89</t>
  </si>
  <si>
    <t>115/78</t>
  </si>
  <si>
    <t>93/61</t>
  </si>
  <si>
    <t>104/67</t>
  </si>
  <si>
    <t>137/68</t>
  </si>
  <si>
    <t>122/83</t>
  </si>
  <si>
    <t>138/85</t>
  </si>
  <si>
    <t>117/74</t>
  </si>
  <si>
    <t>93/65</t>
  </si>
  <si>
    <t>99/86</t>
  </si>
  <si>
    <t>119/68</t>
  </si>
  <si>
    <t>101/75</t>
  </si>
  <si>
    <t>126/70</t>
  </si>
  <si>
    <t>108/87</t>
  </si>
  <si>
    <t>90/62</t>
  </si>
  <si>
    <t>118/72</t>
  </si>
  <si>
    <t>102/71</t>
  </si>
  <si>
    <t>90/69</t>
  </si>
  <si>
    <t>104/85</t>
  </si>
  <si>
    <t>101/77</t>
  </si>
  <si>
    <t>111/72</t>
  </si>
  <si>
    <t>113/66</t>
  </si>
  <si>
    <t>91/74</t>
  </si>
  <si>
    <t>93/74</t>
  </si>
  <si>
    <t>126/87</t>
  </si>
  <si>
    <t>90/65</t>
  </si>
  <si>
    <t>112/71</t>
  </si>
  <si>
    <t>99/87</t>
  </si>
  <si>
    <t>119/64</t>
  </si>
  <si>
    <t>131/88</t>
  </si>
  <si>
    <t>98/70</t>
  </si>
  <si>
    <t>118/66</t>
  </si>
  <si>
    <t>119/85</t>
  </si>
  <si>
    <t>121/70</t>
  </si>
  <si>
    <t>132/83</t>
  </si>
  <si>
    <t>117/79</t>
  </si>
  <si>
    <t>126/75</t>
  </si>
  <si>
    <t>132/69</t>
  </si>
  <si>
    <t>125/76</t>
  </si>
  <si>
    <t>105/77</t>
  </si>
  <si>
    <t>108/72</t>
  </si>
  <si>
    <t>108/80</t>
  </si>
  <si>
    <t>139/60</t>
  </si>
  <si>
    <t>140/87</t>
  </si>
  <si>
    <t>126/76</t>
  </si>
  <si>
    <t>103/63</t>
  </si>
  <si>
    <t>132/88</t>
  </si>
  <si>
    <t>104/87</t>
  </si>
  <si>
    <t>99/88</t>
  </si>
  <si>
    <t>105/62</t>
  </si>
  <si>
    <t>129/83</t>
  </si>
  <si>
    <t>121/79</t>
  </si>
  <si>
    <t>95/83</t>
  </si>
  <si>
    <t>100/88</t>
  </si>
  <si>
    <t>110/75</t>
  </si>
  <si>
    <t>126/77</t>
  </si>
  <si>
    <t>134/69</t>
  </si>
  <si>
    <t>112/76</t>
  </si>
  <si>
    <t>124/74</t>
  </si>
  <si>
    <t>110/64</t>
  </si>
  <si>
    <t>110/67</t>
  </si>
  <si>
    <t>133/89</t>
  </si>
  <si>
    <t>108/78</t>
  </si>
  <si>
    <t>95/79</t>
  </si>
  <si>
    <t>108/71</t>
  </si>
  <si>
    <t>106/78</t>
  </si>
  <si>
    <t>96/77</t>
  </si>
  <si>
    <t>111/73</t>
  </si>
  <si>
    <t>102/90</t>
  </si>
  <si>
    <t>105/88</t>
  </si>
  <si>
    <t>95/88</t>
  </si>
  <si>
    <t>110/74</t>
  </si>
  <si>
    <t>134/83</t>
  </si>
  <si>
    <t>119/60</t>
  </si>
  <si>
    <t>105/85</t>
  </si>
  <si>
    <t>121/80</t>
  </si>
  <si>
    <t>127/70</t>
  </si>
  <si>
    <t>92/64</t>
  </si>
  <si>
    <t>105/87</t>
  </si>
  <si>
    <t>92/78</t>
  </si>
  <si>
    <t>98/67</t>
  </si>
  <si>
    <t>109/88</t>
  </si>
  <si>
    <t>128/68</t>
  </si>
  <si>
    <t>93/88</t>
  </si>
  <si>
    <t>123/62</t>
  </si>
  <si>
    <t>137/86</t>
  </si>
  <si>
    <t>119/80</t>
  </si>
  <si>
    <t>123/86</t>
  </si>
  <si>
    <t>95/87</t>
  </si>
  <si>
    <t>139/66</t>
  </si>
  <si>
    <t>110/61</t>
  </si>
  <si>
    <t>132/79</t>
  </si>
  <si>
    <t>126/68</t>
  </si>
  <si>
    <t>139/80</t>
  </si>
  <si>
    <t>124/82</t>
  </si>
  <si>
    <t>90/71</t>
  </si>
  <si>
    <t>119/86</t>
  </si>
  <si>
    <t>120/65</t>
  </si>
  <si>
    <t>92/77</t>
  </si>
  <si>
    <t>134/70</t>
  </si>
  <si>
    <t>122/66</t>
  </si>
  <si>
    <t>97/64</t>
  </si>
  <si>
    <t>126/66</t>
  </si>
  <si>
    <t>102/65</t>
  </si>
  <si>
    <t>126/61</t>
  </si>
  <si>
    <t>113/69</t>
  </si>
  <si>
    <t>138/90</t>
  </si>
  <si>
    <t>102/72</t>
  </si>
  <si>
    <t>118/84</t>
  </si>
  <si>
    <t>123/82</t>
  </si>
  <si>
    <t>106/62</t>
  </si>
  <si>
    <t>120/78</t>
  </si>
  <si>
    <t>109/72</t>
  </si>
  <si>
    <t>126/65</t>
  </si>
  <si>
    <t>91/65</t>
  </si>
  <si>
    <t>136/74</t>
  </si>
  <si>
    <t>130/67</t>
  </si>
  <si>
    <t>101/72</t>
  </si>
  <si>
    <t>135/66</t>
  </si>
  <si>
    <t>103/74</t>
  </si>
  <si>
    <t>116/62</t>
  </si>
  <si>
    <t>108/85</t>
  </si>
  <si>
    <t>121/65</t>
  </si>
  <si>
    <t>135/83</t>
  </si>
  <si>
    <t>136/68</t>
  </si>
  <si>
    <t>113/86</t>
  </si>
  <si>
    <t>106/82</t>
  </si>
  <si>
    <t>124/85</t>
  </si>
  <si>
    <t>105/78</t>
  </si>
  <si>
    <t>91/61</t>
  </si>
  <si>
    <t>112/66</t>
  </si>
  <si>
    <t>100/78</t>
  </si>
  <si>
    <t>108/62</t>
  </si>
  <si>
    <t>100/89</t>
  </si>
  <si>
    <t>136/87</t>
  </si>
  <si>
    <t>137/80</t>
  </si>
  <si>
    <t>92/84</t>
  </si>
  <si>
    <t>138/64</t>
  </si>
  <si>
    <t>103/60</t>
  </si>
  <si>
    <t>104/61</t>
  </si>
  <si>
    <t>112/62</t>
  </si>
  <si>
    <t>126/67</t>
  </si>
  <si>
    <t>134/73</t>
  </si>
  <si>
    <t>96/78</t>
  </si>
  <si>
    <t>107/65</t>
  </si>
  <si>
    <t>111/61</t>
  </si>
  <si>
    <t>99/73</t>
  </si>
  <si>
    <t>108/77</t>
  </si>
  <si>
    <t>122/77</t>
  </si>
  <si>
    <t>104/64</t>
  </si>
  <si>
    <t>136/60</t>
  </si>
  <si>
    <t>122/86</t>
  </si>
  <si>
    <t>90/72</t>
  </si>
  <si>
    <t>111/87</t>
  </si>
  <si>
    <t>117/89</t>
  </si>
  <si>
    <t>95/77</t>
  </si>
  <si>
    <t>130/66</t>
  </si>
  <si>
    <t>107/62</t>
  </si>
  <si>
    <t>140/62</t>
  </si>
  <si>
    <t>95/62</t>
  </si>
  <si>
    <t>132/74</t>
  </si>
  <si>
    <t>115/89</t>
  </si>
  <si>
    <t>99/89</t>
  </si>
  <si>
    <t>92/74</t>
  </si>
  <si>
    <t>104/65</t>
  </si>
  <si>
    <t>135/76</t>
  </si>
  <si>
    <t>119/87</t>
  </si>
  <si>
    <t>130/87</t>
  </si>
  <si>
    <t>105/73</t>
  </si>
  <si>
    <t>94/90</t>
  </si>
  <si>
    <t>105/84</t>
  </si>
  <si>
    <t>110/65</t>
  </si>
  <si>
    <t>113/62</t>
  </si>
  <si>
    <t>114/62</t>
  </si>
  <si>
    <t>97/75</t>
  </si>
  <si>
    <t>91/81</t>
  </si>
  <si>
    <t>101/87</t>
  </si>
  <si>
    <t>109/71</t>
  </si>
  <si>
    <t>129/64</t>
  </si>
  <si>
    <t>126/62</t>
  </si>
  <si>
    <t>97/77</t>
  </si>
  <si>
    <t>126/90</t>
  </si>
  <si>
    <t>110/66</t>
  </si>
  <si>
    <t>103/81</t>
  </si>
  <si>
    <t>111/75</t>
  </si>
  <si>
    <t>130/85</t>
  </si>
  <si>
    <t>139/76</t>
  </si>
  <si>
    <t>118/68</t>
  </si>
  <si>
    <t>90/80</t>
  </si>
  <si>
    <t>92/86</t>
  </si>
  <si>
    <t>102/76</t>
  </si>
  <si>
    <t>93/72</t>
  </si>
  <si>
    <t>139/85</t>
  </si>
  <si>
    <t>134/89</t>
  </si>
  <si>
    <t>111/88</t>
  </si>
  <si>
    <t>113/80</t>
  </si>
  <si>
    <t>111/71</t>
  </si>
  <si>
    <t>90/64</t>
  </si>
  <si>
    <t>117/77</t>
  </si>
  <si>
    <t>118/71</t>
  </si>
  <si>
    <t>118/89</t>
  </si>
  <si>
    <t>111/82</t>
  </si>
  <si>
    <t>92/75</t>
  </si>
  <si>
    <t>98/69</t>
  </si>
  <si>
    <t>110/81</t>
  </si>
  <si>
    <t>137/84</t>
  </si>
  <si>
    <t>117/76</t>
  </si>
  <si>
    <t>110/79</t>
  </si>
  <si>
    <t>122/65</t>
  </si>
  <si>
    <t>103/72</t>
  </si>
  <si>
    <t>130/74</t>
  </si>
  <si>
    <t>113/60</t>
  </si>
  <si>
    <t>102/80</t>
  </si>
  <si>
    <t>135/73</t>
  </si>
  <si>
    <t>96/63</t>
  </si>
  <si>
    <t>122/72</t>
  </si>
  <si>
    <t>132/87</t>
  </si>
  <si>
    <t>138/66</t>
  </si>
  <si>
    <t>126/73</t>
  </si>
  <si>
    <t>115/90</t>
  </si>
  <si>
    <t>90/67</t>
  </si>
  <si>
    <t>110/88</t>
  </si>
  <si>
    <t>108/75</t>
  </si>
  <si>
    <t>128/70</t>
  </si>
  <si>
    <t>138/72</t>
  </si>
  <si>
    <t>134/82</t>
  </si>
  <si>
    <t>139/69</t>
  </si>
  <si>
    <t>91/83</t>
  </si>
  <si>
    <t>107/86</t>
  </si>
  <si>
    <t>129/80</t>
  </si>
  <si>
    <t>114/63</t>
  </si>
  <si>
    <t>129/77</t>
  </si>
  <si>
    <t>131/76</t>
  </si>
  <si>
    <t>102/60</t>
  </si>
  <si>
    <t>97/72</t>
  </si>
  <si>
    <t>126/74</t>
  </si>
  <si>
    <t>114/89</t>
  </si>
  <si>
    <t>127/65</t>
  </si>
  <si>
    <t>96/60</t>
  </si>
  <si>
    <t>136/84</t>
  </si>
  <si>
    <t>95/86</t>
  </si>
  <si>
    <t>134/80</t>
  </si>
  <si>
    <t>124/83</t>
  </si>
  <si>
    <t>132/65</t>
  </si>
  <si>
    <t>102/75</t>
  </si>
  <si>
    <t>111/89</t>
  </si>
  <si>
    <t>129/87</t>
  </si>
  <si>
    <t>140/60</t>
  </si>
  <si>
    <t>90/89</t>
  </si>
  <si>
    <t>113/88</t>
  </si>
  <si>
    <t>140/64</t>
  </si>
  <si>
    <t>94/67</t>
  </si>
  <si>
    <t>115/72</t>
  </si>
  <si>
    <t>137/78</t>
  </si>
  <si>
    <t>92/81</t>
  </si>
  <si>
    <t>95/70</t>
  </si>
  <si>
    <t>115/64</t>
  </si>
  <si>
    <t>132/75</t>
  </si>
  <si>
    <t>111/67</t>
  </si>
  <si>
    <t>120/81</t>
  </si>
  <si>
    <t>105/68</t>
  </si>
  <si>
    <t>96/88</t>
  </si>
  <si>
    <t>95/68</t>
  </si>
  <si>
    <t>104/84</t>
  </si>
  <si>
    <t>131/60</t>
  </si>
  <si>
    <t>110/77</t>
  </si>
  <si>
    <t>94/73</t>
  </si>
  <si>
    <t>113/67</t>
  </si>
  <si>
    <t>116/88</t>
  </si>
  <si>
    <t>110/87</t>
  </si>
  <si>
    <t>107/61</t>
  </si>
  <si>
    <t>124/76</t>
  </si>
  <si>
    <t>103/64</t>
  </si>
  <si>
    <t>110/83</t>
  </si>
  <si>
    <t>133/65</t>
  </si>
  <si>
    <t>132/81</t>
  </si>
  <si>
    <t>111/76</t>
  </si>
  <si>
    <t>111/70</t>
  </si>
  <si>
    <t>92/79</t>
  </si>
  <si>
    <t>100/68</t>
  </si>
  <si>
    <t>98/82</t>
  </si>
  <si>
    <t>123/68</t>
  </si>
  <si>
    <t>128/90</t>
  </si>
  <si>
    <t>103/66</t>
  </si>
  <si>
    <t>119/77</t>
  </si>
  <si>
    <t>129/61</t>
  </si>
  <si>
    <t>109/74</t>
  </si>
  <si>
    <t>114/72</t>
  </si>
  <si>
    <t>110/76</t>
  </si>
  <si>
    <t>128/75</t>
  </si>
  <si>
    <t>130/75</t>
  </si>
  <si>
    <t>140/86</t>
  </si>
  <si>
    <t>92/63</t>
  </si>
  <si>
    <t>92/65</t>
  </si>
  <si>
    <t>99/84</t>
  </si>
  <si>
    <t>121/60</t>
  </si>
  <si>
    <t>134/76</t>
  </si>
  <si>
    <t>133/74</t>
  </si>
  <si>
    <t>98/66</t>
  </si>
  <si>
    <t>139/65</t>
  </si>
  <si>
    <t>110/69</t>
  </si>
  <si>
    <t>116/63</t>
  </si>
  <si>
    <t>128/61</t>
  </si>
  <si>
    <t>121/75</t>
  </si>
  <si>
    <t>121/63</t>
  </si>
  <si>
    <t>119/66</t>
  </si>
  <si>
    <t>132/84</t>
  </si>
  <si>
    <t>118/87</t>
  </si>
  <si>
    <t>124/81</t>
  </si>
  <si>
    <t>118/86</t>
  </si>
  <si>
    <t>116/65</t>
  </si>
  <si>
    <t>132/61</t>
  </si>
  <si>
    <t>133/80</t>
  </si>
  <si>
    <t>98/74</t>
  </si>
  <si>
    <t>112/75</t>
  </si>
  <si>
    <t>99/71</t>
  </si>
  <si>
    <t>106/75</t>
  </si>
  <si>
    <t>130/68</t>
  </si>
  <si>
    <t>136/77</t>
  </si>
  <si>
    <t>117/85</t>
  </si>
  <si>
    <t>106/88</t>
  </si>
  <si>
    <t>112/78</t>
  </si>
  <si>
    <t>113/79</t>
  </si>
  <si>
    <t>105/64</t>
  </si>
  <si>
    <t>129/71</t>
  </si>
  <si>
    <t>125/89</t>
  </si>
  <si>
    <t>90/87</t>
  </si>
  <si>
    <t>115/76</t>
  </si>
  <si>
    <t>120/73</t>
  </si>
  <si>
    <t>113/76</t>
  </si>
  <si>
    <t>135/87</t>
  </si>
  <si>
    <t>115/85</t>
  </si>
  <si>
    <t>112/70</t>
  </si>
  <si>
    <t>91/88</t>
  </si>
  <si>
    <t>128/85</t>
  </si>
  <si>
    <t>113/77</t>
  </si>
  <si>
    <t>112/80</t>
  </si>
  <si>
    <t>119/69</t>
  </si>
  <si>
    <t>91/66</t>
  </si>
  <si>
    <t>103/75</t>
  </si>
  <si>
    <t>96/65</t>
  </si>
  <si>
    <t>102/84</t>
  </si>
  <si>
    <t>105/82</t>
  </si>
  <si>
    <t>128/88</t>
  </si>
  <si>
    <t>125/61</t>
  </si>
  <si>
    <t>93/63</t>
  </si>
  <si>
    <t>101/88</t>
  </si>
  <si>
    <t>128/66</t>
  </si>
  <si>
    <t>127/66</t>
  </si>
  <si>
    <t>111/63</t>
  </si>
  <si>
    <t>140/67</t>
  </si>
  <si>
    <t>98/84</t>
  </si>
  <si>
    <t>135/88</t>
  </si>
  <si>
    <t>118/83</t>
  </si>
  <si>
    <t>100/66</t>
  </si>
  <si>
    <t>90/63</t>
  </si>
  <si>
    <t>102/61</t>
  </si>
  <si>
    <t>113/63</t>
  </si>
  <si>
    <t>101/90</t>
  </si>
  <si>
    <t>138/76</t>
  </si>
  <si>
    <t>95/74</t>
  </si>
  <si>
    <t>117/66</t>
  </si>
  <si>
    <t>105/65</t>
  </si>
  <si>
    <t>106/65</t>
  </si>
  <si>
    <t>131/65</t>
  </si>
  <si>
    <t>96/73</t>
  </si>
  <si>
    <t>119/67</t>
  </si>
  <si>
    <t>123/75</t>
  </si>
  <si>
    <t>123/70</t>
  </si>
  <si>
    <t>111/86</t>
  </si>
  <si>
    <t>138/68</t>
  </si>
  <si>
    <t>132/82</t>
  </si>
  <si>
    <t>101/67</t>
  </si>
  <si>
    <t>139/88</t>
  </si>
  <si>
    <t>93/81</t>
  </si>
  <si>
    <t>96/82</t>
  </si>
  <si>
    <t>96/89</t>
  </si>
  <si>
    <t>104/78</t>
  </si>
  <si>
    <t>119/61</t>
  </si>
  <si>
    <t>99/76</t>
  </si>
  <si>
    <t>115/69</t>
  </si>
  <si>
    <t>94/79</t>
  </si>
  <si>
    <t>95/65</t>
  </si>
  <si>
    <t>116/66</t>
  </si>
  <si>
    <t>137/61</t>
  </si>
  <si>
    <t>114/81</t>
  </si>
  <si>
    <t>134/84</t>
  </si>
  <si>
    <t>124/64</t>
  </si>
  <si>
    <t>107/82</t>
  </si>
  <si>
    <t>125/60</t>
  </si>
  <si>
    <t>90/75</t>
  </si>
  <si>
    <t>100/69</t>
  </si>
  <si>
    <t>100/73</t>
  </si>
  <si>
    <t>113/84</t>
  </si>
  <si>
    <t>128/73</t>
  </si>
  <si>
    <t>114/82</t>
  </si>
  <si>
    <t>129/72</t>
  </si>
  <si>
    <t>103/70</t>
  </si>
  <si>
    <t>96/84</t>
  </si>
  <si>
    <t>124/60</t>
  </si>
  <si>
    <t>106/86</t>
  </si>
  <si>
    <t>131/75</t>
  </si>
  <si>
    <t>136/62</t>
  </si>
  <si>
    <t>120/88</t>
  </si>
  <si>
    <t>117/69</t>
  </si>
  <si>
    <t>125/84</t>
  </si>
  <si>
    <t>127/73</t>
  </si>
  <si>
    <t>128/67</t>
  </si>
  <si>
    <t>129/81</t>
  </si>
  <si>
    <t>98/86</t>
  </si>
  <si>
    <t>94/65</t>
  </si>
  <si>
    <t>134/62</t>
  </si>
  <si>
    <t>113/64</t>
  </si>
  <si>
    <t>125/64</t>
  </si>
  <si>
    <t>98/68</t>
  </si>
  <si>
    <t>125/69</t>
  </si>
  <si>
    <t>104/70</t>
  </si>
  <si>
    <t>100/61</t>
  </si>
  <si>
    <t>136/66</t>
  </si>
  <si>
    <t>100/86</t>
  </si>
  <si>
    <t>92/87</t>
  </si>
  <si>
    <t>138/87</t>
  </si>
  <si>
    <t>93/69</t>
  </si>
  <si>
    <t>120/69</t>
  </si>
  <si>
    <t>125/90</t>
  </si>
  <si>
    <t>96/79</t>
  </si>
  <si>
    <t>102/73</t>
  </si>
  <si>
    <t>111/79</t>
  </si>
  <si>
    <t>125/65</t>
  </si>
  <si>
    <t>92/62</t>
  </si>
  <si>
    <t>94/78</t>
  </si>
  <si>
    <t>132/76</t>
  </si>
  <si>
    <t>92/73</t>
  </si>
  <si>
    <t>121/78</t>
  </si>
  <si>
    <t>116/81</t>
  </si>
  <si>
    <t>99/75</t>
  </si>
  <si>
    <t>136/65</t>
  </si>
  <si>
    <t>116/64</t>
  </si>
  <si>
    <t>130/72</t>
  </si>
  <si>
    <t>133/61</t>
  </si>
  <si>
    <t>122/69</t>
  </si>
  <si>
    <t>108/79</t>
  </si>
  <si>
    <t>113/65</t>
  </si>
  <si>
    <t>131/80</t>
  </si>
  <si>
    <t>136/72</t>
  </si>
  <si>
    <t>106/74</t>
  </si>
  <si>
    <t>101/63</t>
  </si>
  <si>
    <t>118/63</t>
  </si>
  <si>
    <t>98/65</t>
  </si>
  <si>
    <t>92/70</t>
  </si>
  <si>
    <t>129/76</t>
  </si>
  <si>
    <t>133/76</t>
  </si>
  <si>
    <t>113/87</t>
  </si>
  <si>
    <t>136/82</t>
  </si>
  <si>
    <t>115/83</t>
  </si>
  <si>
    <t>100/70</t>
  </si>
  <si>
    <t>99/66</t>
  </si>
  <si>
    <t>107/85</t>
  </si>
  <si>
    <t>122/89</t>
  </si>
  <si>
    <t>Age</t>
  </si>
  <si>
    <t>Gender</t>
  </si>
  <si>
    <t>Blood_Sugar_Level</t>
  </si>
  <si>
    <t>BMI</t>
  </si>
  <si>
    <t>Medication</t>
  </si>
  <si>
    <t>Cholesterol</t>
  </si>
  <si>
    <t>Blood_Pressure</t>
  </si>
  <si>
    <t>HbA1c</t>
  </si>
  <si>
    <t>Exercise_Per_Week</t>
  </si>
  <si>
    <t>Family_History</t>
  </si>
  <si>
    <t>Smoker</t>
  </si>
  <si>
    <t>Blood_Pressure - Copy.1</t>
  </si>
  <si>
    <t>Blood_Pressure - Copy.2</t>
  </si>
  <si>
    <t>HbA1C Cat</t>
  </si>
  <si>
    <t>Age Range</t>
  </si>
  <si>
    <t>Chol Cat</t>
  </si>
  <si>
    <t>BMI cat</t>
  </si>
  <si>
    <t>Diabetes is often accompanied by hypertension and high cholesterol. Healthcare providers need to understand:</t>
  </si>
  <si>
    <t>- Which age group and gender is most at risk?</t>
  </si>
  <si>
    <t>- Which medication is most effective?</t>
  </si>
  <si>
    <t>- How do lifestyle factors (Exercise, Smoking) and Family History affect HbA1c?</t>
  </si>
  <si>
    <t>- What is the co-occurrence of obesity and hypertension in diabetic patients?</t>
  </si>
  <si>
    <t>- Track overall diabetes control using HbA1c and Blood Sugar Level.</t>
  </si>
  <si>
    <t>- Compare average BMI, Cholesterol, and Blood Pressure across Age_Range and Gender.</t>
  </si>
  <si>
    <t>- Analyze medication distribution and effectiveness.</t>
  </si>
  <si>
    <t>- Assess impact of Family History, Smoking, and Exercise_Per_Week on diabetes indicators.</t>
  </si>
  <si>
    <t>- Identify patients with uncontrolled diabetes (HbA1c &gt; 7.0%).</t>
  </si>
  <si>
    <t>- Total Patients</t>
  </si>
  <si>
    <t>- Average Blood Sugar Level, Average BMI, Average Cholesterol</t>
  </si>
  <si>
    <t>- Average HbA1c (Primary Diabetes Indicator)</t>
  </si>
  <si>
    <t>- Average Blood Pressure (Systolic / Diastolic)</t>
  </si>
  <si>
    <t>- % Smokers, % With Family History</t>
  </si>
  <si>
    <t>Business Problem:</t>
  </si>
  <si>
    <t>Objectives:</t>
  </si>
  <si>
    <t xml:space="preserve"> KPIs to Track:</t>
  </si>
  <si>
    <t>Row Labels</t>
  </si>
  <si>
    <t>Grand Total</t>
  </si>
  <si>
    <t>Diabetes</t>
  </si>
  <si>
    <t>Normal</t>
  </si>
  <si>
    <t>Prediabetes</t>
  </si>
  <si>
    <t>Uncontrolled</t>
  </si>
  <si>
    <t>High</t>
  </si>
  <si>
    <t>Low</t>
  </si>
  <si>
    <t>Very High</t>
  </si>
  <si>
    <t xml:space="preserve"> Uncontrolled Diabetes (HbA1c &gt; 7.5%)</t>
  </si>
  <si>
    <t>Total Patients</t>
  </si>
  <si>
    <t>Average of BMI</t>
  </si>
  <si>
    <t>Average of HbA1c</t>
  </si>
  <si>
    <t>Average of Blood_Sugar_Level</t>
  </si>
  <si>
    <t>Average of Cholesterol</t>
  </si>
  <si>
    <t xml:space="preserve">Total Patients by HbA1C </t>
  </si>
  <si>
    <t>Age Range by  by HbA1C AVG</t>
  </si>
  <si>
    <t>Medication vs Avg HbA1c</t>
  </si>
  <si>
    <t>BMI Category vs Avg Cholesterol</t>
  </si>
  <si>
    <t>Family_History vs Avg Blood Sugar</t>
  </si>
  <si>
    <t>Exercise_Per_Week vs Avg HbA1c</t>
  </si>
  <si>
    <t>Smoker vs Avg Cholesterol &amp; BP</t>
  </si>
  <si>
    <t>Gender vs BMI &amp; Blood Sugar</t>
  </si>
  <si>
    <t>Avg of Cholesterol</t>
  </si>
  <si>
    <t>Avg of BMI</t>
  </si>
  <si>
    <t>Avg of BS Level</t>
  </si>
  <si>
    <t>Avg of Systolic BP</t>
  </si>
  <si>
    <t>HbA1c Category vs Patient Count</t>
  </si>
  <si>
    <t xml:space="preserve"> Age_Range vs Avg Blood Sugar / HbA1c</t>
  </si>
  <si>
    <t xml:space="preserve"> Medication vs Avg HbA1c</t>
  </si>
  <si>
    <t xml:space="preserve"> Exercise_Per_Week vs Avg HbA1c</t>
  </si>
  <si>
    <t>Smoker by Avg Cholesterol &amp; BP</t>
  </si>
  <si>
    <t>Gender by BMI &amp; Blood Sugar</t>
  </si>
  <si>
    <t>Visuals to Build :</t>
  </si>
  <si>
    <t>RECOMMENDATIONS</t>
  </si>
  <si>
    <t>Based on the analysis of 1,200 patients, the following actions are recommended:</t>
  </si>
  <si>
    <t>42.7% of patients (513 out of 1,200) are uncontrolled. Create a high-risk register for these patients for weekly follow-up, medication adherence checks, and nutrition counseling.</t>
  </si>
  <si>
    <t>Patients aged 41-50 have the highest average HbA1c at 7.26%. Implement mandatory HbA1c screening every 3 months for patients aged 40-60 and launch targeted lifestyle programs for this group.</t>
  </si>
  <si>
    <t>Females present with higher BMI (28.93) while males present with higher blood sugar (185.7 mg/dL).</t>
  </si>
  <si>
    <t>- Females should be prioritized for weight management and cholesterol control programs.</t>
  </si>
  <si>
    <t>- Males should be prioritized for intensive blood sugar monitoring and carbohydrate control.</t>
  </si>
  <si>
    <t>High BMI patients have the highest cholesterol at 204.3 mg/dL. Diabetes treatment should not be in isolation. All patients with High and Very High BMI should be automatically screened and treated for high cholesterol and cardiovascular risk.</t>
  </si>
  <si>
    <t>All four medications show similar effectiveness ranging from 6.93% to 7.03% HbA1c. Avoid frequent drug switching. Focus on correct dosage timing, patient adherence, and combining drugs with lifestyle changes.</t>
  </si>
  <si>
    <t>Patients with no family history have higher blood sugar (188 mg/dL) than those with family history (182 mg/dL). Education programs should target the general population, correcting the misconception that diabetes only affects those with a family history.</t>
  </si>
  <si>
    <t>Smokers have higher systolic blood pressure (115.36 mmHg vs 113.80 mmHg). Make smoking status a mandatory vital sign at every visit and enroll all smokers in a cessation program with strict BP monitoring.</t>
  </si>
  <si>
    <t>Patients with zero exercise per week have the worst HbA1c at 7.10%, which drops significantly with just 1-2 sessions. Prescribe a minimum of 2 exercise sessions per week (30 minutes each) and document it as part of the treatment plan. Flag patients with zero exercise as high-risk.</t>
  </si>
  <si>
    <t>This approach will reduce average HbA1c below 7.0%, lower blood sugar below 180 mg/dL, and significantly reduce cardiovascular complications.</t>
  </si>
  <si>
    <t xml:space="preserve"> Prioritize Uncontrolled Patients</t>
  </si>
  <si>
    <t xml:space="preserve"> Focus on Age 40-60</t>
  </si>
  <si>
    <t xml:space="preserve"> Implement Gender-Specific Care</t>
  </si>
  <si>
    <t>Integrate Obesity and Cholesterol Management</t>
  </si>
  <si>
    <t>Shift Focus from Drug Type to Adherence</t>
  </si>
  <si>
    <t xml:space="preserve"> Expand Health Education Beyond Family History</t>
  </si>
  <si>
    <t>Enforce Smoking Cessation and BP Monitoring</t>
  </si>
  <si>
    <t>Make Exercise a Prescription</t>
  </si>
  <si>
    <t>Implementation Priority:</t>
  </si>
  <si>
    <t>Immediate (0-30 days): Recall uncontrolled patients and start BP + smoking clinic.A33</t>
  </si>
  <si>
    <t>Short-term (1-3 months):  Launch weight loss, cholesterol, and exercise prescription clinics.</t>
  </si>
  <si>
    <t>Long-term (3-12 months): Roll out preventive education for the 40-60 age group and patients without family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</si>
</sst>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_-* #,##0_-;\-* #,##0_-;_-* &quot;-&quot;??_-;_-@_-"/>
  </numFmts>
  <fonts count="7" x14ac:knownFonts="1">
    <font>
      <sz val="11"/>
      <color theme="1"/>
      <name val="Calibri"/>
      <family val="2"/>
      <scheme val="minor"/>
    </font>
    <font>
      <sz val="11"/>
      <color theme="1"/>
      <name val="Calibri"/>
      <family val="2"/>
      <scheme val="minor"/>
    </font>
    <font>
      <b/>
      <sz val="11"/>
      <color theme="0"/>
      <name val="Calibri"/>
      <family val="2"/>
      <scheme val="minor"/>
    </font>
    <font>
      <sz val="12"/>
      <color rgb="FF222222"/>
      <name val="Arial"/>
      <family val="2"/>
    </font>
    <font>
      <sz val="10"/>
      <color rgb="FF000000"/>
      <name val="Calibri"/>
      <family val="2"/>
      <scheme val="minor"/>
    </font>
    <font>
      <sz val="11"/>
      <color rgb="FF222222"/>
      <name val="Arial"/>
      <family val="2"/>
    </font>
    <font>
      <b/>
      <sz val="11"/>
      <color rgb="FF222222"/>
      <name val="Arial"/>
      <family val="2"/>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64" fontId="0" fillId="0" borderId="0" xfId="0" applyNumberFormat="1"/>
    <xf numFmtId="0" fontId="3" fillId="0" borderId="0" xfId="0" applyFont="1"/>
    <xf numFmtId="0" fontId="0" fillId="3" borderId="1" xfId="0" applyFill="1" applyBorder="1"/>
    <xf numFmtId="164" fontId="0" fillId="3" borderId="1" xfId="0" applyNumberFormat="1" applyFill="1" applyBorder="1"/>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2" fillId="2" borderId="0" xfId="0" applyFont="1" applyFill="1"/>
    <xf numFmtId="164" fontId="2" fillId="2" borderId="0" xfId="0" applyNumberFormat="1" applyFont="1" applyFill="1"/>
    <xf numFmtId="2" fontId="0" fillId="0" borderId="0" xfId="0" applyNumberFormat="1"/>
    <xf numFmtId="165" fontId="0" fillId="0" borderId="0" xfId="0" applyNumberFormat="1"/>
    <xf numFmtId="2" fontId="0" fillId="0" borderId="0" xfId="0" pivotButton="1" applyNumberFormat="1"/>
    <xf numFmtId="165" fontId="0" fillId="0" borderId="0" xfId="1" applyNumberFormat="1" applyFont="1"/>
    <xf numFmtId="1" fontId="0" fillId="0" borderId="0" xfId="0" applyNumberFormat="1"/>
    <xf numFmtId="0" fontId="4" fillId="0" borderId="0" xfId="0" applyFont="1"/>
    <xf numFmtId="0" fontId="5" fillId="0" borderId="0" xfId="0" applyFont="1"/>
    <xf numFmtId="0" fontId="6" fillId="0" borderId="0" xfId="0" applyFont="1"/>
  </cellXfs>
  <cellStyles count="2">
    <cellStyle name="Comma" xfId="1" builtinId="3"/>
    <cellStyle name="Normal" xfId="0" builtinId="0"/>
  </cellStyles>
  <dxfs count="46">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164" formatCode="0.0"/>
    </dxf>
    <dxf>
      <numFmt numFmtId="2" formatCode="0.00"/>
    </dxf>
    <dxf>
      <numFmt numFmtId="164" formatCode="0.0"/>
    </dxf>
    <dxf>
      <numFmt numFmtId="2" formatCode="0.00"/>
    </dxf>
    <dxf>
      <numFmt numFmtId="2" formatCode="0.00"/>
    </dxf>
    <dxf>
      <numFmt numFmtId="165" formatCode="_-* #,##0_-;\-* #,##0_-;_-* &quot;-&quot;??_-;_-@_-"/>
    </dxf>
    <dxf>
      <numFmt numFmtId="2" formatCode="0.00"/>
    </dxf>
    <dxf>
      <numFmt numFmtId="2" formatCode="0.00"/>
    </dxf>
    <dxf>
      <numFmt numFmtId="164" formatCode="0.0"/>
    </dxf>
    <dxf>
      <numFmt numFmtId="2" formatCode="0.00"/>
    </dxf>
    <dxf>
      <numFmt numFmtId="2" formatCode="0.00"/>
    </dxf>
    <dxf>
      <numFmt numFmtId="165" formatCode="_-* #,##0_-;\-* #,##0_-;_-* &quot;-&quot;??_-;_-@_-"/>
    </dxf>
    <dxf>
      <numFmt numFmtId="164" formatCode="0.0"/>
    </dxf>
    <dxf>
      <numFmt numFmtId="165" formatCode="_-* #,##0_-;\-* #,##0_-;_-* &quot;-&quot;??_-;_-@_-"/>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1" defaultTableStyle="TableStyleMedium2" defaultPivotStyle="PivotStyleLight16">
    <tableStyle name="Slicer Style 1" pivot="0" table="0" count="0" xr9:uid="{885B2644-230B-439D-AD01-921444E93E19}"/>
  </tableStyles>
  <colors>
    <mruColors>
      <color rgb="FFFCFDFE"/>
      <color rgb="FFD2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Detection.xlsx]PT!PivotTable12</c:name>
    <c:fmtId val="4"/>
  </c:pivotSource>
  <c:chart>
    <c:title>
      <c:tx>
        <c:rich>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r>
              <a:rPr lang="en-US" sz="900" b="1" i="0" u="none" strike="noStrike" kern="1200" spc="0" baseline="0">
                <a:solidFill>
                  <a:srgbClr val="002060"/>
                </a:solidFill>
                <a:latin typeface="+mn-lt"/>
                <a:ea typeface="+mn-ea"/>
                <a:cs typeface="+mn-cs"/>
              </a:rPr>
              <a:t>Medication by Avg HbA1c</a:t>
            </a:r>
          </a:p>
        </c:rich>
      </c:tx>
      <c:overlay val="0"/>
      <c:spPr>
        <a:noFill/>
        <a:ln>
          <a:noFill/>
        </a:ln>
        <a:effectLst/>
      </c:spPr>
      <c:txPr>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PT!$D$21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PT!$C$22:$C$26</c:f>
              <c:strCache>
                <c:ptCount val="4"/>
                <c:pt idx="0">
                  <c:v>Glipizide</c:v>
                </c:pt>
                <c:pt idx="1">
                  <c:v>Insulin</c:v>
                </c:pt>
                <c:pt idx="2">
                  <c:v>Metformin</c:v>
                </c:pt>
                <c:pt idx="3">
                  <c:v>Sitagliptin</c:v>
                </c:pt>
              </c:strCache>
            </c:strRef>
          </c:cat>
          <c:val>
            <c:numRef>
              <c:f>PT!$D$22:$D$26</c:f>
              <c:numCache>
                <c:formatCode>0.00</c:formatCode>
                <c:ptCount val="4"/>
                <c:pt idx="0">
                  <c:v>7.0325081433224712</c:v>
                </c:pt>
                <c:pt idx="1">
                  <c:v>6.9324918032786895</c:v>
                </c:pt>
                <c:pt idx="2">
                  <c:v>7.0256551724137921</c:v>
                </c:pt>
                <c:pt idx="3">
                  <c:v>6.9942281879194637</c:v>
                </c:pt>
              </c:numCache>
            </c:numRef>
          </c:val>
          <c:extLst>
            <c:ext xmlns:c16="http://schemas.microsoft.com/office/drawing/2014/chart" uri="{C3380CC4-5D6E-409C-BE32-E72D297353CC}">
              <c16:uniqueId val="{00000000-C11E-4A91-9954-A518A9C30989}"/>
            </c:ext>
          </c:extLst>
        </c:ser>
        <c:dLbls>
          <c:dLblPos val="outEnd"/>
          <c:showLegendKey val="0"/>
          <c:showVal val="1"/>
          <c:showCatName val="0"/>
          <c:showSerName val="0"/>
          <c:showPercent val="0"/>
          <c:showBubbleSize val="0"/>
        </c:dLbls>
        <c:gapWidth val="182"/>
        <c:axId val="1068179664"/>
        <c:axId val="1068181464"/>
      </c:barChart>
      <c:catAx>
        <c:axId val="106817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002060"/>
                </a:solidFill>
                <a:latin typeface="+mn-lt"/>
                <a:ea typeface="+mn-ea"/>
                <a:cs typeface="+mn-cs"/>
              </a:defRPr>
            </a:pPr>
            <a:endParaRPr lang="en-US"/>
          </a:p>
        </c:txPr>
        <c:crossAx val="1068181464"/>
        <c:crosses val="autoZero"/>
        <c:auto val="1"/>
        <c:lblAlgn val="ctr"/>
        <c:lblOffset val="100"/>
        <c:noMultiLvlLbl val="0"/>
      </c:catAx>
      <c:valAx>
        <c:axId val="1068181464"/>
        <c:scaling>
          <c:orientation val="minMax"/>
        </c:scaling>
        <c:delete val="1"/>
        <c:axPos val="b"/>
        <c:numFmt formatCode="0.00" sourceLinked="1"/>
        <c:majorTickMark val="none"/>
        <c:minorTickMark val="none"/>
        <c:tickLblPos val="nextTo"/>
        <c:crossAx val="106817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Detection.xlsx]PT!PivotTable13</c:name>
    <c:fmtId val="3"/>
  </c:pivotSource>
  <c:chart>
    <c:title>
      <c:tx>
        <c:rich>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r>
              <a:rPr lang="en-US" sz="900" b="1" i="0" u="none" strike="noStrike" kern="1200" spc="0" baseline="0">
                <a:solidFill>
                  <a:srgbClr val="002060"/>
                </a:solidFill>
                <a:latin typeface="+mn-lt"/>
                <a:ea typeface="+mn-ea"/>
                <a:cs typeface="+mn-cs"/>
              </a:rPr>
              <a:t>BMI Category by Avg Cholesterol</a:t>
            </a:r>
          </a:p>
        </c:rich>
      </c:tx>
      <c:layout>
        <c:manualLayout>
          <c:xMode val="edge"/>
          <c:yMode val="edge"/>
          <c:x val="0.14295564532326749"/>
          <c:y val="4.0317460317460314E-2"/>
        </c:manualLayout>
      </c:layout>
      <c:overlay val="0"/>
      <c:spPr>
        <a:noFill/>
        <a:ln>
          <a:noFill/>
        </a:ln>
        <a:effectLst/>
      </c:spPr>
      <c:txPr>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PT!$D$29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PT!$C$30:$C$34</c:f>
              <c:strCache>
                <c:ptCount val="4"/>
                <c:pt idx="0">
                  <c:v>High</c:v>
                </c:pt>
                <c:pt idx="1">
                  <c:v>Low</c:v>
                </c:pt>
                <c:pt idx="2">
                  <c:v>Normal</c:v>
                </c:pt>
                <c:pt idx="3">
                  <c:v>Very High</c:v>
                </c:pt>
              </c:strCache>
            </c:strRef>
          </c:cat>
          <c:val>
            <c:numRef>
              <c:f>PT!$D$30:$D$34</c:f>
              <c:numCache>
                <c:formatCode>0.0</c:formatCode>
                <c:ptCount val="4"/>
                <c:pt idx="0">
                  <c:v>204.31851851851852</c:v>
                </c:pt>
                <c:pt idx="1">
                  <c:v>201.82758620689654</c:v>
                </c:pt>
                <c:pt idx="2">
                  <c:v>199.89664804469274</c:v>
                </c:pt>
                <c:pt idx="3">
                  <c:v>201.2965009208103</c:v>
                </c:pt>
              </c:numCache>
            </c:numRef>
          </c:val>
          <c:extLst>
            <c:ext xmlns:c16="http://schemas.microsoft.com/office/drawing/2014/chart" uri="{C3380CC4-5D6E-409C-BE32-E72D297353CC}">
              <c16:uniqueId val="{00000000-77A9-4F11-907D-F4CDADDF19B2}"/>
            </c:ext>
          </c:extLst>
        </c:ser>
        <c:dLbls>
          <c:dLblPos val="outEnd"/>
          <c:showLegendKey val="0"/>
          <c:showVal val="1"/>
          <c:showCatName val="0"/>
          <c:showSerName val="0"/>
          <c:showPercent val="0"/>
          <c:showBubbleSize val="0"/>
        </c:dLbls>
        <c:gapWidth val="219"/>
        <c:overlap val="-27"/>
        <c:axId val="566950792"/>
        <c:axId val="566944672"/>
      </c:barChart>
      <c:catAx>
        <c:axId val="566950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002060"/>
                </a:solidFill>
                <a:latin typeface="+mn-lt"/>
                <a:ea typeface="+mn-ea"/>
                <a:cs typeface="+mn-cs"/>
              </a:defRPr>
            </a:pPr>
            <a:endParaRPr lang="en-US"/>
          </a:p>
        </c:txPr>
        <c:crossAx val="566944672"/>
        <c:crosses val="autoZero"/>
        <c:auto val="1"/>
        <c:lblAlgn val="ctr"/>
        <c:lblOffset val="100"/>
        <c:noMultiLvlLbl val="0"/>
      </c:catAx>
      <c:valAx>
        <c:axId val="566944672"/>
        <c:scaling>
          <c:orientation val="minMax"/>
        </c:scaling>
        <c:delete val="1"/>
        <c:axPos val="l"/>
        <c:numFmt formatCode="0.0" sourceLinked="1"/>
        <c:majorTickMark val="none"/>
        <c:minorTickMark val="none"/>
        <c:tickLblPos val="nextTo"/>
        <c:crossAx val="566950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Detection.xlsx]PT!PivotTable16</c:name>
    <c:fmtId val="6"/>
  </c:pivotSource>
  <c:chart>
    <c:title>
      <c:tx>
        <c:rich>
          <a:bodyPr rot="0" spcFirstLastPara="1" vertOverflow="ellipsis" vert="horz" wrap="square" anchor="ctr" anchorCtr="1"/>
          <a:lstStyle/>
          <a:p>
            <a:pPr algn="ctr" rtl="0">
              <a:defRPr lang="en-GB" sz="900" b="1" i="0" u="none" strike="noStrike" kern="1200" spc="0" baseline="0">
                <a:solidFill>
                  <a:srgbClr val="002060"/>
                </a:solidFill>
                <a:latin typeface="+mn-lt"/>
                <a:ea typeface="+mn-ea"/>
                <a:cs typeface="+mn-cs"/>
              </a:defRPr>
            </a:pPr>
            <a:r>
              <a:rPr lang="en-GB" sz="900" b="1" i="0" u="none" strike="noStrike" kern="1200" spc="0" baseline="0">
                <a:solidFill>
                  <a:srgbClr val="002060"/>
                </a:solidFill>
                <a:latin typeface="+mn-lt"/>
                <a:ea typeface="+mn-ea"/>
                <a:cs typeface="+mn-cs"/>
              </a:rPr>
              <a:t>Smoker by Avg Chol &amp; Systolic BP</a:t>
            </a:r>
          </a:p>
        </c:rich>
      </c:tx>
      <c:overlay val="0"/>
      <c:spPr>
        <a:noFill/>
        <a:ln>
          <a:noFill/>
        </a:ln>
        <a:effectLst/>
      </c:spPr>
      <c:txPr>
        <a:bodyPr rot="0" spcFirstLastPara="1" vertOverflow="ellipsis" vert="horz" wrap="square" anchor="ctr" anchorCtr="1"/>
        <a:lstStyle/>
        <a:p>
          <a:pPr algn="ctr" rtl="0">
            <a:defRPr lang="en-GB"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20000">
              <a:alpha val="9098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20000">
              <a:alpha val="90980"/>
            </a:srgbClr>
          </a:solidFill>
          <a:ln>
            <a:noFill/>
          </a:ln>
          <a:effectLst/>
        </c:spPr>
      </c:pivotFmt>
      <c:pivotFmt>
        <c:idx val="7"/>
        <c:spPr>
          <a:solidFill>
            <a:srgbClr val="D20000">
              <a:alpha val="90980"/>
            </a:srgbClr>
          </a:solidFill>
          <a:ln>
            <a:noFill/>
          </a:ln>
          <a:effectLst/>
        </c:spPr>
      </c:pivotFmt>
    </c:pivotFmts>
    <c:plotArea>
      <c:layout>
        <c:manualLayout>
          <c:layoutTarget val="inner"/>
          <c:xMode val="edge"/>
          <c:yMode val="edge"/>
          <c:x val="0.17703395581685616"/>
          <c:y val="0.3051980319842254"/>
          <c:w val="0.70225092329526539"/>
          <c:h val="0.5389665853275184"/>
        </c:manualLayout>
      </c:layout>
      <c:barChart>
        <c:barDir val="bar"/>
        <c:grouping val="clustered"/>
        <c:varyColors val="0"/>
        <c:ser>
          <c:idx val="0"/>
          <c:order val="0"/>
          <c:tx>
            <c:strRef>
              <c:f>PT!$H$23</c:f>
              <c:strCache>
                <c:ptCount val="1"/>
                <c:pt idx="0">
                  <c:v>Avg of Cholesterol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PT!$G$24:$G$26</c:f>
              <c:strCache>
                <c:ptCount val="2"/>
                <c:pt idx="0">
                  <c:v>No</c:v>
                </c:pt>
                <c:pt idx="1">
                  <c:v>Yes</c:v>
                </c:pt>
              </c:strCache>
            </c:strRef>
          </c:cat>
          <c:val>
            <c:numRef>
              <c:f>PT!$H$24:$H$26</c:f>
              <c:numCache>
                <c:formatCode>0.00</c:formatCode>
                <c:ptCount val="2"/>
                <c:pt idx="0">
                  <c:v>203.09816971713809</c:v>
                </c:pt>
                <c:pt idx="1">
                  <c:v>200.04006677796326</c:v>
                </c:pt>
              </c:numCache>
            </c:numRef>
          </c:val>
          <c:extLst>
            <c:ext xmlns:c16="http://schemas.microsoft.com/office/drawing/2014/chart" uri="{C3380CC4-5D6E-409C-BE32-E72D297353CC}">
              <c16:uniqueId val="{00000000-C0F1-433A-B8EE-D239783E7BFA}"/>
            </c:ext>
          </c:extLst>
        </c:ser>
        <c:ser>
          <c:idx val="1"/>
          <c:order val="1"/>
          <c:tx>
            <c:strRef>
              <c:f>PT!$I$23</c:f>
              <c:strCache>
                <c:ptCount val="1"/>
                <c:pt idx="0">
                  <c:v>Avg of Systolic BP</c:v>
                </c:pt>
              </c:strCache>
            </c:strRef>
          </c:tx>
          <c:spPr>
            <a:solidFill>
              <a:srgbClr val="D20000">
                <a:alpha val="90980"/>
              </a:srgb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PT!$G$24:$G$26</c:f>
              <c:strCache>
                <c:ptCount val="2"/>
                <c:pt idx="0">
                  <c:v>No</c:v>
                </c:pt>
                <c:pt idx="1">
                  <c:v>Yes</c:v>
                </c:pt>
              </c:strCache>
            </c:strRef>
          </c:cat>
          <c:val>
            <c:numRef>
              <c:f>PT!$I$24:$I$26</c:f>
              <c:numCache>
                <c:formatCode>0.00</c:formatCode>
                <c:ptCount val="2"/>
                <c:pt idx="0">
                  <c:v>113.79866888519135</c:v>
                </c:pt>
                <c:pt idx="1">
                  <c:v>115.35893155258765</c:v>
                </c:pt>
              </c:numCache>
            </c:numRef>
          </c:val>
          <c:extLst>
            <c:ext xmlns:c16="http://schemas.microsoft.com/office/drawing/2014/chart" uri="{C3380CC4-5D6E-409C-BE32-E72D297353CC}">
              <c16:uniqueId val="{00000001-C0F1-433A-B8EE-D239783E7BFA}"/>
            </c:ext>
          </c:extLst>
        </c:ser>
        <c:dLbls>
          <c:dLblPos val="outEnd"/>
          <c:showLegendKey val="0"/>
          <c:showVal val="1"/>
          <c:showCatName val="0"/>
          <c:showSerName val="0"/>
          <c:showPercent val="0"/>
          <c:showBubbleSize val="0"/>
        </c:dLbls>
        <c:gapWidth val="182"/>
        <c:axId val="567524952"/>
        <c:axId val="567521352"/>
      </c:barChart>
      <c:catAx>
        <c:axId val="567524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002060"/>
                </a:solidFill>
                <a:latin typeface="+mn-lt"/>
                <a:ea typeface="+mn-ea"/>
                <a:cs typeface="+mn-cs"/>
              </a:defRPr>
            </a:pPr>
            <a:endParaRPr lang="en-US"/>
          </a:p>
        </c:txPr>
        <c:crossAx val="567521352"/>
        <c:crosses val="autoZero"/>
        <c:auto val="1"/>
        <c:lblAlgn val="ctr"/>
        <c:lblOffset val="100"/>
        <c:noMultiLvlLbl val="0"/>
      </c:catAx>
      <c:valAx>
        <c:axId val="567521352"/>
        <c:scaling>
          <c:orientation val="minMax"/>
        </c:scaling>
        <c:delete val="1"/>
        <c:axPos val="b"/>
        <c:numFmt formatCode="0.00" sourceLinked="1"/>
        <c:majorTickMark val="none"/>
        <c:minorTickMark val="none"/>
        <c:tickLblPos val="nextTo"/>
        <c:crossAx val="567524952"/>
        <c:crosses val="autoZero"/>
        <c:crossBetween val="between"/>
      </c:valAx>
      <c:spPr>
        <a:noFill/>
        <a:ln>
          <a:noFill/>
        </a:ln>
        <a:effectLst/>
      </c:spPr>
    </c:plotArea>
    <c:legend>
      <c:legendPos val="b"/>
      <c:layout>
        <c:manualLayout>
          <c:xMode val="edge"/>
          <c:yMode val="edge"/>
          <c:x val="0.16418063028338489"/>
          <c:y val="0.82607843168384743"/>
          <c:w val="0.67441176055940899"/>
          <c:h val="0.13359597887193134"/>
        </c:manualLayout>
      </c:layout>
      <c:overlay val="0"/>
      <c:spPr>
        <a:noFill/>
        <a:ln>
          <a:noFill/>
        </a:ln>
        <a:effectLst/>
      </c:spPr>
      <c:txPr>
        <a:bodyPr rot="0" spcFirstLastPara="1" vertOverflow="ellipsis" vert="horz" wrap="square" anchor="ctr" anchorCtr="1"/>
        <a:lstStyle/>
        <a:p>
          <a:pPr algn="ctr">
            <a:defRPr lang="en-US" sz="6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Detection.xlsx]PT!PivotTable10</c:name>
    <c:fmtId val="4"/>
  </c:pivotSource>
  <c:chart>
    <c:title>
      <c:tx>
        <c:rich>
          <a:bodyPr rot="0" spcFirstLastPara="1" vertOverflow="ellipsis" vert="horz" wrap="square" anchor="ctr" anchorCtr="1"/>
          <a:lstStyle/>
          <a:p>
            <a:pPr>
              <a:defRPr sz="900" b="1" i="0" u="none" strike="noStrike" kern="1200" spc="0" baseline="0">
                <a:solidFill>
                  <a:srgbClr val="002060"/>
                </a:solidFill>
                <a:latin typeface="+mn-lt"/>
                <a:ea typeface="+mn-ea"/>
                <a:cs typeface="+mn-cs"/>
              </a:defRPr>
            </a:pPr>
            <a:r>
              <a:rPr lang="en-US" sz="900" b="1">
                <a:solidFill>
                  <a:srgbClr val="002060"/>
                </a:solidFill>
              </a:rPr>
              <a:t>Total Patients by HbA1C </a:t>
            </a:r>
          </a:p>
        </c:rich>
      </c:tx>
      <c:layout>
        <c:manualLayout>
          <c:xMode val="edge"/>
          <c:yMode val="edge"/>
          <c:x val="0.27890065514405837"/>
          <c:y val="3.2686425224654828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4797221911229322"/>
              <c:y val="-3.416567899614072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5">
              <a:lumMod val="75000"/>
            </a:schemeClr>
          </a:solidFill>
          <a:ln w="19050">
            <a:solidFill>
              <a:schemeClr val="lt1"/>
            </a:solidFill>
          </a:ln>
          <a:effectLst/>
        </c:spPr>
        <c:dLbl>
          <c:idx val="0"/>
          <c:layout>
            <c:manualLayout>
              <c:x val="0.18331408999532264"/>
              <c:y val="-4.457611240012302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327568168569299"/>
                  <c:h val="0.1841062900778683"/>
                </c:manualLayout>
              </c15:layout>
            </c:ext>
          </c:extLst>
        </c:dLbl>
      </c:pivotFmt>
      <c:pivotFmt>
        <c:idx val="9"/>
        <c:spPr>
          <a:solidFill>
            <a:schemeClr val="accent5">
              <a:lumMod val="60000"/>
              <a:lumOff val="40000"/>
            </a:schemeClr>
          </a:solidFill>
          <a:ln w="19050">
            <a:solidFill>
              <a:schemeClr val="lt1"/>
            </a:solidFill>
          </a:ln>
          <a:effectLst/>
        </c:spPr>
        <c:dLbl>
          <c:idx val="0"/>
          <c:layout>
            <c:manualLayout>
              <c:x val="-1.7160373242943786E-2"/>
              <c:y val="0.1579957559121893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056457434939214"/>
                  <c:h val="0.19035789061886726"/>
                </c:manualLayout>
              </c15:layout>
            </c:ext>
          </c:extLst>
        </c:dLbl>
      </c:pivotFmt>
      <c:pivotFmt>
        <c:idx val="10"/>
        <c:spPr>
          <a:solidFill>
            <a:srgbClr val="C00000"/>
          </a:solidFill>
          <a:ln w="19050">
            <a:solidFill>
              <a:schemeClr val="lt1"/>
            </a:solidFill>
          </a:ln>
          <a:effectLst/>
        </c:spPr>
        <c:dLbl>
          <c:idx val="0"/>
          <c:layout>
            <c:manualLayout>
              <c:x val="-0.14886421106679998"/>
              <c:y val="-0.1039923765990932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118497299509315"/>
                  <c:h val="0.26390234737434065"/>
                </c:manualLayout>
              </c15:layout>
            </c:ext>
          </c:extLst>
        </c:dLbl>
      </c:pivotFmt>
    </c:pivotFmts>
    <c:plotArea>
      <c:layout>
        <c:manualLayout>
          <c:layoutTarget val="inner"/>
          <c:xMode val="edge"/>
          <c:yMode val="edge"/>
          <c:x val="0.33691815911082629"/>
          <c:y val="0.23312048550923262"/>
          <c:w val="0.32616368177834743"/>
          <c:h val="0.54360613629724575"/>
        </c:manualLayout>
      </c:layout>
      <c:doughnutChart>
        <c:varyColors val="1"/>
        <c:ser>
          <c:idx val="0"/>
          <c:order val="0"/>
          <c:tx>
            <c:strRef>
              <c:f>PT!$D$3</c:f>
              <c:strCache>
                <c:ptCount val="1"/>
                <c:pt idx="0">
                  <c:v>Total</c:v>
                </c:pt>
              </c:strCache>
            </c:strRef>
          </c:tx>
          <c:explosion val="4"/>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D7A-43C7-8A00-20EEC1516C0A}"/>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D7A-43C7-8A00-20EEC1516C0A}"/>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D7A-43C7-8A00-20EEC1516C0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5D7A-43C7-8A00-20EEC1516C0A}"/>
              </c:ext>
            </c:extLst>
          </c:dPt>
          <c:dLbls>
            <c:dLbl>
              <c:idx val="0"/>
              <c:layout>
                <c:manualLayout>
                  <c:x val="0.14797221911229322"/>
                  <c:y val="-3.416567899614072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7A-43C7-8A00-20EEC1516C0A}"/>
                </c:ext>
              </c:extLst>
            </c:dLbl>
            <c:dLbl>
              <c:idx val="1"/>
              <c:layout>
                <c:manualLayout>
                  <c:x val="0.18331408999532264"/>
                  <c:y val="-4.4576112400123026E-2"/>
                </c:manualLayout>
              </c:layout>
              <c:showLegendKey val="0"/>
              <c:showVal val="1"/>
              <c:showCatName val="1"/>
              <c:showSerName val="0"/>
              <c:showPercent val="1"/>
              <c:showBubbleSize val="0"/>
              <c:extLst>
                <c:ext xmlns:c15="http://schemas.microsoft.com/office/drawing/2012/chart" uri="{CE6537A1-D6FC-4f65-9D91-7224C49458BB}">
                  <c15:layout>
                    <c:manualLayout>
                      <c:w val="0.23327568168569299"/>
                      <c:h val="0.1841062900778683"/>
                    </c:manualLayout>
                  </c15:layout>
                </c:ext>
                <c:ext xmlns:c16="http://schemas.microsoft.com/office/drawing/2014/chart" uri="{C3380CC4-5D6E-409C-BE32-E72D297353CC}">
                  <c16:uniqueId val="{00000003-5D7A-43C7-8A00-20EEC1516C0A}"/>
                </c:ext>
              </c:extLst>
            </c:dLbl>
            <c:dLbl>
              <c:idx val="2"/>
              <c:layout>
                <c:manualLayout>
                  <c:x val="-1.7160373242943786E-2"/>
                  <c:y val="0.1579957559121893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056457434939214"/>
                      <c:h val="0.19035789061886726"/>
                    </c:manualLayout>
                  </c15:layout>
                </c:ext>
                <c:ext xmlns:c16="http://schemas.microsoft.com/office/drawing/2014/chart" uri="{C3380CC4-5D6E-409C-BE32-E72D297353CC}">
                  <c16:uniqueId val="{00000005-5D7A-43C7-8A00-20EEC1516C0A}"/>
                </c:ext>
              </c:extLst>
            </c:dLbl>
            <c:dLbl>
              <c:idx val="3"/>
              <c:layout>
                <c:manualLayout>
                  <c:x val="-0.14886421106679998"/>
                  <c:y val="-0.10399237659909327"/>
                </c:manualLayout>
              </c:layout>
              <c:showLegendKey val="0"/>
              <c:showVal val="1"/>
              <c:showCatName val="1"/>
              <c:showSerName val="0"/>
              <c:showPercent val="1"/>
              <c:showBubbleSize val="0"/>
              <c:extLst>
                <c:ext xmlns:c15="http://schemas.microsoft.com/office/drawing/2012/chart" uri="{CE6537A1-D6FC-4f65-9D91-7224C49458BB}">
                  <c15:layout>
                    <c:manualLayout>
                      <c:w val="0.28118497299509315"/>
                      <c:h val="0.26390234737434065"/>
                    </c:manualLayout>
                  </c15:layout>
                </c:ext>
                <c:ext xmlns:c16="http://schemas.microsoft.com/office/drawing/2014/chart" uri="{C3380CC4-5D6E-409C-BE32-E72D297353CC}">
                  <c16:uniqueId val="{00000007-5D7A-43C7-8A00-20EEC1516C0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PT!$C$4:$C$8</c:f>
              <c:strCache>
                <c:ptCount val="4"/>
                <c:pt idx="0">
                  <c:v>Diabetes</c:v>
                </c:pt>
                <c:pt idx="1">
                  <c:v>Normal</c:v>
                </c:pt>
                <c:pt idx="2">
                  <c:v>Prediabetes</c:v>
                </c:pt>
                <c:pt idx="3">
                  <c:v>Uncontrolled</c:v>
                </c:pt>
              </c:strCache>
            </c:strRef>
          </c:cat>
          <c:val>
            <c:numRef>
              <c:f>PT!$D$4:$D$8</c:f>
              <c:numCache>
                <c:formatCode>_-* #,##0_-;\-* #,##0_-;_-* "-"??_-;_-@_-</c:formatCode>
                <c:ptCount val="4"/>
                <c:pt idx="0">
                  <c:v>220</c:v>
                </c:pt>
                <c:pt idx="1">
                  <c:v>364</c:v>
                </c:pt>
                <c:pt idx="2">
                  <c:v>103</c:v>
                </c:pt>
                <c:pt idx="3">
                  <c:v>513</c:v>
                </c:pt>
              </c:numCache>
            </c:numRef>
          </c:val>
          <c:extLst>
            <c:ext xmlns:c16="http://schemas.microsoft.com/office/drawing/2014/chart" uri="{C3380CC4-5D6E-409C-BE32-E72D297353CC}">
              <c16:uniqueId val="{00000008-5D7A-43C7-8A00-20EEC1516C0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DF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Detection.xlsx]PT!PivotTable15</c:name>
    <c:fmtId val="4"/>
  </c:pivotSource>
  <c:chart>
    <c:title>
      <c:tx>
        <c:rich>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r>
              <a:rPr lang="en-US" sz="900" b="1" i="0" u="none" strike="noStrike" kern="1200" spc="0" baseline="0">
                <a:solidFill>
                  <a:srgbClr val="002060"/>
                </a:solidFill>
                <a:latin typeface="+mn-lt"/>
                <a:ea typeface="+mn-ea"/>
                <a:cs typeface="+mn-cs"/>
              </a:rPr>
              <a:t>Exercise_Per_Week by Avg HbA1c</a:t>
            </a:r>
          </a:p>
        </c:rich>
      </c:tx>
      <c:overlay val="0"/>
      <c:spPr>
        <a:noFill/>
        <a:ln>
          <a:noFill/>
        </a:ln>
        <a:effectLst/>
      </c:spPr>
      <c:txPr>
        <a:bodyPr rot="0" spcFirstLastPara="1" vertOverflow="ellipsis" vert="horz" wrap="square" anchor="ctr" anchorCtr="1"/>
        <a:lstStyle/>
        <a:p>
          <a:pPr algn="ctr" rtl="0">
            <a:defRPr lang="en-US"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layout>
            <c:manualLayout>
              <c:x val="-6.6647419040931716E-2"/>
              <c:y val="5.3185273918491378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layout>
            <c:manualLayout>
              <c:x val="-6.6647419040931716E-2"/>
              <c:y val="5.3185273918491378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002060"/>
            </a:solidFill>
            <a:ln w="9525">
              <a:solidFill>
                <a:schemeClr val="accent1"/>
              </a:solidFill>
            </a:ln>
            <a:effectLst/>
          </c:spPr>
        </c:marker>
      </c:pivotFmt>
    </c:pivotFmts>
    <c:plotArea>
      <c:layout>
        <c:manualLayout>
          <c:layoutTarget val="inner"/>
          <c:xMode val="edge"/>
          <c:yMode val="edge"/>
          <c:x val="5.110345229975595E-2"/>
          <c:y val="0.20991261946844122"/>
          <c:w val="0.90631033745044742"/>
          <c:h val="0.67311946292941582"/>
        </c:manualLayout>
      </c:layout>
      <c:lineChart>
        <c:grouping val="standard"/>
        <c:varyColors val="0"/>
        <c:ser>
          <c:idx val="0"/>
          <c:order val="0"/>
          <c:tx>
            <c:strRef>
              <c:f>PT!$H$10</c:f>
              <c:strCache>
                <c:ptCount val="1"/>
                <c:pt idx="0">
                  <c:v>Total</c:v>
                </c:pt>
              </c:strCache>
            </c:strRef>
          </c:tx>
          <c:spPr>
            <a:ln w="28575" cap="rnd">
              <a:solidFill>
                <a:schemeClr val="accent1"/>
              </a:solidFill>
              <a:round/>
            </a:ln>
            <a:effectLst/>
          </c:spPr>
          <c:marker>
            <c:symbol val="circle"/>
            <c:size val="5"/>
            <c:spPr>
              <a:solidFill>
                <a:srgbClr val="002060"/>
              </a:solidFill>
              <a:ln w="9525">
                <a:solidFill>
                  <a:schemeClr val="accent1"/>
                </a:solidFill>
              </a:ln>
              <a:effectLst/>
            </c:spPr>
          </c:marker>
          <c:dPt>
            <c:idx val="1"/>
            <c:marker>
              <c:symbol val="circle"/>
              <c:size val="5"/>
              <c:spPr>
                <a:solidFill>
                  <a:srgbClr val="00206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3BD-4CE2-B0B4-67CA35D10515}"/>
              </c:ext>
            </c:extLst>
          </c:dPt>
          <c:dPt>
            <c:idx val="6"/>
            <c:marker>
              <c:symbol val="circle"/>
              <c:size val="5"/>
              <c:spPr>
                <a:solidFill>
                  <a:srgbClr val="00206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23BD-4CE2-B0B4-67CA35D10515}"/>
              </c:ext>
            </c:extLst>
          </c:dPt>
          <c:dLbls>
            <c:dLbl>
              <c:idx val="1"/>
              <c:layout>
                <c:manualLayout>
                  <c:x val="-6.6647419040931716E-2"/>
                  <c:y val="5.3185273918491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BD-4CE2-B0B4-67CA35D10515}"/>
                </c:ext>
              </c:extLst>
            </c:dLbl>
            <c:dLbl>
              <c:idx val="6"/>
              <c:layout>
                <c:manualLayout>
                  <c:x val="-6.6647419040931716E-2"/>
                  <c:y val="5.3185273918491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BD-4CE2-B0B4-67CA35D10515}"/>
                </c:ext>
              </c:extLst>
            </c:dLbl>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PT!$G$11:$G$19</c:f>
              <c:strCache>
                <c:ptCount val="8"/>
                <c:pt idx="0">
                  <c:v>0</c:v>
                </c:pt>
                <c:pt idx="1">
                  <c:v>1</c:v>
                </c:pt>
                <c:pt idx="2">
                  <c:v>2</c:v>
                </c:pt>
                <c:pt idx="3">
                  <c:v>3</c:v>
                </c:pt>
                <c:pt idx="4">
                  <c:v>4</c:v>
                </c:pt>
                <c:pt idx="5">
                  <c:v>5</c:v>
                </c:pt>
                <c:pt idx="6">
                  <c:v>6</c:v>
                </c:pt>
                <c:pt idx="7">
                  <c:v>7</c:v>
                </c:pt>
              </c:strCache>
            </c:strRef>
          </c:cat>
          <c:val>
            <c:numRef>
              <c:f>PT!$H$11:$H$19</c:f>
              <c:numCache>
                <c:formatCode>0.00</c:formatCode>
                <c:ptCount val="8"/>
                <c:pt idx="0">
                  <c:v>7.0964285714285742</c:v>
                </c:pt>
                <c:pt idx="1">
                  <c:v>6.8903007518796962</c:v>
                </c:pt>
                <c:pt idx="2">
                  <c:v>6.9016546762589934</c:v>
                </c:pt>
                <c:pt idx="3">
                  <c:v>6.9698639455782336</c:v>
                </c:pt>
                <c:pt idx="4">
                  <c:v>7.0685000000000029</c:v>
                </c:pt>
                <c:pt idx="5">
                  <c:v>7.0821192052980155</c:v>
                </c:pt>
                <c:pt idx="6">
                  <c:v>6.9233544303797476</c:v>
                </c:pt>
                <c:pt idx="7">
                  <c:v>7.0107594936708866</c:v>
                </c:pt>
              </c:numCache>
            </c:numRef>
          </c:val>
          <c:smooth val="0"/>
          <c:extLst>
            <c:ext xmlns:c16="http://schemas.microsoft.com/office/drawing/2014/chart" uri="{C3380CC4-5D6E-409C-BE32-E72D297353CC}">
              <c16:uniqueId val="{00000000-23BD-4CE2-B0B4-67CA35D10515}"/>
            </c:ext>
          </c:extLst>
        </c:ser>
        <c:dLbls>
          <c:dLblPos val="t"/>
          <c:showLegendKey val="0"/>
          <c:showVal val="1"/>
          <c:showCatName val="0"/>
          <c:showSerName val="0"/>
          <c:showPercent val="0"/>
          <c:showBubbleSize val="0"/>
        </c:dLbls>
        <c:marker val="1"/>
        <c:smooth val="0"/>
        <c:axId val="1068180024"/>
        <c:axId val="1068171744"/>
      </c:lineChart>
      <c:catAx>
        <c:axId val="1068180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mn-lt"/>
                <a:ea typeface="+mn-ea"/>
                <a:cs typeface="+mn-cs"/>
              </a:defRPr>
            </a:pPr>
            <a:endParaRPr lang="en-US"/>
          </a:p>
        </c:txPr>
        <c:crossAx val="1068171744"/>
        <c:crosses val="autoZero"/>
        <c:auto val="1"/>
        <c:lblAlgn val="ctr"/>
        <c:lblOffset val="100"/>
        <c:noMultiLvlLbl val="0"/>
      </c:catAx>
      <c:valAx>
        <c:axId val="1068171744"/>
        <c:scaling>
          <c:orientation val="minMax"/>
        </c:scaling>
        <c:delete val="1"/>
        <c:axPos val="l"/>
        <c:numFmt formatCode="0.00" sourceLinked="1"/>
        <c:majorTickMark val="none"/>
        <c:minorTickMark val="none"/>
        <c:tickLblPos val="nextTo"/>
        <c:crossAx val="106818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Detection.xlsx]PT!PivotTable11</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spc="0" baseline="0">
                <a:solidFill>
                  <a:srgbClr val="002060"/>
                </a:solidFill>
                <a:latin typeface="+mn-lt"/>
                <a:ea typeface="+mn-ea"/>
                <a:cs typeface="+mn-cs"/>
              </a:defRPr>
            </a:pPr>
            <a:r>
              <a:rPr lang="en-US" sz="900" b="1" i="0" u="none" strike="noStrike" kern="1200" spc="0" baseline="0">
                <a:solidFill>
                  <a:srgbClr val="002060"/>
                </a:solidFill>
                <a:latin typeface="+mn-lt"/>
                <a:ea typeface="+mn-ea"/>
                <a:cs typeface="+mn-cs"/>
              </a:rPr>
              <a:t>Age Range by  by HbA1C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90620632164068E-2"/>
          <c:y val="0.2591622355288199"/>
          <c:w val="0.93921875873567184"/>
          <c:h val="0.6025117521482023"/>
        </c:manualLayout>
      </c:layout>
      <c:barChart>
        <c:barDir val="col"/>
        <c:grouping val="clustered"/>
        <c:varyColors val="0"/>
        <c:ser>
          <c:idx val="0"/>
          <c:order val="0"/>
          <c:tx>
            <c:strRef>
              <c:f>PT!$D$11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PT!$C$12:$C$18</c:f>
              <c:strCache>
                <c:ptCount val="6"/>
                <c:pt idx="0">
                  <c:v>0-30</c:v>
                </c:pt>
                <c:pt idx="1">
                  <c:v>31-40</c:v>
                </c:pt>
                <c:pt idx="2">
                  <c:v>41-50</c:v>
                </c:pt>
                <c:pt idx="3">
                  <c:v>51-60</c:v>
                </c:pt>
                <c:pt idx="4">
                  <c:v>61-70</c:v>
                </c:pt>
                <c:pt idx="5">
                  <c:v>71 &amp; above</c:v>
                </c:pt>
              </c:strCache>
            </c:strRef>
          </c:cat>
          <c:val>
            <c:numRef>
              <c:f>PT!$D$12:$D$18</c:f>
              <c:numCache>
                <c:formatCode>0.00</c:formatCode>
                <c:ptCount val="6"/>
                <c:pt idx="0">
                  <c:v>6.9576923076923087</c:v>
                </c:pt>
                <c:pt idx="1">
                  <c:v>6.822432432432433</c:v>
                </c:pt>
                <c:pt idx="2">
                  <c:v>7.2563999999999957</c:v>
                </c:pt>
                <c:pt idx="3">
                  <c:v>6.9824186046511612</c:v>
                </c:pt>
                <c:pt idx="4">
                  <c:v>7.0500537634408591</c:v>
                </c:pt>
                <c:pt idx="5">
                  <c:v>6.8898203592814422</c:v>
                </c:pt>
              </c:numCache>
            </c:numRef>
          </c:val>
          <c:extLst>
            <c:ext xmlns:c16="http://schemas.microsoft.com/office/drawing/2014/chart" uri="{C3380CC4-5D6E-409C-BE32-E72D297353CC}">
              <c16:uniqueId val="{00000000-46A2-4184-BF99-16B645EDA531}"/>
            </c:ext>
          </c:extLst>
        </c:ser>
        <c:dLbls>
          <c:dLblPos val="outEnd"/>
          <c:showLegendKey val="0"/>
          <c:showVal val="1"/>
          <c:showCatName val="0"/>
          <c:showSerName val="0"/>
          <c:showPercent val="0"/>
          <c:showBubbleSize val="0"/>
        </c:dLbls>
        <c:gapWidth val="219"/>
        <c:overlap val="-27"/>
        <c:axId val="1064290816"/>
        <c:axId val="1064292256"/>
      </c:barChart>
      <c:catAx>
        <c:axId val="1064290816"/>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002060"/>
                </a:solidFill>
                <a:latin typeface="+mn-lt"/>
                <a:ea typeface="+mn-ea"/>
                <a:cs typeface="+mn-cs"/>
              </a:defRPr>
            </a:pPr>
            <a:endParaRPr lang="en-US"/>
          </a:p>
        </c:txPr>
        <c:crossAx val="1064292256"/>
        <c:crosses val="autoZero"/>
        <c:auto val="1"/>
        <c:lblAlgn val="ctr"/>
        <c:lblOffset val="100"/>
        <c:noMultiLvlLbl val="0"/>
      </c:catAx>
      <c:valAx>
        <c:axId val="1064292256"/>
        <c:scaling>
          <c:orientation val="minMax"/>
        </c:scaling>
        <c:delete val="1"/>
        <c:axPos val="l"/>
        <c:numFmt formatCode="0.00" sourceLinked="1"/>
        <c:majorTickMark val="none"/>
        <c:minorTickMark val="none"/>
        <c:tickLblPos val="nextTo"/>
        <c:crossAx val="106429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[Early Detection.xlsx]PT!PivotTable17</c:name>
    <c:fmtId val="4"/>
  </c:pivotSource>
  <c:chart>
    <c:title>
      <c:tx>
        <c:rich>
          <a:bodyPr rot="0" spcFirstLastPara="1" vertOverflow="ellipsis" vert="horz" wrap="square" anchor="ctr" anchorCtr="1"/>
          <a:lstStyle/>
          <a:p>
            <a:pPr algn="ctr" rtl="0">
              <a:defRPr lang="en-GB" sz="900" b="1" i="0" u="none" strike="noStrike" kern="1200" spc="0" baseline="0">
                <a:solidFill>
                  <a:srgbClr val="002060"/>
                </a:solidFill>
                <a:latin typeface="+mn-lt"/>
                <a:ea typeface="+mn-ea"/>
                <a:cs typeface="+mn-cs"/>
              </a:defRPr>
            </a:pPr>
            <a:r>
              <a:rPr lang="en-GB" sz="900" b="1" i="0" u="none" strike="noStrike" kern="1200" spc="0" baseline="0">
                <a:solidFill>
                  <a:srgbClr val="002060"/>
                </a:solidFill>
                <a:latin typeface="+mn-lt"/>
                <a:ea typeface="+mn-ea"/>
                <a:cs typeface="+mn-cs"/>
              </a:rPr>
              <a:t>Gender by BMI &amp; Blood Sugar</a:t>
            </a:r>
          </a:p>
        </c:rich>
      </c:tx>
      <c:layout>
        <c:manualLayout>
          <c:xMode val="edge"/>
          <c:yMode val="edge"/>
          <c:x val="0.1758498826163602"/>
          <c:y val="3.031125120230652E-2"/>
        </c:manualLayout>
      </c:layout>
      <c:overlay val="0"/>
      <c:spPr>
        <a:noFill/>
        <a:ln>
          <a:noFill/>
        </a:ln>
        <a:effectLst/>
      </c:spPr>
      <c:txPr>
        <a:bodyPr rot="0" spcFirstLastPara="1" vertOverflow="ellipsis" vert="horz" wrap="square" anchor="ctr" anchorCtr="1"/>
        <a:lstStyle/>
        <a:p>
          <a:pPr algn="ctr" rtl="0">
            <a:defRPr lang="en-GB" sz="9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0.16194940828883725"/>
              <c:y val="5.0518752003844196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1.1168924709574979E-2"/>
              <c:y val="-4.0415001603075359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94881730321475"/>
          <c:y val="0.23173309551067298"/>
          <c:w val="0.75572462356546388"/>
          <c:h val="0.70059166607661827"/>
        </c:manualLayout>
      </c:layout>
      <c:barChart>
        <c:barDir val="bar"/>
        <c:grouping val="clustered"/>
        <c:varyColors val="0"/>
        <c:ser>
          <c:idx val="0"/>
          <c:order val="0"/>
          <c:tx>
            <c:strRef>
              <c:f>PT!$H$30</c:f>
              <c:strCache>
                <c:ptCount val="1"/>
                <c:pt idx="0">
                  <c:v>Avg of BMI</c:v>
                </c:pt>
              </c:strCache>
            </c:strRef>
          </c:tx>
          <c:spPr>
            <a:solidFill>
              <a:schemeClr val="accent5">
                <a:lumMod val="75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D2A-48CE-8B01-F841644697BF}"/>
              </c:ext>
            </c:extLst>
          </c:dPt>
          <c:dLbls>
            <c:dLbl>
              <c:idx val="1"/>
              <c:layout>
                <c:manualLayout>
                  <c:x val="-1.1168924709574979E-2"/>
                  <c:y val="-4.04150016030753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2A-48CE-8B01-F841644697BF}"/>
                </c:ext>
              </c:extLst>
            </c:dLbl>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PT!$G$31:$G$33</c:f>
              <c:strCache>
                <c:ptCount val="2"/>
                <c:pt idx="0">
                  <c:v>Female</c:v>
                </c:pt>
                <c:pt idx="1">
                  <c:v>Male</c:v>
                </c:pt>
              </c:strCache>
            </c:strRef>
          </c:cat>
          <c:val>
            <c:numRef>
              <c:f>PT!$H$31:$H$33</c:f>
              <c:numCache>
                <c:formatCode>0.00</c:formatCode>
                <c:ptCount val="2"/>
                <c:pt idx="0">
                  <c:v>28.926050847457645</c:v>
                </c:pt>
                <c:pt idx="1">
                  <c:v>28.792540983606546</c:v>
                </c:pt>
              </c:numCache>
            </c:numRef>
          </c:val>
          <c:extLst>
            <c:ext xmlns:c16="http://schemas.microsoft.com/office/drawing/2014/chart" uri="{C3380CC4-5D6E-409C-BE32-E72D297353CC}">
              <c16:uniqueId val="{00000000-4D2A-48CE-8B01-F841644697BF}"/>
            </c:ext>
          </c:extLst>
        </c:ser>
        <c:dLbls>
          <c:showLegendKey val="0"/>
          <c:showVal val="1"/>
          <c:showCatName val="0"/>
          <c:showSerName val="0"/>
          <c:showPercent val="0"/>
          <c:showBubbleSize val="0"/>
        </c:dLbls>
        <c:gapWidth val="219"/>
        <c:axId val="1059090232"/>
        <c:axId val="1059095272"/>
      </c:barChart>
      <c:lineChart>
        <c:grouping val="standard"/>
        <c:varyColors val="0"/>
        <c:ser>
          <c:idx val="1"/>
          <c:order val="1"/>
          <c:tx>
            <c:strRef>
              <c:f>PT!$I$30</c:f>
              <c:strCache>
                <c:ptCount val="1"/>
                <c:pt idx="0">
                  <c:v>Avg of BS Level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4D2A-48CE-8B01-F841644697BF}"/>
              </c:ext>
            </c:extLst>
          </c:dPt>
          <c:dLbls>
            <c:dLbl>
              <c:idx val="0"/>
              <c:layout>
                <c:manualLayout>
                  <c:x val="-0.16194940828883725"/>
                  <c:y val="5.051875200384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2A-48CE-8B01-F841644697BF}"/>
                </c:ext>
              </c:extLst>
            </c:dLbl>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PT!$G$31:$G$33</c:f>
              <c:strCache>
                <c:ptCount val="2"/>
                <c:pt idx="0">
                  <c:v>Female</c:v>
                </c:pt>
                <c:pt idx="1">
                  <c:v>Male</c:v>
                </c:pt>
              </c:strCache>
            </c:strRef>
          </c:cat>
          <c:val>
            <c:numRef>
              <c:f>PT!$I$31:$I$33</c:f>
              <c:numCache>
                <c:formatCode>0.0</c:formatCode>
                <c:ptCount val="2"/>
                <c:pt idx="0">
                  <c:v>184.47242372881337</c:v>
                </c:pt>
                <c:pt idx="1">
                  <c:v>185.7086393442622</c:v>
                </c:pt>
              </c:numCache>
            </c:numRef>
          </c:val>
          <c:smooth val="0"/>
          <c:extLst>
            <c:ext xmlns:c16="http://schemas.microsoft.com/office/drawing/2014/chart" uri="{C3380CC4-5D6E-409C-BE32-E72D297353CC}">
              <c16:uniqueId val="{00000001-4D2A-48CE-8B01-F841644697BF}"/>
            </c:ext>
          </c:extLst>
        </c:ser>
        <c:dLbls>
          <c:showLegendKey val="0"/>
          <c:showVal val="1"/>
          <c:showCatName val="0"/>
          <c:showSerName val="0"/>
          <c:showPercent val="0"/>
          <c:showBubbleSize val="0"/>
        </c:dLbls>
        <c:marker val="1"/>
        <c:smooth val="0"/>
        <c:axId val="1059092032"/>
        <c:axId val="1059088432"/>
      </c:lineChart>
      <c:catAx>
        <c:axId val="1059090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002060"/>
                </a:solidFill>
                <a:latin typeface="+mn-lt"/>
                <a:ea typeface="+mn-ea"/>
                <a:cs typeface="+mn-cs"/>
              </a:defRPr>
            </a:pPr>
            <a:endParaRPr lang="en-US"/>
          </a:p>
        </c:txPr>
        <c:crossAx val="1059095272"/>
        <c:crosses val="autoZero"/>
        <c:auto val="1"/>
        <c:lblAlgn val="ctr"/>
        <c:lblOffset val="100"/>
        <c:noMultiLvlLbl val="0"/>
      </c:catAx>
      <c:valAx>
        <c:axId val="1059095272"/>
        <c:scaling>
          <c:orientation val="minMax"/>
        </c:scaling>
        <c:delete val="1"/>
        <c:axPos val="b"/>
        <c:numFmt formatCode="0.00" sourceLinked="1"/>
        <c:majorTickMark val="none"/>
        <c:minorTickMark val="none"/>
        <c:tickLblPos val="nextTo"/>
        <c:crossAx val="1059090232"/>
        <c:crosses val="autoZero"/>
        <c:crossBetween val="between"/>
      </c:valAx>
      <c:valAx>
        <c:axId val="1059088432"/>
        <c:scaling>
          <c:orientation val="minMax"/>
        </c:scaling>
        <c:delete val="1"/>
        <c:axPos val="r"/>
        <c:numFmt formatCode="0.0" sourceLinked="1"/>
        <c:majorTickMark val="out"/>
        <c:minorTickMark val="none"/>
        <c:tickLblPos val="nextTo"/>
        <c:crossAx val="1059092032"/>
        <c:crosses val="max"/>
        <c:crossBetween val="between"/>
      </c:valAx>
      <c:catAx>
        <c:axId val="1059092032"/>
        <c:scaling>
          <c:orientation val="minMax"/>
        </c:scaling>
        <c:delete val="1"/>
        <c:axPos val="b"/>
        <c:numFmt formatCode="General" sourceLinked="1"/>
        <c:majorTickMark val="out"/>
        <c:minorTickMark val="none"/>
        <c:tickLblPos val="nextTo"/>
        <c:crossAx val="1059088432"/>
        <c:crosses val="autoZero"/>
        <c:auto val="1"/>
        <c:lblAlgn val="ctr"/>
        <c:lblOffset val="100"/>
        <c:noMultiLvlLbl val="0"/>
      </c:catAx>
      <c:spPr>
        <a:noFill/>
        <a:ln>
          <a:noFill/>
        </a:ln>
        <a:effectLst/>
      </c:spPr>
    </c:plotArea>
    <c:legend>
      <c:legendPos val="b"/>
      <c:layout>
        <c:manualLayout>
          <c:xMode val="edge"/>
          <c:yMode val="edge"/>
          <c:x val="0.127151172275387"/>
          <c:y val="0.84590030382852588"/>
          <c:w val="0.7456972157277808"/>
          <c:h val="0.13389219536993649"/>
        </c:manualLayout>
      </c:layout>
      <c:overlay val="0"/>
      <c:spPr>
        <a:noFill/>
        <a:ln>
          <a:noFill/>
        </a:ln>
        <a:effectLst/>
      </c:spPr>
      <c:txPr>
        <a:bodyPr rot="0" spcFirstLastPara="1" vertOverflow="ellipsis" vert="horz" wrap="square" anchor="ctr" anchorCtr="1"/>
        <a:lstStyle/>
        <a:p>
          <a:pPr algn="ctr">
            <a:defRPr lang="en-US" sz="6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277091</xdr:colOff>
      <xdr:row>0</xdr:row>
      <xdr:rowOff>103909</xdr:rowOff>
    </xdr:from>
    <xdr:to>
      <xdr:col>18</xdr:col>
      <xdr:colOff>2336</xdr:colOff>
      <xdr:row>31</xdr:row>
      <xdr:rowOff>36533</xdr:rowOff>
    </xdr:to>
    <xdr:sp macro="" textlink="">
      <xdr:nvSpPr>
        <xdr:cNvPr id="2" name="Rectangle 1">
          <a:extLst>
            <a:ext uri="{FF2B5EF4-FFF2-40B4-BE49-F238E27FC236}">
              <a16:creationId xmlns:a16="http://schemas.microsoft.com/office/drawing/2014/main" id="{FE30CF96-1DE8-E829-B6CB-ACD5B0B8E870}"/>
            </a:ext>
          </a:extLst>
        </xdr:cNvPr>
        <xdr:cNvSpPr/>
      </xdr:nvSpPr>
      <xdr:spPr>
        <a:xfrm>
          <a:off x="1489364" y="103909"/>
          <a:ext cx="9423427" cy="58381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277092</xdr:colOff>
      <xdr:row>6</xdr:row>
      <xdr:rowOff>51955</xdr:rowOff>
    </xdr:from>
    <xdr:to>
      <xdr:col>5</xdr:col>
      <xdr:colOff>17318</xdr:colOff>
      <xdr:row>30</xdr:row>
      <xdr:rowOff>121227</xdr:rowOff>
    </xdr:to>
    <xdr:sp macro="" textlink="">
      <xdr:nvSpPr>
        <xdr:cNvPr id="3" name="Rectangle 2">
          <a:extLst>
            <a:ext uri="{FF2B5EF4-FFF2-40B4-BE49-F238E27FC236}">
              <a16:creationId xmlns:a16="http://schemas.microsoft.com/office/drawing/2014/main" id="{41949009-916D-E074-AEF3-C0EDE4C2EBFD}"/>
            </a:ext>
          </a:extLst>
        </xdr:cNvPr>
        <xdr:cNvSpPr/>
      </xdr:nvSpPr>
      <xdr:spPr>
        <a:xfrm>
          <a:off x="1489365" y="1194955"/>
          <a:ext cx="1558635" cy="4641272"/>
        </a:xfrm>
        <a:prstGeom prst="rect">
          <a:avLst/>
        </a:prstGeom>
        <a:solidFill>
          <a:srgbClr val="FCFDFE"/>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84765</xdr:colOff>
      <xdr:row>16</xdr:row>
      <xdr:rowOff>183376</xdr:rowOff>
    </xdr:from>
    <xdr:to>
      <xdr:col>8</xdr:col>
      <xdr:colOff>534765</xdr:colOff>
      <xdr:row>23</xdr:row>
      <xdr:rowOff>108365</xdr:rowOff>
    </xdr:to>
    <xdr:graphicFrame macro="">
      <xdr:nvGraphicFramePr>
        <xdr:cNvPr id="8" name="Chart 7">
          <a:extLst>
            <a:ext uri="{FF2B5EF4-FFF2-40B4-BE49-F238E27FC236}">
              <a16:creationId xmlns:a16="http://schemas.microsoft.com/office/drawing/2014/main" id="{2DB061D4-A442-4448-AACA-26CE7CF8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80683</xdr:colOff>
      <xdr:row>24</xdr:row>
      <xdr:rowOff>0</xdr:rowOff>
    </xdr:from>
    <xdr:to>
      <xdr:col>8</xdr:col>
      <xdr:colOff>530683</xdr:colOff>
      <xdr:row>30</xdr:row>
      <xdr:rowOff>117000</xdr:rowOff>
    </xdr:to>
    <xdr:graphicFrame macro="">
      <xdr:nvGraphicFramePr>
        <xdr:cNvPr id="9" name="Chart 8">
          <a:extLst>
            <a:ext uri="{FF2B5EF4-FFF2-40B4-BE49-F238E27FC236}">
              <a16:creationId xmlns:a16="http://schemas.microsoft.com/office/drawing/2014/main" id="{833B4F81-9996-4345-AC8B-392436636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603436</xdr:colOff>
      <xdr:row>16</xdr:row>
      <xdr:rowOff>173173</xdr:rowOff>
    </xdr:from>
    <xdr:to>
      <xdr:col>12</xdr:col>
      <xdr:colOff>448715</xdr:colOff>
      <xdr:row>23</xdr:row>
      <xdr:rowOff>99419</xdr:rowOff>
    </xdr:to>
    <xdr:graphicFrame macro="">
      <xdr:nvGraphicFramePr>
        <xdr:cNvPr id="12" name="Chart 11">
          <a:extLst>
            <a:ext uri="{FF2B5EF4-FFF2-40B4-BE49-F238E27FC236}">
              <a16:creationId xmlns:a16="http://schemas.microsoft.com/office/drawing/2014/main" id="{8D0368C4-B350-4E7E-8679-6F2DA245A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517072</xdr:colOff>
      <xdr:row>5</xdr:row>
      <xdr:rowOff>108857</xdr:rowOff>
    </xdr:from>
    <xdr:to>
      <xdr:col>17</xdr:col>
      <xdr:colOff>544286</xdr:colOff>
      <xdr:row>30</xdr:row>
      <xdr:rowOff>122464</xdr:rowOff>
    </xdr:to>
    <xdr:sp macro="" textlink="">
      <xdr:nvSpPr>
        <xdr:cNvPr id="19" name="Rectangle 18">
          <a:extLst>
            <a:ext uri="{FF2B5EF4-FFF2-40B4-BE49-F238E27FC236}">
              <a16:creationId xmlns:a16="http://schemas.microsoft.com/office/drawing/2014/main" id="{E79B8F0A-D2E1-ACA4-F4A8-175D68CE2CC1}"/>
            </a:ext>
          </a:extLst>
        </xdr:cNvPr>
        <xdr:cNvSpPr/>
      </xdr:nvSpPr>
      <xdr:spPr>
        <a:xfrm>
          <a:off x="7864929" y="1061357"/>
          <a:ext cx="3088821" cy="4776107"/>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517072</xdr:colOff>
      <xdr:row>6</xdr:row>
      <xdr:rowOff>60174</xdr:rowOff>
    </xdr:from>
    <xdr:to>
      <xdr:col>17</xdr:col>
      <xdr:colOff>530377</xdr:colOff>
      <xdr:row>30</xdr:row>
      <xdr:rowOff>108857</xdr:rowOff>
    </xdr:to>
    <xdr:sp macro="" textlink="">
      <xdr:nvSpPr>
        <xdr:cNvPr id="18" name="Rectangle 17">
          <a:extLst>
            <a:ext uri="{FF2B5EF4-FFF2-40B4-BE49-F238E27FC236}">
              <a16:creationId xmlns:a16="http://schemas.microsoft.com/office/drawing/2014/main" id="{5317D832-A758-1639-55C4-1A212F11825F}"/>
            </a:ext>
          </a:extLst>
        </xdr:cNvPr>
        <xdr:cNvSpPr/>
      </xdr:nvSpPr>
      <xdr:spPr>
        <a:xfrm>
          <a:off x="7864929" y="1203174"/>
          <a:ext cx="3074912" cy="4620683"/>
        </a:xfrm>
        <a:prstGeom prst="rect">
          <a:avLst/>
        </a:prstGeom>
        <a:solidFill>
          <a:schemeClr val="bg1"/>
        </a:solidFill>
        <a:ln>
          <a:solidFill>
            <a:schemeClr val="tx2">
              <a:lumMod val="20000"/>
              <a:lumOff val="8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201082</xdr:colOff>
      <xdr:row>6</xdr:row>
      <xdr:rowOff>176892</xdr:rowOff>
    </xdr:from>
    <xdr:to>
      <xdr:col>17</xdr:col>
      <xdr:colOff>334509</xdr:colOff>
      <xdr:row>16</xdr:row>
      <xdr:rowOff>149677</xdr:rowOff>
    </xdr:to>
    <xdr:graphicFrame macro="">
      <xdr:nvGraphicFramePr>
        <xdr:cNvPr id="5" name="Chart 4">
          <a:extLst>
            <a:ext uri="{FF2B5EF4-FFF2-40B4-BE49-F238E27FC236}">
              <a16:creationId xmlns:a16="http://schemas.microsoft.com/office/drawing/2014/main" id="{6A5AA65E-4C74-4124-BA4D-D7F42E5C3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577592</xdr:colOff>
      <xdr:row>18</xdr:row>
      <xdr:rowOff>108858</xdr:rowOff>
    </xdr:from>
    <xdr:to>
      <xdr:col>17</xdr:col>
      <xdr:colOff>498171</xdr:colOff>
      <xdr:row>30</xdr:row>
      <xdr:rowOff>2</xdr:rowOff>
    </xdr:to>
    <xdr:graphicFrame macro="">
      <xdr:nvGraphicFramePr>
        <xdr:cNvPr id="11" name="Chart 10">
          <a:extLst>
            <a:ext uri="{FF2B5EF4-FFF2-40B4-BE49-F238E27FC236}">
              <a16:creationId xmlns:a16="http://schemas.microsoft.com/office/drawing/2014/main" id="{BD525E45-AF54-4A6F-A111-D2CB57C95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83535</xdr:colOff>
      <xdr:row>6</xdr:row>
      <xdr:rowOff>56029</xdr:rowOff>
    </xdr:from>
    <xdr:to>
      <xdr:col>12</xdr:col>
      <xdr:colOff>444524</xdr:colOff>
      <xdr:row>16</xdr:row>
      <xdr:rowOff>110458</xdr:rowOff>
    </xdr:to>
    <xdr:graphicFrame macro="">
      <xdr:nvGraphicFramePr>
        <xdr:cNvPr id="20" name="Chart 19">
          <a:extLst>
            <a:ext uri="{FF2B5EF4-FFF2-40B4-BE49-F238E27FC236}">
              <a16:creationId xmlns:a16="http://schemas.microsoft.com/office/drawing/2014/main" id="{28F34F27-A9D5-4361-A748-053DABB3D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567418</xdr:colOff>
      <xdr:row>17</xdr:row>
      <xdr:rowOff>1</xdr:rowOff>
    </xdr:from>
    <xdr:to>
      <xdr:col>17</xdr:col>
      <xdr:colOff>462643</xdr:colOff>
      <xdr:row>17</xdr:row>
      <xdr:rowOff>1</xdr:rowOff>
    </xdr:to>
    <xdr:cxnSp macro="">
      <xdr:nvCxnSpPr>
        <xdr:cNvPr id="22" name="Straight Connector 21">
          <a:extLst>
            <a:ext uri="{FF2B5EF4-FFF2-40B4-BE49-F238E27FC236}">
              <a16:creationId xmlns:a16="http://schemas.microsoft.com/office/drawing/2014/main" id="{E52E216E-A5E8-C295-A4BD-E8F88EAB9FBB}"/>
            </a:ext>
          </a:extLst>
        </xdr:cNvPr>
        <xdr:cNvCxnSpPr/>
      </xdr:nvCxnSpPr>
      <xdr:spPr>
        <a:xfrm>
          <a:off x="7915275" y="3238501"/>
          <a:ext cx="2956832" cy="0"/>
        </a:xfrm>
        <a:prstGeom prst="line">
          <a:avLst/>
        </a:prstGeom>
        <a:ln>
          <a:solidFill>
            <a:schemeClr val="tx2">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599829</xdr:colOff>
      <xdr:row>23</xdr:row>
      <xdr:rowOff>188133</xdr:rowOff>
    </xdr:from>
    <xdr:to>
      <xdr:col>12</xdr:col>
      <xdr:colOff>434771</xdr:colOff>
      <xdr:row>30</xdr:row>
      <xdr:rowOff>114633</xdr:rowOff>
    </xdr:to>
    <xdr:graphicFrame macro="">
      <xdr:nvGraphicFramePr>
        <xdr:cNvPr id="24" name="Chart 23">
          <a:extLst>
            <a:ext uri="{FF2B5EF4-FFF2-40B4-BE49-F238E27FC236}">
              <a16:creationId xmlns:a16="http://schemas.microsoft.com/office/drawing/2014/main" id="{AC7A85C8-B766-4237-BFB4-72DCD4FAF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415636</xdr:colOff>
      <xdr:row>25</xdr:row>
      <xdr:rowOff>51948</xdr:rowOff>
    </xdr:from>
    <xdr:to>
      <xdr:col>4</xdr:col>
      <xdr:colOff>467591</xdr:colOff>
      <xdr:row>30</xdr:row>
      <xdr:rowOff>51949</xdr:rowOff>
    </xdr:to>
    <mc:AlternateContent xmlns:mc="http://schemas.openxmlformats.org/markup-compatibility/2006" xmlns:a14="http://schemas.microsoft.com/office/drawing/2010/main">
      <mc:Choice Requires="a14">
        <xdr:graphicFrame macro="">
          <xdr:nvGraphicFramePr>
            <xdr:cNvPr id="29" name="Family_History">
              <a:extLst>
                <a:ext uri="{FF2B5EF4-FFF2-40B4-BE49-F238E27FC236}">
                  <a16:creationId xmlns:a16="http://schemas.microsoft.com/office/drawing/2014/main" id="{9D0962BA-254A-42C0-B55B-6C21777EDC93}"/>
                </a:ext>
              </a:extLst>
            </xdr:cNvPr>
            <xdr:cNvGraphicFramePr/>
          </xdr:nvGraphicFramePr>
          <xdr:xfrm>
            <a:off x="0" y="0"/>
            <a:ext cx="0" cy="0"/>
          </xdr:xfrm>
          <a:graphic>
            <a:graphicData uri="http://schemas.microsoft.com/office/drawing/2010/slicer">
              <sle:slicer xmlns:sle="http://schemas.microsoft.com/office/drawing/2010/slicer" name="Family_History"/>
            </a:graphicData>
          </a:graphic>
        </xdr:graphicFrame>
      </mc:Choice>
      <mc:Fallback xmlns="">
        <xdr:sp macro="" textlink="">
          <xdr:nvSpPr>
            <xdr:cNvPr id="0" name=""/>
            <xdr:cNvSpPr>
              <a:spLocks noTextEdit="1"/>
            </xdr:cNvSpPr>
          </xdr:nvSpPr>
          <xdr:spPr>
            <a:xfrm>
              <a:off x="1627909" y="4814448"/>
              <a:ext cx="1264227" cy="9525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432954</xdr:colOff>
      <xdr:row>19</xdr:row>
      <xdr:rowOff>121223</xdr:rowOff>
    </xdr:from>
    <xdr:to>
      <xdr:col>4</xdr:col>
      <xdr:colOff>536864</xdr:colOff>
      <xdr:row>24</xdr:row>
      <xdr:rowOff>121226</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E17C5E9E-EAD3-4874-B154-A895555C2C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45227" y="3740723"/>
              <a:ext cx="1316182" cy="9525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507314</xdr:colOff>
      <xdr:row>6</xdr:row>
      <xdr:rowOff>148932</xdr:rowOff>
    </xdr:from>
    <xdr:to>
      <xdr:col>4</xdr:col>
      <xdr:colOff>450272</xdr:colOff>
      <xdr:row>9</xdr:row>
      <xdr:rowOff>34636</xdr:rowOff>
    </xdr:to>
    <xdr:sp macro="" textlink="">
      <xdr:nvSpPr>
        <xdr:cNvPr id="58" name="Rectangle 5">
          <a:extLst>
            <a:ext uri="{FF2B5EF4-FFF2-40B4-BE49-F238E27FC236}">
              <a16:creationId xmlns:a16="http://schemas.microsoft.com/office/drawing/2014/main" id="{2D8DDD5B-2644-4108-048D-89A3871136C5}"/>
            </a:ext>
          </a:extLst>
        </xdr:cNvPr>
        <xdr:cNvSpPr/>
      </xdr:nvSpPr>
      <xdr:spPr>
        <a:xfrm>
          <a:off x="1719587" y="1291932"/>
          <a:ext cx="1155230" cy="457204"/>
        </a:xfrm>
        <a:prstGeom prst="rect">
          <a:avLst/>
        </a:prstGeom>
        <a:solidFill>
          <a:schemeClr val="accent1">
            <a:lumMod val="20000"/>
            <a:lumOff val="80000"/>
          </a:schemeClr>
        </a:solidFill>
        <a:ln w="12701" cap="flat">
          <a:solidFill>
            <a:srgbClr val="F3F8FF"/>
          </a:solidFill>
          <a:prstDash val="solid"/>
          <a:miter/>
        </a:ln>
        <a:effectLst>
          <a:outerShdw blurRad="50800" dist="38100" dir="2700000" algn="tl" rotWithShape="0">
            <a:prstClr val="black">
              <a:alpha val="40000"/>
            </a:prstClr>
          </a:outerShdw>
        </a:effectLst>
      </xdr:spPr>
      <xdr:txBody>
        <a:bodyPr vert="horz" wrap="square" lIns="91440" tIns="45720" rIns="91440" bIns="45720" anchor="ctr" anchorCtr="0" compatLnSpc="1">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0" i="0" u="none" strike="noStrike" kern="0" cap="none" spc="0" baseline="0">
              <a:solidFill>
                <a:srgbClr val="002060"/>
              </a:solidFill>
              <a:uFillTx/>
              <a:latin typeface="Calibri"/>
            </a:rPr>
            <a:t>Data Set</a:t>
          </a:r>
        </a:p>
      </xdr:txBody>
    </xdr:sp>
    <xdr:clientData/>
  </xdr:twoCellAnchor>
  <xdr:oneCellAnchor>
    <xdr:from>
      <xdr:col>2</xdr:col>
      <xdr:colOff>348445</xdr:colOff>
      <xdr:row>0</xdr:row>
      <xdr:rowOff>190499</xdr:rowOff>
    </xdr:from>
    <xdr:ext cx="1695100" cy="461342"/>
    <xdr:sp macro="" textlink="">
      <xdr:nvSpPr>
        <xdr:cNvPr id="104" name="TextBox 4">
          <a:extLst>
            <a:ext uri="{FF2B5EF4-FFF2-40B4-BE49-F238E27FC236}">
              <a16:creationId xmlns:a16="http://schemas.microsoft.com/office/drawing/2014/main" id="{B4BAACA7-44E2-4732-B15A-9F7D42FDBD06}"/>
            </a:ext>
          </a:extLst>
        </xdr:cNvPr>
        <xdr:cNvSpPr txBox="1"/>
      </xdr:nvSpPr>
      <xdr:spPr>
        <a:xfrm>
          <a:off x="1560718" y="190499"/>
          <a:ext cx="1695100" cy="461342"/>
        </a:xfrm>
        <a:prstGeom prst="rect">
          <a:avLst/>
        </a:prstGeom>
        <a:solidFill>
          <a:srgbClr val="FFFFFF"/>
        </a:solidFill>
        <a:ln w="9528" cap="flat">
          <a:noFill/>
          <a:prstDash val="solid"/>
          <a:miter/>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1" i="0" u="none" strike="noStrike" kern="0" cap="none" spc="0" baseline="0">
              <a:solidFill>
                <a:srgbClr val="002060"/>
              </a:solidFill>
              <a:uFillTx/>
              <a:latin typeface="Arial" pitchFamily="34"/>
              <a:cs typeface="Arial" pitchFamily="34"/>
            </a:rPr>
            <a:t>Hello Admin,</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600" b="1" i="0" u="none" strike="noStrike" kern="0" cap="none" spc="0" baseline="0">
            <a:solidFill>
              <a:srgbClr val="002060"/>
            </a:solidFill>
            <a:uFillTx/>
            <a:latin typeface="Calibri"/>
          </a:endParaRPr>
        </a:p>
      </xdr:txBody>
    </xdr:sp>
    <xdr:clientData/>
  </xdr:oneCellAnchor>
  <xdr:twoCellAnchor>
    <xdr:from>
      <xdr:col>6</xdr:col>
      <xdr:colOff>173179</xdr:colOff>
      <xdr:row>1</xdr:row>
      <xdr:rowOff>103909</xdr:rowOff>
    </xdr:from>
    <xdr:to>
      <xdr:col>9</xdr:col>
      <xdr:colOff>43732</xdr:colOff>
      <xdr:row>5</xdr:row>
      <xdr:rowOff>86390</xdr:rowOff>
    </xdr:to>
    <xdr:grpSp>
      <xdr:nvGrpSpPr>
        <xdr:cNvPr id="38" name="Group 37">
          <a:extLst>
            <a:ext uri="{FF2B5EF4-FFF2-40B4-BE49-F238E27FC236}">
              <a16:creationId xmlns:a16="http://schemas.microsoft.com/office/drawing/2014/main" id="{97D3739D-F615-D84D-E5DD-99AA09161AEC}"/>
            </a:ext>
          </a:extLst>
        </xdr:cNvPr>
        <xdr:cNvGrpSpPr/>
      </xdr:nvGrpSpPr>
      <xdr:grpSpPr>
        <a:xfrm>
          <a:off x="3809997" y="294409"/>
          <a:ext cx="1688962" cy="744481"/>
          <a:chOff x="15153409" y="3238500"/>
          <a:chExt cx="1688962" cy="744481"/>
        </a:xfrm>
      </xdr:grpSpPr>
      <xdr:grpSp>
        <xdr:nvGrpSpPr>
          <xdr:cNvPr id="16" name="Group 15">
            <a:extLst>
              <a:ext uri="{FF2B5EF4-FFF2-40B4-BE49-F238E27FC236}">
                <a16:creationId xmlns:a16="http://schemas.microsoft.com/office/drawing/2014/main" id="{AC18D754-5BD1-42FF-B17B-06C9465D7E93}"/>
              </a:ext>
            </a:extLst>
          </xdr:cNvPr>
          <xdr:cNvGrpSpPr/>
        </xdr:nvGrpSpPr>
        <xdr:grpSpPr>
          <a:xfrm>
            <a:off x="15153409" y="3238500"/>
            <a:ext cx="1688962" cy="744481"/>
            <a:chOff x="12010779" y="5396343"/>
            <a:chExt cx="1703295" cy="744481"/>
          </a:xfrm>
        </xdr:grpSpPr>
        <xdr:sp macro="" textlink="">
          <xdr:nvSpPr>
            <xdr:cNvPr id="17" name="Rectangle 5">
              <a:extLst>
                <a:ext uri="{FF2B5EF4-FFF2-40B4-BE49-F238E27FC236}">
                  <a16:creationId xmlns:a16="http://schemas.microsoft.com/office/drawing/2014/main" id="{0D51C6F2-777F-ACEE-9134-B07615D44245}"/>
                </a:ext>
              </a:extLst>
            </xdr:cNvPr>
            <xdr:cNvSpPr/>
          </xdr:nvSpPr>
          <xdr:spPr>
            <a:xfrm>
              <a:off x="12010779" y="5396343"/>
              <a:ext cx="1703295" cy="744481"/>
            </a:xfrm>
            <a:prstGeom prst="rect">
              <a:avLst/>
            </a:prstGeom>
            <a:solidFill>
              <a:srgbClr val="FCFDFE"/>
            </a:solidFill>
            <a:ln w="12701" cap="flat">
              <a:solidFill>
                <a:srgbClr val="F3F8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
          <xdr:nvSpPr>
            <xdr:cNvPr id="21" name="TextBox 18">
              <a:extLst>
                <a:ext uri="{FF2B5EF4-FFF2-40B4-BE49-F238E27FC236}">
                  <a16:creationId xmlns:a16="http://schemas.microsoft.com/office/drawing/2014/main" id="{E764EB13-F331-6014-C507-C90726C75AD5}"/>
                </a:ext>
              </a:extLst>
            </xdr:cNvPr>
            <xdr:cNvSpPr txBox="1"/>
          </xdr:nvSpPr>
          <xdr:spPr>
            <a:xfrm>
              <a:off x="12593594" y="5803836"/>
              <a:ext cx="1005252" cy="271659"/>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chemeClr val="accent6">
                      <a:lumMod val="50000"/>
                    </a:schemeClr>
                  </a:solidFill>
                  <a:uFillTx/>
                  <a:latin typeface="Calibri"/>
                </a:rPr>
                <a:t>Total Patients</a:t>
              </a:r>
            </a:p>
          </xdr:txBody>
        </xdr:sp>
        <xdr:sp macro="" textlink="">
          <xdr:nvSpPr>
            <xdr:cNvPr id="26" name="Oval 16">
              <a:extLst>
                <a:ext uri="{FF2B5EF4-FFF2-40B4-BE49-F238E27FC236}">
                  <a16:creationId xmlns:a16="http://schemas.microsoft.com/office/drawing/2014/main" id="{21E22D0A-06F4-566F-3801-591677AB058B}"/>
                </a:ext>
              </a:extLst>
            </xdr:cNvPr>
            <xdr:cNvSpPr/>
          </xdr:nvSpPr>
          <xdr:spPr>
            <a:xfrm>
              <a:off x="12089219" y="5515197"/>
              <a:ext cx="442748" cy="426254"/>
            </a:xfrm>
            <a:custGeom>
              <a:avLst/>
              <a:gdLst>
                <a:gd name="f0" fmla="val 21600000"/>
                <a:gd name="f1" fmla="val 10800000"/>
                <a:gd name="f2" fmla="val 5400000"/>
                <a:gd name="f3" fmla="val 180"/>
                <a:gd name="f4" fmla="val w"/>
                <a:gd name="f5" fmla="val h"/>
                <a:gd name="f6" fmla="val ss"/>
                <a:gd name="f7" fmla="val 0"/>
                <a:gd name="f8" fmla="*/ 5419351 1 1725033"/>
                <a:gd name="f9" fmla="+- 0 0 -360"/>
                <a:gd name="f10" fmla="+- 0 0 -180"/>
                <a:gd name="f11" fmla="abs f4"/>
                <a:gd name="f12" fmla="abs f5"/>
                <a:gd name="f13" fmla="abs f6"/>
                <a:gd name="f14" fmla="val f7"/>
                <a:gd name="f15" fmla="+- 2700000 f2 0"/>
                <a:gd name="f16" fmla="*/ f9 f1 1"/>
                <a:gd name="f17" fmla="*/ f10 f1 1"/>
                <a:gd name="f18" fmla="?: f11 f4 1"/>
                <a:gd name="f19" fmla="?: f12 f5 1"/>
                <a:gd name="f20" fmla="?: f13 f6 1"/>
                <a:gd name="f21" fmla="*/ f15 f8 1"/>
                <a:gd name="f22" fmla="*/ f16 1 f3"/>
                <a:gd name="f23" fmla="*/ f17 1 f3"/>
                <a:gd name="f24" fmla="*/ f18 1 21600"/>
                <a:gd name="f25" fmla="*/ f19 1 21600"/>
                <a:gd name="f26" fmla="*/ 21600 f18 1"/>
                <a:gd name="f27" fmla="*/ 21600 f19 1"/>
                <a:gd name="f28" fmla="*/ f21 1 f1"/>
                <a:gd name="f29" fmla="+- f22 0 f2"/>
                <a:gd name="f30" fmla="+- f23 0 f2"/>
                <a:gd name="f31" fmla="min f25 f24"/>
                <a:gd name="f32" fmla="*/ f26 1 f20"/>
                <a:gd name="f33" fmla="*/ f27 1 f20"/>
                <a:gd name="f34" fmla="+- 0 0 f28"/>
                <a:gd name="f35" fmla="val f32"/>
                <a:gd name="f36" fmla="val f33"/>
                <a:gd name="f37" fmla="+- 0 0 f34"/>
                <a:gd name="f38" fmla="*/ f14 f31 1"/>
                <a:gd name="f39" fmla="+- f36 0 f14"/>
                <a:gd name="f40" fmla="+- f35 0 f14"/>
                <a:gd name="f41" fmla="*/ f37 f1 1"/>
                <a:gd name="f42" fmla="*/ f39 1 2"/>
                <a:gd name="f43" fmla="*/ f40 1 2"/>
                <a:gd name="f44" fmla="*/ f41 1 f8"/>
                <a:gd name="f45" fmla="+- f14 f42 0"/>
                <a:gd name="f46" fmla="+- f14 f43 0"/>
                <a:gd name="f47" fmla="+- f44 0 f2"/>
                <a:gd name="f48" fmla="*/ f43 f31 1"/>
                <a:gd name="f49" fmla="*/ f42 f31 1"/>
                <a:gd name="f50" fmla="cos 1 f47"/>
                <a:gd name="f51" fmla="sin 1 f47"/>
                <a:gd name="f52" fmla="*/ f45 f31 1"/>
                <a:gd name="f53" fmla="+- 0 0 f50"/>
                <a:gd name="f54" fmla="+- 0 0 f51"/>
                <a:gd name="f55" fmla="+- 0 0 f53"/>
                <a:gd name="f56" fmla="+- 0 0 f54"/>
                <a:gd name="f57" fmla="*/ f55 f43 1"/>
                <a:gd name="f58" fmla="*/ f56 f42 1"/>
                <a:gd name="f59" fmla="+- f46 0 f57"/>
                <a:gd name="f60" fmla="+- f46 f57 0"/>
                <a:gd name="f61" fmla="+- f45 0 f58"/>
                <a:gd name="f62" fmla="+- f45 f58 0"/>
                <a:gd name="f63" fmla="*/ f59 f31 1"/>
                <a:gd name="f64" fmla="*/ f61 f31 1"/>
                <a:gd name="f65" fmla="*/ f60 f31 1"/>
                <a:gd name="f66" fmla="*/ f62 f31 1"/>
              </a:gdLst>
              <a:ahLst/>
              <a:cxnLst>
                <a:cxn ang="3cd4">
                  <a:pos x="hc" y="t"/>
                </a:cxn>
                <a:cxn ang="0">
                  <a:pos x="r" y="vc"/>
                </a:cxn>
                <a:cxn ang="cd4">
                  <a:pos x="hc" y="b"/>
                </a:cxn>
                <a:cxn ang="cd2">
                  <a:pos x="l" y="vc"/>
                </a:cxn>
                <a:cxn ang="f29">
                  <a:pos x="f63" y="f64"/>
                </a:cxn>
                <a:cxn ang="f30">
                  <a:pos x="f63" y="f66"/>
                </a:cxn>
                <a:cxn ang="f30">
                  <a:pos x="f65" y="f66"/>
                </a:cxn>
                <a:cxn ang="f29">
                  <a:pos x="f65" y="f64"/>
                </a:cxn>
              </a:cxnLst>
              <a:rect l="f63" t="f64" r="f65" b="f66"/>
              <a:pathLst>
                <a:path>
                  <a:moveTo>
                    <a:pt x="f38" y="f52"/>
                  </a:moveTo>
                  <a:arcTo wR="f48" hR="f49" stAng="f1" swAng="f0"/>
                  <a:close/>
                </a:path>
              </a:pathLst>
            </a:custGeom>
            <a:solidFill>
              <a:srgbClr val="FFFFFF"/>
            </a:solidFill>
            <a:ln w="12701" cap="flat">
              <a:solidFill>
                <a:srgbClr val="FFFF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PT!A5">
          <xdr:nvSpPr>
            <xdr:cNvPr id="25" name="TextBox 37">
              <a:extLst>
                <a:ext uri="{FF2B5EF4-FFF2-40B4-BE49-F238E27FC236}">
                  <a16:creationId xmlns:a16="http://schemas.microsoft.com/office/drawing/2014/main" id="{7A33D20E-131B-1B01-AD49-8B85FAB9A3EF}"/>
                </a:ext>
              </a:extLst>
            </xdr:cNvPr>
            <xdr:cNvSpPr txBox="1"/>
          </xdr:nvSpPr>
          <xdr:spPr>
            <a:xfrm>
              <a:off x="12603138" y="5487353"/>
              <a:ext cx="892609" cy="305619"/>
            </a:xfrm>
            <a:prstGeom prst="rect">
              <a:avLst/>
            </a:prstGeom>
            <a:noFill/>
            <a:ln cap="flat">
              <a:noFill/>
            </a:ln>
          </xdr:spPr>
          <xdr:txBody>
            <a:bodyPr vert="horz" wrap="square" lIns="91440" tIns="45720" rIns="91440" bIns="45720" anchor="ctr"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fld id="{9A0A8A96-E2AE-45E2-BA96-F20CDCF3E8BC}" type="TxLink">
                <a:rPr lang="en-US" sz="1800" b="1" i="0" u="none" strike="noStrike" kern="0" cap="none" spc="0" baseline="0">
                  <a:solidFill>
                    <a:srgbClr val="002060"/>
                  </a:solidFill>
                  <a:uFillTx/>
                  <a:latin typeface="Calibri"/>
                  <a:cs typeface="Calibri"/>
                </a:rPr>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t> 1,200 </a:t>
              </a:fld>
              <a:endParaRPr lang="en-GB" sz="2800" b="1" i="0" u="none" strike="noStrike" kern="0" cap="none" spc="0" baseline="0">
                <a:solidFill>
                  <a:srgbClr val="002060"/>
                </a:solidFill>
                <a:uFillTx/>
                <a:latin typeface="Calibri"/>
              </a:endParaRPr>
            </a:p>
          </xdr:txBody>
        </xdr:sp>
      </xdr:grpSp>
      <xdr:pic>
        <xdr:nvPicPr>
          <xdr:cNvPr id="37" name="Picture 36">
            <a:extLst>
              <a:ext uri="{FF2B5EF4-FFF2-40B4-BE49-F238E27FC236}">
                <a16:creationId xmlns:a16="http://schemas.microsoft.com/office/drawing/2014/main" id="{AB12FFA6-8579-DBCA-2A74-AE8981CC7C4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309274" y="3446318"/>
            <a:ext cx="288000" cy="288000"/>
          </a:xfrm>
          <a:prstGeom prst="rect">
            <a:avLst/>
          </a:prstGeom>
        </xdr:spPr>
      </xdr:pic>
    </xdr:grpSp>
    <xdr:clientData/>
  </xdr:twoCellAnchor>
  <xdr:twoCellAnchor>
    <xdr:from>
      <xdr:col>15</xdr:col>
      <xdr:colOff>67440</xdr:colOff>
      <xdr:row>1</xdr:row>
      <xdr:rowOff>107368</xdr:rowOff>
    </xdr:from>
    <xdr:to>
      <xdr:col>17</xdr:col>
      <xdr:colOff>544129</xdr:colOff>
      <xdr:row>5</xdr:row>
      <xdr:rowOff>89849</xdr:rowOff>
    </xdr:to>
    <xdr:grpSp>
      <xdr:nvGrpSpPr>
        <xdr:cNvPr id="44" name="Group 43">
          <a:extLst>
            <a:ext uri="{FF2B5EF4-FFF2-40B4-BE49-F238E27FC236}">
              <a16:creationId xmlns:a16="http://schemas.microsoft.com/office/drawing/2014/main" id="{DB235FCB-6660-581A-F255-EC74B761013E}"/>
            </a:ext>
          </a:extLst>
        </xdr:cNvPr>
        <xdr:cNvGrpSpPr/>
      </xdr:nvGrpSpPr>
      <xdr:grpSpPr>
        <a:xfrm>
          <a:off x="9159485" y="297868"/>
          <a:ext cx="1688962" cy="744481"/>
          <a:chOff x="18563258" y="869368"/>
          <a:chExt cx="1688962" cy="744481"/>
        </a:xfrm>
      </xdr:grpSpPr>
      <xdr:grpSp>
        <xdr:nvGrpSpPr>
          <xdr:cNvPr id="90" name="Group 89">
            <a:extLst>
              <a:ext uri="{FF2B5EF4-FFF2-40B4-BE49-F238E27FC236}">
                <a16:creationId xmlns:a16="http://schemas.microsoft.com/office/drawing/2014/main" id="{A3E158D3-428C-3271-BA26-6E4131BDA636}"/>
              </a:ext>
            </a:extLst>
          </xdr:cNvPr>
          <xdr:cNvGrpSpPr/>
        </xdr:nvGrpSpPr>
        <xdr:grpSpPr>
          <a:xfrm>
            <a:off x="18563258" y="869368"/>
            <a:ext cx="1688962" cy="744481"/>
            <a:chOff x="12010774" y="5396343"/>
            <a:chExt cx="1703294" cy="744481"/>
          </a:xfrm>
        </xdr:grpSpPr>
        <xdr:sp macro="" textlink="">
          <xdr:nvSpPr>
            <xdr:cNvPr id="91" name="Rectangle 5">
              <a:extLst>
                <a:ext uri="{FF2B5EF4-FFF2-40B4-BE49-F238E27FC236}">
                  <a16:creationId xmlns:a16="http://schemas.microsoft.com/office/drawing/2014/main" id="{9422EFB5-5271-AA39-B0C0-578201B54E11}"/>
                </a:ext>
              </a:extLst>
            </xdr:cNvPr>
            <xdr:cNvSpPr/>
          </xdr:nvSpPr>
          <xdr:spPr>
            <a:xfrm>
              <a:off x="12010774" y="5396343"/>
              <a:ext cx="1703294" cy="744481"/>
            </a:xfrm>
            <a:prstGeom prst="rect">
              <a:avLst/>
            </a:prstGeom>
            <a:solidFill>
              <a:srgbClr val="FCFDFE"/>
            </a:solidFill>
            <a:ln w="12701" cap="flat">
              <a:solidFill>
                <a:srgbClr val="F3F8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
          <xdr:nvSpPr>
            <xdr:cNvPr id="92" name="TextBox 18">
              <a:extLst>
                <a:ext uri="{FF2B5EF4-FFF2-40B4-BE49-F238E27FC236}">
                  <a16:creationId xmlns:a16="http://schemas.microsoft.com/office/drawing/2014/main" id="{AC637BF9-BD9E-895E-4D03-34F9EC731A4D}"/>
                </a:ext>
              </a:extLst>
            </xdr:cNvPr>
            <xdr:cNvSpPr txBox="1"/>
          </xdr:nvSpPr>
          <xdr:spPr>
            <a:xfrm>
              <a:off x="12593593" y="5803836"/>
              <a:ext cx="1005251" cy="271659"/>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chemeClr val="accent6">
                      <a:lumMod val="50000"/>
                    </a:schemeClr>
                  </a:solidFill>
                  <a:uFillTx/>
                  <a:latin typeface="+mn-lt"/>
                </a:rPr>
                <a:t>Avg of HbA1c</a:t>
              </a:r>
            </a:p>
          </xdr:txBody>
        </xdr:sp>
        <xdr:sp macro="" textlink="">
          <xdr:nvSpPr>
            <xdr:cNvPr id="95" name="Oval 16">
              <a:extLst>
                <a:ext uri="{FF2B5EF4-FFF2-40B4-BE49-F238E27FC236}">
                  <a16:creationId xmlns:a16="http://schemas.microsoft.com/office/drawing/2014/main" id="{395DA87C-5194-592C-86C2-899EE565D82D}"/>
                </a:ext>
              </a:extLst>
            </xdr:cNvPr>
            <xdr:cNvSpPr/>
          </xdr:nvSpPr>
          <xdr:spPr>
            <a:xfrm>
              <a:off x="12089214" y="5515197"/>
              <a:ext cx="442747" cy="426254"/>
            </a:xfrm>
            <a:custGeom>
              <a:avLst/>
              <a:gdLst>
                <a:gd name="f0" fmla="val 21600000"/>
                <a:gd name="f1" fmla="val 10800000"/>
                <a:gd name="f2" fmla="val 5400000"/>
                <a:gd name="f3" fmla="val 180"/>
                <a:gd name="f4" fmla="val w"/>
                <a:gd name="f5" fmla="val h"/>
                <a:gd name="f6" fmla="val ss"/>
                <a:gd name="f7" fmla="val 0"/>
                <a:gd name="f8" fmla="*/ 5419351 1 1725033"/>
                <a:gd name="f9" fmla="+- 0 0 -360"/>
                <a:gd name="f10" fmla="+- 0 0 -180"/>
                <a:gd name="f11" fmla="abs f4"/>
                <a:gd name="f12" fmla="abs f5"/>
                <a:gd name="f13" fmla="abs f6"/>
                <a:gd name="f14" fmla="val f7"/>
                <a:gd name="f15" fmla="+- 2700000 f2 0"/>
                <a:gd name="f16" fmla="*/ f9 f1 1"/>
                <a:gd name="f17" fmla="*/ f10 f1 1"/>
                <a:gd name="f18" fmla="?: f11 f4 1"/>
                <a:gd name="f19" fmla="?: f12 f5 1"/>
                <a:gd name="f20" fmla="?: f13 f6 1"/>
                <a:gd name="f21" fmla="*/ f15 f8 1"/>
                <a:gd name="f22" fmla="*/ f16 1 f3"/>
                <a:gd name="f23" fmla="*/ f17 1 f3"/>
                <a:gd name="f24" fmla="*/ f18 1 21600"/>
                <a:gd name="f25" fmla="*/ f19 1 21600"/>
                <a:gd name="f26" fmla="*/ 21600 f18 1"/>
                <a:gd name="f27" fmla="*/ 21600 f19 1"/>
                <a:gd name="f28" fmla="*/ f21 1 f1"/>
                <a:gd name="f29" fmla="+- f22 0 f2"/>
                <a:gd name="f30" fmla="+- f23 0 f2"/>
                <a:gd name="f31" fmla="min f25 f24"/>
                <a:gd name="f32" fmla="*/ f26 1 f20"/>
                <a:gd name="f33" fmla="*/ f27 1 f20"/>
                <a:gd name="f34" fmla="+- 0 0 f28"/>
                <a:gd name="f35" fmla="val f32"/>
                <a:gd name="f36" fmla="val f33"/>
                <a:gd name="f37" fmla="+- 0 0 f34"/>
                <a:gd name="f38" fmla="*/ f14 f31 1"/>
                <a:gd name="f39" fmla="+- f36 0 f14"/>
                <a:gd name="f40" fmla="+- f35 0 f14"/>
                <a:gd name="f41" fmla="*/ f37 f1 1"/>
                <a:gd name="f42" fmla="*/ f39 1 2"/>
                <a:gd name="f43" fmla="*/ f40 1 2"/>
                <a:gd name="f44" fmla="*/ f41 1 f8"/>
                <a:gd name="f45" fmla="+- f14 f42 0"/>
                <a:gd name="f46" fmla="+- f14 f43 0"/>
                <a:gd name="f47" fmla="+- f44 0 f2"/>
                <a:gd name="f48" fmla="*/ f43 f31 1"/>
                <a:gd name="f49" fmla="*/ f42 f31 1"/>
                <a:gd name="f50" fmla="cos 1 f47"/>
                <a:gd name="f51" fmla="sin 1 f47"/>
                <a:gd name="f52" fmla="*/ f45 f31 1"/>
                <a:gd name="f53" fmla="+- 0 0 f50"/>
                <a:gd name="f54" fmla="+- 0 0 f51"/>
                <a:gd name="f55" fmla="+- 0 0 f53"/>
                <a:gd name="f56" fmla="+- 0 0 f54"/>
                <a:gd name="f57" fmla="*/ f55 f43 1"/>
                <a:gd name="f58" fmla="*/ f56 f42 1"/>
                <a:gd name="f59" fmla="+- f46 0 f57"/>
                <a:gd name="f60" fmla="+- f46 f57 0"/>
                <a:gd name="f61" fmla="+- f45 0 f58"/>
                <a:gd name="f62" fmla="+- f45 f58 0"/>
                <a:gd name="f63" fmla="*/ f59 f31 1"/>
                <a:gd name="f64" fmla="*/ f61 f31 1"/>
                <a:gd name="f65" fmla="*/ f60 f31 1"/>
                <a:gd name="f66" fmla="*/ f62 f31 1"/>
              </a:gdLst>
              <a:ahLst/>
              <a:cxnLst>
                <a:cxn ang="3cd4">
                  <a:pos x="hc" y="t"/>
                </a:cxn>
                <a:cxn ang="0">
                  <a:pos x="r" y="vc"/>
                </a:cxn>
                <a:cxn ang="cd4">
                  <a:pos x="hc" y="b"/>
                </a:cxn>
                <a:cxn ang="cd2">
                  <a:pos x="l" y="vc"/>
                </a:cxn>
                <a:cxn ang="f29">
                  <a:pos x="f63" y="f64"/>
                </a:cxn>
                <a:cxn ang="f30">
                  <a:pos x="f63" y="f66"/>
                </a:cxn>
                <a:cxn ang="f30">
                  <a:pos x="f65" y="f66"/>
                </a:cxn>
                <a:cxn ang="f29">
                  <a:pos x="f65" y="f64"/>
                </a:cxn>
              </a:cxnLst>
              <a:rect l="f63" t="f64" r="f65" b="f66"/>
              <a:pathLst>
                <a:path>
                  <a:moveTo>
                    <a:pt x="f38" y="f52"/>
                  </a:moveTo>
                  <a:arcTo wR="f48" hR="f49" stAng="f1" swAng="f0"/>
                  <a:close/>
                </a:path>
              </a:pathLst>
            </a:custGeom>
            <a:solidFill>
              <a:srgbClr val="FFFFFF"/>
            </a:solidFill>
            <a:ln w="12701" cap="flat">
              <a:solidFill>
                <a:srgbClr val="FFFF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PT!A12">
          <xdr:nvSpPr>
            <xdr:cNvPr id="94" name="TextBox 37">
              <a:extLst>
                <a:ext uri="{FF2B5EF4-FFF2-40B4-BE49-F238E27FC236}">
                  <a16:creationId xmlns:a16="http://schemas.microsoft.com/office/drawing/2014/main" id="{030BCE18-6A69-BD7D-A917-5484325299C8}"/>
                </a:ext>
              </a:extLst>
            </xdr:cNvPr>
            <xdr:cNvSpPr txBox="1"/>
          </xdr:nvSpPr>
          <xdr:spPr>
            <a:xfrm>
              <a:off x="12603138" y="5487353"/>
              <a:ext cx="892609" cy="305619"/>
            </a:xfrm>
            <a:prstGeom prst="rect">
              <a:avLst/>
            </a:prstGeom>
            <a:noFill/>
            <a:ln cap="flat">
              <a:noFill/>
            </a:ln>
          </xdr:spPr>
          <xdr:txBody>
            <a:bodyPr vert="horz" wrap="square" lIns="91440" tIns="45720" rIns="91440" bIns="45720" anchor="ctr"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fld id="{6F043FC8-6337-4DA0-B0DC-B94D419A553F}" type="TxLink">
                <a:rPr lang="en-US" sz="1800" b="1" i="0" u="none" strike="noStrike" kern="0" cap="none" spc="0" baseline="0">
                  <a:solidFill>
                    <a:schemeClr val="accent5">
                      <a:lumMod val="50000"/>
                    </a:schemeClr>
                  </a:solidFill>
                  <a:uFillTx/>
                  <a:latin typeface="Calibri"/>
                  <a:cs typeface="Calibri"/>
                </a:rPr>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t>7.0</a:t>
              </a:fld>
              <a:endParaRPr lang="en-US" sz="1800" b="1" i="0" u="none" strike="noStrike" kern="0" cap="none" spc="0" baseline="0">
                <a:solidFill>
                  <a:schemeClr val="accent5">
                    <a:lumMod val="50000"/>
                  </a:schemeClr>
                </a:solidFill>
                <a:uFillTx/>
                <a:latin typeface="Calibri"/>
                <a:cs typeface="Calibri"/>
              </a:endParaRPr>
            </a:p>
          </xdr:txBody>
        </xdr:sp>
      </xdr:grpSp>
      <xdr:pic>
        <xdr:nvPicPr>
          <xdr:cNvPr id="40" name="Picture 39">
            <a:extLst>
              <a:ext uri="{FF2B5EF4-FFF2-40B4-BE49-F238E27FC236}">
                <a16:creationId xmlns:a16="http://schemas.microsoft.com/office/drawing/2014/main" id="{3BDC0008-2331-4C53-B214-6A2FD013BF7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719121" y="1077186"/>
            <a:ext cx="288000" cy="288000"/>
          </a:xfrm>
          <a:prstGeom prst="rect">
            <a:avLst/>
          </a:prstGeom>
        </xdr:spPr>
      </xdr:pic>
    </xdr:grpSp>
    <xdr:clientData/>
  </xdr:twoCellAnchor>
  <xdr:twoCellAnchor>
    <xdr:from>
      <xdr:col>9</xdr:col>
      <xdr:colOff>150566</xdr:colOff>
      <xdr:row>1</xdr:row>
      <xdr:rowOff>103905</xdr:rowOff>
    </xdr:from>
    <xdr:to>
      <xdr:col>12</xdr:col>
      <xdr:colOff>21119</xdr:colOff>
      <xdr:row>5</xdr:row>
      <xdr:rowOff>86386</xdr:rowOff>
    </xdr:to>
    <xdr:grpSp>
      <xdr:nvGrpSpPr>
        <xdr:cNvPr id="45" name="Group 44">
          <a:extLst>
            <a:ext uri="{FF2B5EF4-FFF2-40B4-BE49-F238E27FC236}">
              <a16:creationId xmlns:a16="http://schemas.microsoft.com/office/drawing/2014/main" id="{CBF39B69-4B0F-818D-F8F9-DB577A959C2F}"/>
            </a:ext>
          </a:extLst>
        </xdr:cNvPr>
        <xdr:cNvGrpSpPr/>
      </xdr:nvGrpSpPr>
      <xdr:grpSpPr>
        <a:xfrm>
          <a:off x="5605793" y="294405"/>
          <a:ext cx="1688962" cy="744481"/>
          <a:chOff x="21313387" y="952496"/>
          <a:chExt cx="1688962" cy="744481"/>
        </a:xfrm>
      </xdr:grpSpPr>
      <xdr:grpSp>
        <xdr:nvGrpSpPr>
          <xdr:cNvPr id="97" name="Group 96">
            <a:extLst>
              <a:ext uri="{FF2B5EF4-FFF2-40B4-BE49-F238E27FC236}">
                <a16:creationId xmlns:a16="http://schemas.microsoft.com/office/drawing/2014/main" id="{C99C14D4-B35D-8474-BF12-AE8C64326F6D}"/>
              </a:ext>
            </a:extLst>
          </xdr:cNvPr>
          <xdr:cNvGrpSpPr/>
        </xdr:nvGrpSpPr>
        <xdr:grpSpPr>
          <a:xfrm>
            <a:off x="21313387" y="952496"/>
            <a:ext cx="1688962" cy="744481"/>
            <a:chOff x="12010774" y="5396343"/>
            <a:chExt cx="1703294" cy="744481"/>
          </a:xfrm>
        </xdr:grpSpPr>
        <xdr:sp macro="" textlink="">
          <xdr:nvSpPr>
            <xdr:cNvPr id="98" name="Rectangle 5">
              <a:extLst>
                <a:ext uri="{FF2B5EF4-FFF2-40B4-BE49-F238E27FC236}">
                  <a16:creationId xmlns:a16="http://schemas.microsoft.com/office/drawing/2014/main" id="{8A3CE52E-1BFE-7048-0436-4CA4FC1182A1}"/>
                </a:ext>
              </a:extLst>
            </xdr:cNvPr>
            <xdr:cNvSpPr/>
          </xdr:nvSpPr>
          <xdr:spPr>
            <a:xfrm>
              <a:off x="12010774" y="5396343"/>
              <a:ext cx="1703294" cy="744481"/>
            </a:xfrm>
            <a:prstGeom prst="rect">
              <a:avLst/>
            </a:prstGeom>
            <a:solidFill>
              <a:srgbClr val="FCFDFE"/>
            </a:solidFill>
            <a:ln w="12701" cap="flat">
              <a:solidFill>
                <a:srgbClr val="F3F8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
          <xdr:nvSpPr>
            <xdr:cNvPr id="99" name="TextBox 18">
              <a:extLst>
                <a:ext uri="{FF2B5EF4-FFF2-40B4-BE49-F238E27FC236}">
                  <a16:creationId xmlns:a16="http://schemas.microsoft.com/office/drawing/2014/main" id="{3C14CE54-1F3B-4044-FAF2-5FADE9F6F865}"/>
                </a:ext>
              </a:extLst>
            </xdr:cNvPr>
            <xdr:cNvSpPr txBox="1"/>
          </xdr:nvSpPr>
          <xdr:spPr>
            <a:xfrm>
              <a:off x="12593593" y="5803836"/>
              <a:ext cx="1005251" cy="271659"/>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chemeClr val="accent6">
                      <a:lumMod val="50000"/>
                    </a:schemeClr>
                  </a:solidFill>
                  <a:uFillTx/>
                  <a:latin typeface="+mn-lt"/>
                </a:rPr>
                <a:t>Avg of Chol</a:t>
              </a:r>
            </a:p>
          </xdr:txBody>
        </xdr:sp>
        <xdr:sp macro="" textlink="">
          <xdr:nvSpPr>
            <xdr:cNvPr id="102" name="Oval 16">
              <a:extLst>
                <a:ext uri="{FF2B5EF4-FFF2-40B4-BE49-F238E27FC236}">
                  <a16:creationId xmlns:a16="http://schemas.microsoft.com/office/drawing/2014/main" id="{4A5B9025-8BD3-19FB-32A1-50D3ADA86879}"/>
                </a:ext>
              </a:extLst>
            </xdr:cNvPr>
            <xdr:cNvSpPr/>
          </xdr:nvSpPr>
          <xdr:spPr>
            <a:xfrm>
              <a:off x="12089214" y="5515197"/>
              <a:ext cx="442747" cy="426254"/>
            </a:xfrm>
            <a:custGeom>
              <a:avLst/>
              <a:gdLst>
                <a:gd name="f0" fmla="val 21600000"/>
                <a:gd name="f1" fmla="val 10800000"/>
                <a:gd name="f2" fmla="val 5400000"/>
                <a:gd name="f3" fmla="val 180"/>
                <a:gd name="f4" fmla="val w"/>
                <a:gd name="f5" fmla="val h"/>
                <a:gd name="f6" fmla="val ss"/>
                <a:gd name="f7" fmla="val 0"/>
                <a:gd name="f8" fmla="*/ 5419351 1 1725033"/>
                <a:gd name="f9" fmla="+- 0 0 -360"/>
                <a:gd name="f10" fmla="+- 0 0 -180"/>
                <a:gd name="f11" fmla="abs f4"/>
                <a:gd name="f12" fmla="abs f5"/>
                <a:gd name="f13" fmla="abs f6"/>
                <a:gd name="f14" fmla="val f7"/>
                <a:gd name="f15" fmla="+- 2700000 f2 0"/>
                <a:gd name="f16" fmla="*/ f9 f1 1"/>
                <a:gd name="f17" fmla="*/ f10 f1 1"/>
                <a:gd name="f18" fmla="?: f11 f4 1"/>
                <a:gd name="f19" fmla="?: f12 f5 1"/>
                <a:gd name="f20" fmla="?: f13 f6 1"/>
                <a:gd name="f21" fmla="*/ f15 f8 1"/>
                <a:gd name="f22" fmla="*/ f16 1 f3"/>
                <a:gd name="f23" fmla="*/ f17 1 f3"/>
                <a:gd name="f24" fmla="*/ f18 1 21600"/>
                <a:gd name="f25" fmla="*/ f19 1 21600"/>
                <a:gd name="f26" fmla="*/ 21600 f18 1"/>
                <a:gd name="f27" fmla="*/ 21600 f19 1"/>
                <a:gd name="f28" fmla="*/ f21 1 f1"/>
                <a:gd name="f29" fmla="+- f22 0 f2"/>
                <a:gd name="f30" fmla="+- f23 0 f2"/>
                <a:gd name="f31" fmla="min f25 f24"/>
                <a:gd name="f32" fmla="*/ f26 1 f20"/>
                <a:gd name="f33" fmla="*/ f27 1 f20"/>
                <a:gd name="f34" fmla="+- 0 0 f28"/>
                <a:gd name="f35" fmla="val f32"/>
                <a:gd name="f36" fmla="val f33"/>
                <a:gd name="f37" fmla="+- 0 0 f34"/>
                <a:gd name="f38" fmla="*/ f14 f31 1"/>
                <a:gd name="f39" fmla="+- f36 0 f14"/>
                <a:gd name="f40" fmla="+- f35 0 f14"/>
                <a:gd name="f41" fmla="*/ f37 f1 1"/>
                <a:gd name="f42" fmla="*/ f39 1 2"/>
                <a:gd name="f43" fmla="*/ f40 1 2"/>
                <a:gd name="f44" fmla="*/ f41 1 f8"/>
                <a:gd name="f45" fmla="+- f14 f42 0"/>
                <a:gd name="f46" fmla="+- f14 f43 0"/>
                <a:gd name="f47" fmla="+- f44 0 f2"/>
                <a:gd name="f48" fmla="*/ f43 f31 1"/>
                <a:gd name="f49" fmla="*/ f42 f31 1"/>
                <a:gd name="f50" fmla="cos 1 f47"/>
                <a:gd name="f51" fmla="sin 1 f47"/>
                <a:gd name="f52" fmla="*/ f45 f31 1"/>
                <a:gd name="f53" fmla="+- 0 0 f50"/>
                <a:gd name="f54" fmla="+- 0 0 f51"/>
                <a:gd name="f55" fmla="+- 0 0 f53"/>
                <a:gd name="f56" fmla="+- 0 0 f54"/>
                <a:gd name="f57" fmla="*/ f55 f43 1"/>
                <a:gd name="f58" fmla="*/ f56 f42 1"/>
                <a:gd name="f59" fmla="+- f46 0 f57"/>
                <a:gd name="f60" fmla="+- f46 f57 0"/>
                <a:gd name="f61" fmla="+- f45 0 f58"/>
                <a:gd name="f62" fmla="+- f45 f58 0"/>
                <a:gd name="f63" fmla="*/ f59 f31 1"/>
                <a:gd name="f64" fmla="*/ f61 f31 1"/>
                <a:gd name="f65" fmla="*/ f60 f31 1"/>
                <a:gd name="f66" fmla="*/ f62 f31 1"/>
              </a:gdLst>
              <a:ahLst/>
              <a:cxnLst>
                <a:cxn ang="3cd4">
                  <a:pos x="hc" y="t"/>
                </a:cxn>
                <a:cxn ang="0">
                  <a:pos x="r" y="vc"/>
                </a:cxn>
                <a:cxn ang="cd4">
                  <a:pos x="hc" y="b"/>
                </a:cxn>
                <a:cxn ang="cd2">
                  <a:pos x="l" y="vc"/>
                </a:cxn>
                <a:cxn ang="f29">
                  <a:pos x="f63" y="f64"/>
                </a:cxn>
                <a:cxn ang="f30">
                  <a:pos x="f63" y="f66"/>
                </a:cxn>
                <a:cxn ang="f30">
                  <a:pos x="f65" y="f66"/>
                </a:cxn>
                <a:cxn ang="f29">
                  <a:pos x="f65" y="f64"/>
                </a:cxn>
              </a:cxnLst>
              <a:rect l="f63" t="f64" r="f65" b="f66"/>
              <a:pathLst>
                <a:path>
                  <a:moveTo>
                    <a:pt x="f38" y="f52"/>
                  </a:moveTo>
                  <a:arcTo wR="f48" hR="f49" stAng="f1" swAng="f0"/>
                  <a:close/>
                </a:path>
              </a:pathLst>
            </a:custGeom>
            <a:solidFill>
              <a:srgbClr val="FFFFFF"/>
            </a:solidFill>
            <a:ln w="12701" cap="flat">
              <a:solidFill>
                <a:srgbClr val="FFFF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PT!A20">
          <xdr:nvSpPr>
            <xdr:cNvPr id="101" name="TextBox 37">
              <a:extLst>
                <a:ext uri="{FF2B5EF4-FFF2-40B4-BE49-F238E27FC236}">
                  <a16:creationId xmlns:a16="http://schemas.microsoft.com/office/drawing/2014/main" id="{7AB1DD43-77CA-93BD-F55A-960F0FFF1F5C}"/>
                </a:ext>
              </a:extLst>
            </xdr:cNvPr>
            <xdr:cNvSpPr txBox="1"/>
          </xdr:nvSpPr>
          <xdr:spPr>
            <a:xfrm>
              <a:off x="12690463" y="5487353"/>
              <a:ext cx="892609" cy="305619"/>
            </a:xfrm>
            <a:prstGeom prst="rect">
              <a:avLst/>
            </a:prstGeom>
            <a:noFill/>
            <a:ln cap="flat">
              <a:noFill/>
            </a:ln>
          </xdr:spPr>
          <xdr:txBody>
            <a:bodyPr vert="horz" wrap="square" lIns="91440" tIns="45720" rIns="91440" bIns="45720" anchor="ctr"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fld id="{B027AE47-3076-4DBE-B399-13B5D1DC5663}" type="TxLink">
                <a:rPr lang="en-US" sz="1800" b="1" i="0" u="none" strike="noStrike" kern="0" cap="none" spc="0" baseline="0">
                  <a:solidFill>
                    <a:schemeClr val="accent5">
                      <a:lumMod val="50000"/>
                    </a:schemeClr>
                  </a:solidFill>
                  <a:uFillTx/>
                  <a:latin typeface="Calibri"/>
                  <a:cs typeface="Calibri"/>
                </a:rPr>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t>201.6</a:t>
              </a:fld>
              <a:endParaRPr lang="en-GB" sz="3600" b="1" i="0" u="none" strike="noStrike" kern="0" cap="none" spc="0" baseline="0">
                <a:solidFill>
                  <a:schemeClr val="accent5">
                    <a:lumMod val="50000"/>
                  </a:schemeClr>
                </a:solidFill>
                <a:uFillTx/>
                <a:latin typeface="Calibri"/>
              </a:endParaRPr>
            </a:p>
          </xdr:txBody>
        </xdr:sp>
      </xdr:grpSp>
      <xdr:pic>
        <xdr:nvPicPr>
          <xdr:cNvPr id="41" name="Picture 40">
            <a:extLst>
              <a:ext uri="{FF2B5EF4-FFF2-40B4-BE49-F238E27FC236}">
                <a16:creationId xmlns:a16="http://schemas.microsoft.com/office/drawing/2014/main" id="{B1254ED6-D6CA-4057-A00F-162ED79930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491863" y="1125682"/>
            <a:ext cx="286198" cy="286198"/>
          </a:xfrm>
          <a:prstGeom prst="rect">
            <a:avLst/>
          </a:prstGeom>
        </xdr:spPr>
      </xdr:pic>
    </xdr:grpSp>
    <xdr:clientData/>
  </xdr:twoCellAnchor>
  <xdr:twoCellAnchor>
    <xdr:from>
      <xdr:col>12</xdr:col>
      <xdr:colOff>105539</xdr:colOff>
      <xdr:row>1</xdr:row>
      <xdr:rowOff>110833</xdr:rowOff>
    </xdr:from>
    <xdr:to>
      <xdr:col>14</xdr:col>
      <xdr:colOff>582228</xdr:colOff>
      <xdr:row>5</xdr:row>
      <xdr:rowOff>93314</xdr:rowOff>
    </xdr:to>
    <xdr:grpSp>
      <xdr:nvGrpSpPr>
        <xdr:cNvPr id="43" name="Group 42">
          <a:extLst>
            <a:ext uri="{FF2B5EF4-FFF2-40B4-BE49-F238E27FC236}">
              <a16:creationId xmlns:a16="http://schemas.microsoft.com/office/drawing/2014/main" id="{2DDD273E-19F0-CC73-2979-A781A26102BE}"/>
            </a:ext>
          </a:extLst>
        </xdr:cNvPr>
        <xdr:cNvGrpSpPr/>
      </xdr:nvGrpSpPr>
      <xdr:grpSpPr>
        <a:xfrm>
          <a:off x="7379175" y="301333"/>
          <a:ext cx="1688962" cy="744481"/>
          <a:chOff x="15899723" y="716969"/>
          <a:chExt cx="1688962" cy="744481"/>
        </a:xfrm>
      </xdr:grpSpPr>
      <xdr:grpSp>
        <xdr:nvGrpSpPr>
          <xdr:cNvPr id="83" name="Group 82">
            <a:extLst>
              <a:ext uri="{FF2B5EF4-FFF2-40B4-BE49-F238E27FC236}">
                <a16:creationId xmlns:a16="http://schemas.microsoft.com/office/drawing/2014/main" id="{3A3B2E7B-1468-1B8F-0E9E-1F4166D2D2C1}"/>
              </a:ext>
            </a:extLst>
          </xdr:cNvPr>
          <xdr:cNvGrpSpPr/>
        </xdr:nvGrpSpPr>
        <xdr:grpSpPr>
          <a:xfrm>
            <a:off x="15899723" y="716969"/>
            <a:ext cx="1688962" cy="744481"/>
            <a:chOff x="12010774" y="5396343"/>
            <a:chExt cx="1703294" cy="744481"/>
          </a:xfrm>
        </xdr:grpSpPr>
        <xdr:sp macro="" textlink="">
          <xdr:nvSpPr>
            <xdr:cNvPr id="84" name="Rectangle 5">
              <a:extLst>
                <a:ext uri="{FF2B5EF4-FFF2-40B4-BE49-F238E27FC236}">
                  <a16:creationId xmlns:a16="http://schemas.microsoft.com/office/drawing/2014/main" id="{DE6E1905-D2FD-3A9A-8E1A-E75AA1662171}"/>
                </a:ext>
              </a:extLst>
            </xdr:cNvPr>
            <xdr:cNvSpPr/>
          </xdr:nvSpPr>
          <xdr:spPr>
            <a:xfrm>
              <a:off x="12010774" y="5396343"/>
              <a:ext cx="1703294" cy="744481"/>
            </a:xfrm>
            <a:prstGeom prst="rect">
              <a:avLst/>
            </a:prstGeom>
            <a:solidFill>
              <a:srgbClr val="FCFDFE"/>
            </a:solidFill>
            <a:ln w="12701" cap="flat">
              <a:solidFill>
                <a:srgbClr val="F3F8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
          <xdr:nvSpPr>
            <xdr:cNvPr id="85" name="TextBox 18">
              <a:extLst>
                <a:ext uri="{FF2B5EF4-FFF2-40B4-BE49-F238E27FC236}">
                  <a16:creationId xmlns:a16="http://schemas.microsoft.com/office/drawing/2014/main" id="{FA012BCB-BB8A-6048-E503-AE592B928E07}"/>
                </a:ext>
              </a:extLst>
            </xdr:cNvPr>
            <xdr:cNvSpPr txBox="1"/>
          </xdr:nvSpPr>
          <xdr:spPr>
            <a:xfrm>
              <a:off x="12593593" y="5803836"/>
              <a:ext cx="1109653" cy="278310"/>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chemeClr val="accent6">
                      <a:lumMod val="50000"/>
                    </a:schemeClr>
                  </a:solidFill>
                  <a:uFillTx/>
                  <a:latin typeface="+mn-lt"/>
                </a:rPr>
                <a:t>Avg of BMI</a:t>
              </a:r>
            </a:p>
          </xdr:txBody>
        </xdr:sp>
        <xdr:sp macro="" textlink="">
          <xdr:nvSpPr>
            <xdr:cNvPr id="88" name="Oval 16">
              <a:extLst>
                <a:ext uri="{FF2B5EF4-FFF2-40B4-BE49-F238E27FC236}">
                  <a16:creationId xmlns:a16="http://schemas.microsoft.com/office/drawing/2014/main" id="{AE362666-4918-E324-0376-1E15C1E4943A}"/>
                </a:ext>
              </a:extLst>
            </xdr:cNvPr>
            <xdr:cNvSpPr/>
          </xdr:nvSpPr>
          <xdr:spPr>
            <a:xfrm>
              <a:off x="12089214" y="5515197"/>
              <a:ext cx="442747" cy="426254"/>
            </a:xfrm>
            <a:custGeom>
              <a:avLst/>
              <a:gdLst>
                <a:gd name="f0" fmla="val 21600000"/>
                <a:gd name="f1" fmla="val 10800000"/>
                <a:gd name="f2" fmla="val 5400000"/>
                <a:gd name="f3" fmla="val 180"/>
                <a:gd name="f4" fmla="val w"/>
                <a:gd name="f5" fmla="val h"/>
                <a:gd name="f6" fmla="val ss"/>
                <a:gd name="f7" fmla="val 0"/>
                <a:gd name="f8" fmla="*/ 5419351 1 1725033"/>
                <a:gd name="f9" fmla="+- 0 0 -360"/>
                <a:gd name="f10" fmla="+- 0 0 -180"/>
                <a:gd name="f11" fmla="abs f4"/>
                <a:gd name="f12" fmla="abs f5"/>
                <a:gd name="f13" fmla="abs f6"/>
                <a:gd name="f14" fmla="val f7"/>
                <a:gd name="f15" fmla="+- 2700000 f2 0"/>
                <a:gd name="f16" fmla="*/ f9 f1 1"/>
                <a:gd name="f17" fmla="*/ f10 f1 1"/>
                <a:gd name="f18" fmla="?: f11 f4 1"/>
                <a:gd name="f19" fmla="?: f12 f5 1"/>
                <a:gd name="f20" fmla="?: f13 f6 1"/>
                <a:gd name="f21" fmla="*/ f15 f8 1"/>
                <a:gd name="f22" fmla="*/ f16 1 f3"/>
                <a:gd name="f23" fmla="*/ f17 1 f3"/>
                <a:gd name="f24" fmla="*/ f18 1 21600"/>
                <a:gd name="f25" fmla="*/ f19 1 21600"/>
                <a:gd name="f26" fmla="*/ 21600 f18 1"/>
                <a:gd name="f27" fmla="*/ 21600 f19 1"/>
                <a:gd name="f28" fmla="*/ f21 1 f1"/>
                <a:gd name="f29" fmla="+- f22 0 f2"/>
                <a:gd name="f30" fmla="+- f23 0 f2"/>
                <a:gd name="f31" fmla="min f25 f24"/>
                <a:gd name="f32" fmla="*/ f26 1 f20"/>
                <a:gd name="f33" fmla="*/ f27 1 f20"/>
                <a:gd name="f34" fmla="+- 0 0 f28"/>
                <a:gd name="f35" fmla="val f32"/>
                <a:gd name="f36" fmla="val f33"/>
                <a:gd name="f37" fmla="+- 0 0 f34"/>
                <a:gd name="f38" fmla="*/ f14 f31 1"/>
                <a:gd name="f39" fmla="+- f36 0 f14"/>
                <a:gd name="f40" fmla="+- f35 0 f14"/>
                <a:gd name="f41" fmla="*/ f37 f1 1"/>
                <a:gd name="f42" fmla="*/ f39 1 2"/>
                <a:gd name="f43" fmla="*/ f40 1 2"/>
                <a:gd name="f44" fmla="*/ f41 1 f8"/>
                <a:gd name="f45" fmla="+- f14 f42 0"/>
                <a:gd name="f46" fmla="+- f14 f43 0"/>
                <a:gd name="f47" fmla="+- f44 0 f2"/>
                <a:gd name="f48" fmla="*/ f43 f31 1"/>
                <a:gd name="f49" fmla="*/ f42 f31 1"/>
                <a:gd name="f50" fmla="cos 1 f47"/>
                <a:gd name="f51" fmla="sin 1 f47"/>
                <a:gd name="f52" fmla="*/ f45 f31 1"/>
                <a:gd name="f53" fmla="+- 0 0 f50"/>
                <a:gd name="f54" fmla="+- 0 0 f51"/>
                <a:gd name="f55" fmla="+- 0 0 f53"/>
                <a:gd name="f56" fmla="+- 0 0 f54"/>
                <a:gd name="f57" fmla="*/ f55 f43 1"/>
                <a:gd name="f58" fmla="*/ f56 f42 1"/>
                <a:gd name="f59" fmla="+- f46 0 f57"/>
                <a:gd name="f60" fmla="+- f46 f57 0"/>
                <a:gd name="f61" fmla="+- f45 0 f58"/>
                <a:gd name="f62" fmla="+- f45 f58 0"/>
                <a:gd name="f63" fmla="*/ f59 f31 1"/>
                <a:gd name="f64" fmla="*/ f61 f31 1"/>
                <a:gd name="f65" fmla="*/ f60 f31 1"/>
                <a:gd name="f66" fmla="*/ f62 f31 1"/>
              </a:gdLst>
              <a:ahLst/>
              <a:cxnLst>
                <a:cxn ang="3cd4">
                  <a:pos x="hc" y="t"/>
                </a:cxn>
                <a:cxn ang="0">
                  <a:pos x="r" y="vc"/>
                </a:cxn>
                <a:cxn ang="cd4">
                  <a:pos x="hc" y="b"/>
                </a:cxn>
                <a:cxn ang="cd2">
                  <a:pos x="l" y="vc"/>
                </a:cxn>
                <a:cxn ang="f29">
                  <a:pos x="f63" y="f64"/>
                </a:cxn>
                <a:cxn ang="f30">
                  <a:pos x="f63" y="f66"/>
                </a:cxn>
                <a:cxn ang="f30">
                  <a:pos x="f65" y="f66"/>
                </a:cxn>
                <a:cxn ang="f29">
                  <a:pos x="f65" y="f64"/>
                </a:cxn>
              </a:cxnLst>
              <a:rect l="f63" t="f64" r="f65" b="f66"/>
              <a:pathLst>
                <a:path>
                  <a:moveTo>
                    <a:pt x="f38" y="f52"/>
                  </a:moveTo>
                  <a:arcTo wR="f48" hR="f49" stAng="f1" swAng="f0"/>
                  <a:close/>
                </a:path>
              </a:pathLst>
            </a:custGeom>
            <a:solidFill>
              <a:srgbClr val="FFFFFF"/>
            </a:solidFill>
            <a:ln w="12701" cap="flat">
              <a:solidFill>
                <a:srgbClr val="FFFFFF"/>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FFFFFF"/>
                </a:solidFill>
                <a:uFillTx/>
                <a:latin typeface="Calibri"/>
              </a:endParaRPr>
            </a:p>
          </xdr:txBody>
        </xdr:sp>
        <xdr:sp macro="" textlink="PT!A9">
          <xdr:nvSpPr>
            <xdr:cNvPr id="87" name="TextBox 37">
              <a:extLst>
                <a:ext uri="{FF2B5EF4-FFF2-40B4-BE49-F238E27FC236}">
                  <a16:creationId xmlns:a16="http://schemas.microsoft.com/office/drawing/2014/main" id="{45C44ADB-43A8-86F8-10B1-353FE4F67EFE}"/>
                </a:ext>
              </a:extLst>
            </xdr:cNvPr>
            <xdr:cNvSpPr txBox="1"/>
          </xdr:nvSpPr>
          <xdr:spPr>
            <a:xfrm>
              <a:off x="12603138" y="5487353"/>
              <a:ext cx="892609" cy="305619"/>
            </a:xfrm>
            <a:prstGeom prst="rect">
              <a:avLst/>
            </a:prstGeom>
            <a:noFill/>
            <a:ln cap="flat">
              <a:noFill/>
            </a:ln>
          </xdr:spPr>
          <xdr:txBody>
            <a:bodyPr vert="horz" wrap="square" lIns="91440" tIns="45720" rIns="91440" bIns="45720" anchor="ctr"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fld id="{9A20AE22-892D-4342-A697-350148F22B13}" type="TxLink">
                <a:rPr lang="en-US" sz="1800" b="1" i="0" u="none" strike="noStrike" kern="0" cap="none" spc="0" baseline="0">
                  <a:solidFill>
                    <a:schemeClr val="accent5">
                      <a:lumMod val="50000"/>
                    </a:schemeClr>
                  </a:solidFill>
                  <a:uFillTx/>
                  <a:latin typeface="Calibri"/>
                  <a:cs typeface="Calibri"/>
                </a:rPr>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t>28.9</a:t>
              </a:fld>
              <a:endParaRPr lang="en-GB" sz="3600" b="1" i="0" u="none" strike="noStrike" kern="0" cap="none" spc="0" baseline="0">
                <a:solidFill>
                  <a:schemeClr val="accent5">
                    <a:lumMod val="50000"/>
                  </a:schemeClr>
                </a:solidFill>
                <a:uFillTx/>
                <a:latin typeface="Calibri"/>
              </a:endParaRPr>
            </a:p>
          </xdr:txBody>
        </xdr:sp>
      </xdr:grpSp>
      <xdr:pic>
        <xdr:nvPicPr>
          <xdr:cNvPr id="42" name="Picture 41">
            <a:extLst>
              <a:ext uri="{FF2B5EF4-FFF2-40B4-BE49-F238E27FC236}">
                <a16:creationId xmlns:a16="http://schemas.microsoft.com/office/drawing/2014/main" id="{F398D083-5F81-46FE-BB99-0D2309A1C94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072905" y="924787"/>
            <a:ext cx="288000" cy="288000"/>
          </a:xfrm>
          <a:prstGeom prst="rect">
            <a:avLst/>
          </a:prstGeom>
        </xdr:spPr>
      </xdr:pic>
    </xdr:grpSp>
    <xdr:clientData/>
  </xdr:twoCellAnchor>
  <xdr:twoCellAnchor>
    <xdr:from>
      <xdr:col>2</xdr:col>
      <xdr:colOff>503851</xdr:colOff>
      <xdr:row>9</xdr:row>
      <xdr:rowOff>162787</xdr:rowOff>
    </xdr:from>
    <xdr:to>
      <xdr:col>4</xdr:col>
      <xdr:colOff>446809</xdr:colOff>
      <xdr:row>12</xdr:row>
      <xdr:rowOff>48491</xdr:rowOff>
    </xdr:to>
    <xdr:sp macro="" textlink="">
      <xdr:nvSpPr>
        <xdr:cNvPr id="46" name="Rectangle 5">
          <a:extLst>
            <a:ext uri="{FF2B5EF4-FFF2-40B4-BE49-F238E27FC236}">
              <a16:creationId xmlns:a16="http://schemas.microsoft.com/office/drawing/2014/main" id="{B98E5CC8-F55B-49AB-F188-8E228A81AC56}"/>
            </a:ext>
          </a:extLst>
        </xdr:cNvPr>
        <xdr:cNvSpPr/>
      </xdr:nvSpPr>
      <xdr:spPr>
        <a:xfrm>
          <a:off x="1716124" y="1877287"/>
          <a:ext cx="1155230" cy="457204"/>
        </a:xfrm>
        <a:prstGeom prst="rect">
          <a:avLst/>
        </a:prstGeom>
        <a:solidFill>
          <a:schemeClr val="accent1">
            <a:lumMod val="20000"/>
            <a:lumOff val="80000"/>
          </a:schemeClr>
        </a:solidFill>
        <a:ln w="12701" cap="flat">
          <a:solidFill>
            <a:srgbClr val="F3F8FF"/>
          </a:solidFill>
          <a:prstDash val="solid"/>
          <a:miter/>
        </a:ln>
        <a:effectLst>
          <a:outerShdw blurRad="50800" dist="38100" dir="2700000" algn="tl" rotWithShape="0">
            <a:prstClr val="black">
              <a:alpha val="40000"/>
            </a:prstClr>
          </a:outerShdw>
        </a:effectLst>
      </xdr:spPr>
      <xdr:txBody>
        <a:bodyPr vert="horz" wrap="square" lIns="91440" tIns="45720" rIns="91440" bIns="45720" anchor="ctr" anchorCtr="0" compatLnSpc="1">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0" i="0" u="none" strike="noStrike" kern="0" cap="none" spc="0" baseline="0">
              <a:solidFill>
                <a:srgbClr val="002060"/>
              </a:solidFill>
              <a:uFillTx/>
              <a:latin typeface="Calibri"/>
            </a:rPr>
            <a:t>Brief</a:t>
          </a:r>
        </a:p>
      </xdr:txBody>
    </xdr:sp>
    <xdr:clientData/>
  </xdr:twoCellAnchor>
  <xdr:twoCellAnchor>
    <xdr:from>
      <xdr:col>2</xdr:col>
      <xdr:colOff>500388</xdr:colOff>
      <xdr:row>12</xdr:row>
      <xdr:rowOff>176642</xdr:rowOff>
    </xdr:from>
    <xdr:to>
      <xdr:col>4</xdr:col>
      <xdr:colOff>443346</xdr:colOff>
      <xdr:row>15</xdr:row>
      <xdr:rowOff>62346</xdr:rowOff>
    </xdr:to>
    <xdr:sp macro="" textlink="">
      <xdr:nvSpPr>
        <xdr:cNvPr id="47" name="Rectangle 5">
          <a:extLst>
            <a:ext uri="{FF2B5EF4-FFF2-40B4-BE49-F238E27FC236}">
              <a16:creationId xmlns:a16="http://schemas.microsoft.com/office/drawing/2014/main" id="{8B63FEAA-4FD7-3F4D-A5DE-951C6FCCA5CF}"/>
            </a:ext>
          </a:extLst>
        </xdr:cNvPr>
        <xdr:cNvSpPr/>
      </xdr:nvSpPr>
      <xdr:spPr>
        <a:xfrm>
          <a:off x="1712661" y="2462642"/>
          <a:ext cx="1155230" cy="457204"/>
        </a:xfrm>
        <a:prstGeom prst="rect">
          <a:avLst/>
        </a:prstGeom>
        <a:solidFill>
          <a:schemeClr val="accent1">
            <a:lumMod val="20000"/>
            <a:lumOff val="80000"/>
          </a:schemeClr>
        </a:solidFill>
        <a:ln w="12701" cap="flat">
          <a:solidFill>
            <a:srgbClr val="F3F8FF"/>
          </a:solidFill>
          <a:prstDash val="solid"/>
          <a:miter/>
        </a:ln>
        <a:effectLst>
          <a:outerShdw blurRad="50800" dist="38100" dir="2700000" algn="tl" rotWithShape="0">
            <a:prstClr val="black">
              <a:alpha val="40000"/>
            </a:prstClr>
          </a:outerShdw>
        </a:effectLst>
      </xdr:spPr>
      <xdr:txBody>
        <a:bodyPr vert="horz" wrap="square" lIns="91440" tIns="45720" rIns="91440" bIns="45720" anchor="ctr" anchorCtr="0" compatLnSpc="1">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0" i="0" u="none" strike="noStrike" kern="0" cap="none" spc="0" baseline="0">
              <a:solidFill>
                <a:srgbClr val="002060"/>
              </a:solidFill>
              <a:uFillTx/>
              <a:latin typeface="Calibri"/>
            </a:rPr>
            <a:t>Report</a:t>
          </a:r>
        </a:p>
      </xdr:txBody>
    </xdr:sp>
    <xdr:clientData/>
  </xdr:twoCellAnchor>
  <xdr:twoCellAnchor>
    <xdr:from>
      <xdr:col>2</xdr:col>
      <xdr:colOff>514243</xdr:colOff>
      <xdr:row>16</xdr:row>
      <xdr:rowOff>17315</xdr:rowOff>
    </xdr:from>
    <xdr:to>
      <xdr:col>4</xdr:col>
      <xdr:colOff>457201</xdr:colOff>
      <xdr:row>18</xdr:row>
      <xdr:rowOff>93519</xdr:rowOff>
    </xdr:to>
    <xdr:sp macro="" textlink="">
      <xdr:nvSpPr>
        <xdr:cNvPr id="48" name="Rectangle 5">
          <a:extLst>
            <a:ext uri="{FF2B5EF4-FFF2-40B4-BE49-F238E27FC236}">
              <a16:creationId xmlns:a16="http://schemas.microsoft.com/office/drawing/2014/main" id="{F6F0B6F4-36F7-D8AC-90A7-3909F0A687CA}"/>
            </a:ext>
          </a:extLst>
        </xdr:cNvPr>
        <xdr:cNvSpPr/>
      </xdr:nvSpPr>
      <xdr:spPr>
        <a:xfrm>
          <a:off x="1726516" y="3065315"/>
          <a:ext cx="1155230" cy="457204"/>
        </a:xfrm>
        <a:prstGeom prst="rect">
          <a:avLst/>
        </a:prstGeom>
        <a:solidFill>
          <a:schemeClr val="accent1">
            <a:lumMod val="20000"/>
            <a:lumOff val="80000"/>
          </a:schemeClr>
        </a:solidFill>
        <a:ln w="12701" cap="flat">
          <a:solidFill>
            <a:srgbClr val="F3F8FF"/>
          </a:solidFill>
          <a:prstDash val="solid"/>
          <a:miter/>
        </a:ln>
        <a:effectLst>
          <a:outerShdw blurRad="50800" dist="38100" dir="2700000" algn="tl" rotWithShape="0">
            <a:prstClr val="black">
              <a:alpha val="40000"/>
            </a:prstClr>
          </a:outerShdw>
        </a:effectLst>
      </xdr:spPr>
      <xdr:txBody>
        <a:bodyPr vert="horz" wrap="square" lIns="91440" tIns="45720" rIns="91440" bIns="45720" anchor="ctr" anchorCtr="0" compatLnSpc="1">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600" b="0" i="0" u="none" strike="noStrike" kern="0" cap="none" spc="0" baseline="0">
              <a:solidFill>
                <a:srgbClr val="002060"/>
              </a:solidFill>
              <a:uFillTx/>
              <a:latin typeface="Calibri"/>
            </a:rPr>
            <a:t>Pivot Table</a:t>
          </a:r>
        </a:p>
      </xdr:txBody>
    </xdr:sp>
    <xdr:clientData/>
  </xdr:twoCellAnchor>
  <xdr:twoCellAnchor>
    <xdr:from>
      <xdr:col>2</xdr:col>
      <xdr:colOff>363683</xdr:colOff>
      <xdr:row>2</xdr:row>
      <xdr:rowOff>121229</xdr:rowOff>
    </xdr:from>
    <xdr:to>
      <xdr:col>6</xdr:col>
      <xdr:colOff>138546</xdr:colOff>
      <xdr:row>6</xdr:row>
      <xdr:rowOff>17318</xdr:rowOff>
    </xdr:to>
    <xdr:sp macro="" textlink="">
      <xdr:nvSpPr>
        <xdr:cNvPr id="49" name="TextBox 48">
          <a:extLst>
            <a:ext uri="{FF2B5EF4-FFF2-40B4-BE49-F238E27FC236}">
              <a16:creationId xmlns:a16="http://schemas.microsoft.com/office/drawing/2014/main" id="{47774EE9-5F81-3371-7FBF-1148B3B5FCBC}"/>
            </a:ext>
          </a:extLst>
        </xdr:cNvPr>
        <xdr:cNvSpPr txBox="1"/>
      </xdr:nvSpPr>
      <xdr:spPr>
        <a:xfrm>
          <a:off x="1575956" y="502229"/>
          <a:ext cx="2199408" cy="658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rial" panose="020B0604020202020204" pitchFamily="34" charset="0"/>
              <a:cs typeface="Arial" panose="020B0604020202020204" pitchFamily="34" charset="0"/>
            </a:rPr>
            <a:t>Data-Driven Insights for Early Risk Detection and Better Patient Care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NNE" refreshedDate="46301.566505555558" createdVersion="8" refreshedVersion="8" minRefreshableVersion="3" recordCount="1200" xr:uid="{F41745DA-3F0C-4E04-BEB5-80852F11D6AC}">
  <cacheSource type="worksheet">
    <worksheetSource name="Table1"/>
  </cacheSource>
  <cacheFields count="17">
    <cacheField name="Age" numFmtId="0">
      <sharedItems containsSemiMixedTypes="0" containsString="0" containsNumber="1" containsInteger="1" minValue="18" maxValue="80" count="63">
        <n v="77"/>
        <n v="51"/>
        <n v="39"/>
        <n v="60"/>
        <n v="76"/>
        <n v="19"/>
        <n v="29"/>
        <n v="21"/>
        <n v="68"/>
        <n v="46"/>
        <n v="80"/>
        <n v="59"/>
        <n v="55"/>
        <n v="52"/>
        <n v="28"/>
        <n v="73"/>
        <n v="62"/>
        <n v="72"/>
        <n v="63"/>
        <n v="40"/>
        <n v="79"/>
        <n v="22"/>
        <n v="41"/>
        <n v="78"/>
        <n v="70"/>
        <n v="56"/>
        <n v="32"/>
        <n v="64"/>
        <n v="24"/>
        <n v="53"/>
        <n v="18"/>
        <n v="35"/>
        <n v="31"/>
        <n v="44"/>
        <n v="48"/>
        <n v="54"/>
        <n v="75"/>
        <n v="26"/>
        <n v="66"/>
        <n v="49"/>
        <n v="33"/>
        <n v="50"/>
        <n v="30"/>
        <n v="36"/>
        <n v="61"/>
        <n v="65"/>
        <n v="71"/>
        <n v="27"/>
        <n v="57"/>
        <n v="69"/>
        <n v="34"/>
        <n v="47"/>
        <n v="25"/>
        <n v="42"/>
        <n v="74"/>
        <n v="20"/>
        <n v="43"/>
        <n v="23"/>
        <n v="37"/>
        <n v="58"/>
        <n v="45"/>
        <n v="38"/>
        <n v="67"/>
      </sharedItems>
    </cacheField>
    <cacheField name="Gender" numFmtId="0">
      <sharedItems count="2">
        <s v="Male"/>
        <s v="Female"/>
      </sharedItems>
    </cacheField>
    <cacheField name="Blood_Sugar_Level" numFmtId="164">
      <sharedItems containsSemiMixedTypes="0" containsString="0" containsNumber="1" minValue="70.56" maxValue="299.77"/>
    </cacheField>
    <cacheField name="BMI" numFmtId="164">
      <sharedItems containsSemiMixedTypes="0" containsString="0" containsNumber="1" minValue="18.03" maxValue="39.979999999999997"/>
    </cacheField>
    <cacheField name="Medication" numFmtId="0">
      <sharedItems count="4">
        <s v="Sitagliptin"/>
        <s v="Metformin"/>
        <s v="Insulin"/>
        <s v="Glipizide"/>
      </sharedItems>
    </cacheField>
    <cacheField name="Cholesterol" numFmtId="0">
      <sharedItems containsSemiMixedTypes="0" containsString="0" containsNumber="1" containsInteger="1" minValue="100" maxValue="300"/>
    </cacheField>
    <cacheField name="Blood_Pressure" numFmtId="0">
      <sharedItems/>
    </cacheField>
    <cacheField name="HbA1c" numFmtId="164">
      <sharedItems containsSemiMixedTypes="0" containsString="0" containsNumber="1" minValue="4.01" maxValue="10"/>
    </cacheField>
    <cacheField name="Exercise_Per_Week" numFmtId="0">
      <sharedItems containsSemiMixedTypes="0" containsString="0" containsNumber="1" containsInteger="1" minValue="0" maxValue="7" count="8">
        <n v="7"/>
        <n v="4"/>
        <n v="3"/>
        <n v="2"/>
        <n v="1"/>
        <n v="6"/>
        <n v="5"/>
        <n v="0"/>
      </sharedItems>
    </cacheField>
    <cacheField name="Family_History" numFmtId="0">
      <sharedItems count="2">
        <s v="No"/>
        <s v="Yes"/>
      </sharedItems>
    </cacheField>
    <cacheField name="Smoker" numFmtId="0">
      <sharedItems count="2">
        <s v="Yes"/>
        <s v="No"/>
      </sharedItems>
    </cacheField>
    <cacheField name="Blood_Pressure - Copy.1" numFmtId="0">
      <sharedItems containsSemiMixedTypes="0" containsString="0" containsNumber="1" containsInteger="1" minValue="90" maxValue="140"/>
    </cacheField>
    <cacheField name="Blood_Pressure - Copy.2" numFmtId="0">
      <sharedItems containsSemiMixedTypes="0" containsString="0" containsNumber="1" containsInteger="1" minValue="60" maxValue="90"/>
    </cacheField>
    <cacheField name="Age Range" numFmtId="0">
      <sharedItems count="6">
        <s v="71 &amp; above"/>
        <s v="51-60"/>
        <s v="31-40"/>
        <s v="0-30"/>
        <s v="61-70"/>
        <s v="41-50"/>
      </sharedItems>
    </cacheField>
    <cacheField name="HbA1C Cat" numFmtId="0">
      <sharedItems count="4">
        <s v="Normal"/>
        <s v="Uncontrolled"/>
        <s v="Prediabetes"/>
        <s v="Diabetes"/>
      </sharedItems>
    </cacheField>
    <cacheField name="Chol Cat" numFmtId="0">
      <sharedItems/>
    </cacheField>
    <cacheField name="BMI cat" numFmtId="0">
      <sharedItems count="4">
        <s v="High"/>
        <s v="Very High"/>
        <s v="Normal"/>
        <s v="Low"/>
      </sharedItems>
    </cacheField>
  </cacheFields>
  <extLst>
    <ext xmlns:x14="http://schemas.microsoft.com/office/spreadsheetml/2009/9/main" uri="{725AE2AE-9491-48be-B2B4-4EB974FC3084}">
      <x14:pivotCacheDefinition pivotCacheId="786077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155.68"/>
    <n v="25.25"/>
    <x v="0"/>
    <n v="253"/>
    <s v="134/86"/>
    <n v="4.83"/>
    <x v="0"/>
    <x v="0"/>
    <x v="0"/>
    <n v="134"/>
    <n v="86"/>
    <x v="0"/>
    <x v="0"/>
    <s v="High"/>
    <x v="0"/>
  </r>
  <r>
    <x v="1"/>
    <x v="0"/>
    <n v="219.35"/>
    <n v="31.82"/>
    <x v="1"/>
    <n v="266"/>
    <s v="102/64"/>
    <n v="4.8899999999999997"/>
    <x v="1"/>
    <x v="0"/>
    <x v="0"/>
    <n v="102"/>
    <n v="64"/>
    <x v="1"/>
    <x v="0"/>
    <s v="High"/>
    <x v="1"/>
  </r>
  <r>
    <x v="2"/>
    <x v="1"/>
    <n v="203.62"/>
    <n v="34.22"/>
    <x v="2"/>
    <n v="158"/>
    <s v="92/80"/>
    <n v="9.1999999999999993"/>
    <x v="2"/>
    <x v="0"/>
    <x v="1"/>
    <n v="92"/>
    <n v="80"/>
    <x v="2"/>
    <x v="1"/>
    <s v="Normal"/>
    <x v="1"/>
  </r>
  <r>
    <x v="3"/>
    <x v="0"/>
    <n v="126.06"/>
    <n v="39.880000000000003"/>
    <x v="1"/>
    <n v="149"/>
    <s v="115/73"/>
    <n v="5.21"/>
    <x v="1"/>
    <x v="1"/>
    <x v="0"/>
    <n v="115"/>
    <n v="73"/>
    <x v="1"/>
    <x v="0"/>
    <s v="Normal"/>
    <x v="1"/>
  </r>
  <r>
    <x v="4"/>
    <x v="1"/>
    <n v="120.45"/>
    <n v="27.74"/>
    <x v="3"/>
    <n v="254"/>
    <s v="121/73"/>
    <n v="7.56"/>
    <x v="3"/>
    <x v="0"/>
    <x v="1"/>
    <n v="121"/>
    <n v="73"/>
    <x v="0"/>
    <x v="1"/>
    <s v="High"/>
    <x v="0"/>
  </r>
  <r>
    <x v="5"/>
    <x v="1"/>
    <n v="106.09"/>
    <n v="22.48"/>
    <x v="1"/>
    <n v="150"/>
    <s v="123/85"/>
    <n v="9.0399999999999991"/>
    <x v="3"/>
    <x v="1"/>
    <x v="1"/>
    <n v="123"/>
    <n v="85"/>
    <x v="3"/>
    <x v="1"/>
    <s v="Normal"/>
    <x v="2"/>
  </r>
  <r>
    <x v="6"/>
    <x v="0"/>
    <n v="287.52"/>
    <n v="19.72"/>
    <x v="3"/>
    <n v="179"/>
    <s v="119/70"/>
    <n v="5.98"/>
    <x v="4"/>
    <x v="1"/>
    <x v="0"/>
    <n v="119"/>
    <n v="70"/>
    <x v="3"/>
    <x v="2"/>
    <s v="Normal"/>
    <x v="2"/>
  </r>
  <r>
    <x v="7"/>
    <x v="1"/>
    <n v="168.81"/>
    <n v="30.75"/>
    <x v="1"/>
    <n v="232"/>
    <s v="120/83"/>
    <n v="4.04"/>
    <x v="5"/>
    <x v="1"/>
    <x v="0"/>
    <n v="120"/>
    <n v="83"/>
    <x v="3"/>
    <x v="0"/>
    <s v="Boarderline"/>
    <x v="1"/>
  </r>
  <r>
    <x v="8"/>
    <x v="1"/>
    <n v="91.95"/>
    <n v="34.71"/>
    <x v="1"/>
    <n v="222"/>
    <s v="93/85"/>
    <n v="9.52"/>
    <x v="4"/>
    <x v="0"/>
    <x v="1"/>
    <n v="93"/>
    <n v="85"/>
    <x v="4"/>
    <x v="1"/>
    <s v="Boarderline"/>
    <x v="1"/>
  </r>
  <r>
    <x v="9"/>
    <x v="1"/>
    <n v="245.84"/>
    <n v="27.47"/>
    <x v="2"/>
    <n v="147"/>
    <s v="98/60"/>
    <n v="7.43"/>
    <x v="5"/>
    <x v="0"/>
    <x v="0"/>
    <n v="98"/>
    <n v="60"/>
    <x v="5"/>
    <x v="3"/>
    <s v="Normal"/>
    <x v="0"/>
  </r>
  <r>
    <x v="10"/>
    <x v="1"/>
    <n v="80.260000000000005"/>
    <n v="26.49"/>
    <x v="1"/>
    <n v="252"/>
    <s v="109/63"/>
    <n v="5.4"/>
    <x v="1"/>
    <x v="1"/>
    <x v="1"/>
    <n v="109"/>
    <n v="63"/>
    <x v="0"/>
    <x v="0"/>
    <s v="High"/>
    <x v="0"/>
  </r>
  <r>
    <x v="11"/>
    <x v="0"/>
    <n v="233.47"/>
    <n v="31.75"/>
    <x v="3"/>
    <n v="281"/>
    <s v="101/60"/>
    <n v="6.06"/>
    <x v="5"/>
    <x v="1"/>
    <x v="0"/>
    <n v="101"/>
    <n v="60"/>
    <x v="1"/>
    <x v="2"/>
    <s v="High"/>
    <x v="1"/>
  </r>
  <r>
    <x v="12"/>
    <x v="1"/>
    <n v="254.45"/>
    <n v="38.6"/>
    <x v="3"/>
    <n v="194"/>
    <s v="103/88"/>
    <n v="5.99"/>
    <x v="6"/>
    <x v="1"/>
    <x v="0"/>
    <n v="103"/>
    <n v="88"/>
    <x v="1"/>
    <x v="2"/>
    <s v="Normal"/>
    <x v="1"/>
  </r>
  <r>
    <x v="13"/>
    <x v="1"/>
    <n v="171.49"/>
    <n v="38.9"/>
    <x v="1"/>
    <n v="254"/>
    <s v="122/84"/>
    <n v="6.92"/>
    <x v="3"/>
    <x v="0"/>
    <x v="0"/>
    <n v="122"/>
    <n v="84"/>
    <x v="1"/>
    <x v="3"/>
    <s v="High"/>
    <x v="1"/>
  </r>
  <r>
    <x v="14"/>
    <x v="0"/>
    <n v="176.03"/>
    <n v="22.23"/>
    <x v="2"/>
    <n v="181"/>
    <s v="107/66"/>
    <n v="9.4499999999999993"/>
    <x v="6"/>
    <x v="0"/>
    <x v="1"/>
    <n v="107"/>
    <n v="66"/>
    <x v="3"/>
    <x v="1"/>
    <s v="Normal"/>
    <x v="2"/>
  </r>
  <r>
    <x v="0"/>
    <x v="1"/>
    <n v="132.49"/>
    <n v="38.200000000000003"/>
    <x v="0"/>
    <n v="147"/>
    <s v="137/70"/>
    <n v="5.55"/>
    <x v="1"/>
    <x v="1"/>
    <x v="0"/>
    <n v="137"/>
    <n v="70"/>
    <x v="0"/>
    <x v="0"/>
    <s v="Normal"/>
    <x v="1"/>
  </r>
  <r>
    <x v="15"/>
    <x v="1"/>
    <n v="244.04"/>
    <n v="35.18"/>
    <x v="2"/>
    <n v="179"/>
    <s v="120/64"/>
    <n v="8.99"/>
    <x v="7"/>
    <x v="1"/>
    <x v="0"/>
    <n v="120"/>
    <n v="64"/>
    <x v="0"/>
    <x v="1"/>
    <s v="Normal"/>
    <x v="1"/>
  </r>
  <r>
    <x v="16"/>
    <x v="1"/>
    <n v="155.29"/>
    <n v="31.93"/>
    <x v="1"/>
    <n v="166"/>
    <s v="123/64"/>
    <n v="8.15"/>
    <x v="3"/>
    <x v="0"/>
    <x v="0"/>
    <n v="123"/>
    <n v="64"/>
    <x v="4"/>
    <x v="1"/>
    <s v="Normal"/>
    <x v="1"/>
  </r>
  <r>
    <x v="17"/>
    <x v="0"/>
    <n v="178.48"/>
    <n v="29.96"/>
    <x v="0"/>
    <n v="193"/>
    <s v="139/64"/>
    <n v="9.43"/>
    <x v="4"/>
    <x v="1"/>
    <x v="0"/>
    <n v="139"/>
    <n v="64"/>
    <x v="0"/>
    <x v="1"/>
    <s v="Normal"/>
    <x v="1"/>
  </r>
  <r>
    <x v="4"/>
    <x v="1"/>
    <n v="188.59"/>
    <n v="31.69"/>
    <x v="0"/>
    <n v="246"/>
    <s v="137/82"/>
    <n v="7.46"/>
    <x v="2"/>
    <x v="0"/>
    <x v="0"/>
    <n v="137"/>
    <n v="82"/>
    <x v="0"/>
    <x v="3"/>
    <s v="High"/>
    <x v="1"/>
  </r>
  <r>
    <x v="18"/>
    <x v="0"/>
    <n v="285.7"/>
    <n v="19.96"/>
    <x v="1"/>
    <n v="295"/>
    <s v="127/85"/>
    <n v="9.5"/>
    <x v="3"/>
    <x v="0"/>
    <x v="1"/>
    <n v="127"/>
    <n v="85"/>
    <x v="4"/>
    <x v="1"/>
    <s v="High"/>
    <x v="2"/>
  </r>
  <r>
    <x v="19"/>
    <x v="1"/>
    <n v="226.91"/>
    <n v="28.75"/>
    <x v="1"/>
    <n v="173"/>
    <s v="140/83"/>
    <n v="4.1500000000000004"/>
    <x v="6"/>
    <x v="0"/>
    <x v="0"/>
    <n v="140"/>
    <n v="83"/>
    <x v="2"/>
    <x v="0"/>
    <s v="Normal"/>
    <x v="0"/>
  </r>
  <r>
    <x v="20"/>
    <x v="1"/>
    <n v="286.18"/>
    <n v="20.23"/>
    <x v="2"/>
    <n v="179"/>
    <s v="103/89"/>
    <n v="6.77"/>
    <x v="1"/>
    <x v="1"/>
    <x v="1"/>
    <n v="103"/>
    <n v="89"/>
    <x v="0"/>
    <x v="3"/>
    <s v="Normal"/>
    <x v="2"/>
  </r>
  <r>
    <x v="2"/>
    <x v="0"/>
    <n v="226.48"/>
    <n v="30.14"/>
    <x v="2"/>
    <n v="297"/>
    <s v="94/62"/>
    <n v="8.8800000000000008"/>
    <x v="4"/>
    <x v="0"/>
    <x v="1"/>
    <n v="94"/>
    <n v="62"/>
    <x v="2"/>
    <x v="1"/>
    <s v="High"/>
    <x v="1"/>
  </r>
  <r>
    <x v="21"/>
    <x v="0"/>
    <n v="127.76"/>
    <n v="18.989999999999998"/>
    <x v="2"/>
    <n v="170"/>
    <s v="122/68"/>
    <n v="8.0299999999999994"/>
    <x v="3"/>
    <x v="0"/>
    <x v="1"/>
    <n v="122"/>
    <n v="68"/>
    <x v="3"/>
    <x v="1"/>
    <s v="Normal"/>
    <x v="2"/>
  </r>
  <r>
    <x v="16"/>
    <x v="1"/>
    <n v="117.86"/>
    <n v="25.04"/>
    <x v="1"/>
    <n v="178"/>
    <s v="131/89"/>
    <n v="8.17"/>
    <x v="3"/>
    <x v="1"/>
    <x v="0"/>
    <n v="131"/>
    <n v="89"/>
    <x v="4"/>
    <x v="1"/>
    <s v="Normal"/>
    <x v="0"/>
  </r>
  <r>
    <x v="22"/>
    <x v="0"/>
    <n v="214.86"/>
    <n v="25.7"/>
    <x v="2"/>
    <n v="294"/>
    <s v="91/64"/>
    <n v="10"/>
    <x v="4"/>
    <x v="1"/>
    <x v="0"/>
    <n v="91"/>
    <n v="64"/>
    <x v="5"/>
    <x v="1"/>
    <s v="High"/>
    <x v="0"/>
  </r>
  <r>
    <x v="23"/>
    <x v="1"/>
    <n v="240.1"/>
    <n v="34.79"/>
    <x v="2"/>
    <n v="107"/>
    <s v="119/89"/>
    <n v="4.42"/>
    <x v="7"/>
    <x v="0"/>
    <x v="1"/>
    <n v="119"/>
    <n v="89"/>
    <x v="0"/>
    <x v="0"/>
    <s v="Low"/>
    <x v="1"/>
  </r>
  <r>
    <x v="24"/>
    <x v="1"/>
    <n v="225.1"/>
    <n v="37.65"/>
    <x v="2"/>
    <n v="223"/>
    <s v="111/60"/>
    <n v="5.43"/>
    <x v="1"/>
    <x v="0"/>
    <x v="1"/>
    <n v="111"/>
    <n v="60"/>
    <x v="4"/>
    <x v="0"/>
    <s v="Boarderline"/>
    <x v="1"/>
  </r>
  <r>
    <x v="20"/>
    <x v="0"/>
    <n v="212.69"/>
    <n v="30.01"/>
    <x v="2"/>
    <n v="229"/>
    <s v="123/87"/>
    <n v="6.14"/>
    <x v="0"/>
    <x v="1"/>
    <x v="0"/>
    <n v="123"/>
    <n v="87"/>
    <x v="0"/>
    <x v="2"/>
    <s v="Boarderline"/>
    <x v="1"/>
  </r>
  <r>
    <x v="13"/>
    <x v="1"/>
    <n v="190.97"/>
    <n v="33.31"/>
    <x v="0"/>
    <n v="192"/>
    <s v="122/79"/>
    <n v="6.2"/>
    <x v="5"/>
    <x v="0"/>
    <x v="1"/>
    <n v="122"/>
    <n v="79"/>
    <x v="1"/>
    <x v="2"/>
    <s v="Normal"/>
    <x v="1"/>
  </r>
  <r>
    <x v="24"/>
    <x v="1"/>
    <n v="87.79"/>
    <n v="19.28"/>
    <x v="2"/>
    <n v="276"/>
    <s v="105/75"/>
    <n v="7.14"/>
    <x v="3"/>
    <x v="0"/>
    <x v="0"/>
    <n v="105"/>
    <n v="75"/>
    <x v="4"/>
    <x v="3"/>
    <s v="High"/>
    <x v="2"/>
  </r>
  <r>
    <x v="25"/>
    <x v="1"/>
    <n v="72.2"/>
    <n v="33.69"/>
    <x v="1"/>
    <n v="219"/>
    <s v="99/90"/>
    <n v="5.85"/>
    <x v="3"/>
    <x v="1"/>
    <x v="0"/>
    <n v="99"/>
    <n v="90"/>
    <x v="1"/>
    <x v="2"/>
    <s v="Boarderline"/>
    <x v="1"/>
  </r>
  <r>
    <x v="26"/>
    <x v="0"/>
    <n v="205.9"/>
    <n v="36.04"/>
    <x v="3"/>
    <n v="192"/>
    <s v="91/67"/>
    <n v="6.97"/>
    <x v="1"/>
    <x v="1"/>
    <x v="0"/>
    <n v="91"/>
    <n v="67"/>
    <x v="2"/>
    <x v="3"/>
    <s v="Normal"/>
    <x v="1"/>
  </r>
  <r>
    <x v="20"/>
    <x v="0"/>
    <n v="141.13"/>
    <n v="23.35"/>
    <x v="1"/>
    <n v="182"/>
    <s v="102/70"/>
    <n v="8.1999999999999993"/>
    <x v="1"/>
    <x v="0"/>
    <x v="1"/>
    <n v="102"/>
    <n v="70"/>
    <x v="0"/>
    <x v="1"/>
    <s v="Normal"/>
    <x v="2"/>
  </r>
  <r>
    <x v="3"/>
    <x v="0"/>
    <n v="73.23"/>
    <n v="37.32"/>
    <x v="1"/>
    <n v="296"/>
    <s v="113/85"/>
    <n v="8.3699999999999992"/>
    <x v="6"/>
    <x v="0"/>
    <x v="0"/>
    <n v="113"/>
    <n v="85"/>
    <x v="1"/>
    <x v="1"/>
    <s v="High"/>
    <x v="1"/>
  </r>
  <r>
    <x v="27"/>
    <x v="1"/>
    <n v="174.11"/>
    <n v="35.479999999999997"/>
    <x v="1"/>
    <n v="172"/>
    <s v="90/90"/>
    <n v="8.67"/>
    <x v="1"/>
    <x v="1"/>
    <x v="0"/>
    <n v="90"/>
    <n v="90"/>
    <x v="4"/>
    <x v="1"/>
    <s v="Normal"/>
    <x v="1"/>
  </r>
  <r>
    <x v="28"/>
    <x v="1"/>
    <n v="115.98"/>
    <n v="23.16"/>
    <x v="2"/>
    <n v="174"/>
    <s v="92/82"/>
    <n v="9.39"/>
    <x v="3"/>
    <x v="0"/>
    <x v="0"/>
    <n v="92"/>
    <n v="82"/>
    <x v="3"/>
    <x v="1"/>
    <s v="Normal"/>
    <x v="2"/>
  </r>
  <r>
    <x v="29"/>
    <x v="0"/>
    <n v="181.96"/>
    <n v="30.31"/>
    <x v="2"/>
    <n v="103"/>
    <s v="98/79"/>
    <n v="9.85"/>
    <x v="6"/>
    <x v="1"/>
    <x v="0"/>
    <n v="98"/>
    <n v="79"/>
    <x v="1"/>
    <x v="1"/>
    <s v="Low"/>
    <x v="1"/>
  </r>
  <r>
    <x v="30"/>
    <x v="1"/>
    <n v="281.98"/>
    <n v="25.19"/>
    <x v="1"/>
    <n v="211"/>
    <s v="90/79"/>
    <n v="9.34"/>
    <x v="2"/>
    <x v="1"/>
    <x v="0"/>
    <n v="90"/>
    <n v="79"/>
    <x v="3"/>
    <x v="1"/>
    <s v="Boarderline"/>
    <x v="0"/>
  </r>
  <r>
    <x v="31"/>
    <x v="1"/>
    <n v="88.75"/>
    <n v="22.26"/>
    <x v="0"/>
    <n v="285"/>
    <s v="112/89"/>
    <n v="4.37"/>
    <x v="7"/>
    <x v="0"/>
    <x v="0"/>
    <n v="112"/>
    <n v="89"/>
    <x v="2"/>
    <x v="0"/>
    <s v="High"/>
    <x v="2"/>
  </r>
  <r>
    <x v="26"/>
    <x v="1"/>
    <n v="71.790000000000006"/>
    <n v="23.86"/>
    <x v="2"/>
    <n v="202"/>
    <s v="105/79"/>
    <n v="4.58"/>
    <x v="4"/>
    <x v="0"/>
    <x v="1"/>
    <n v="105"/>
    <n v="79"/>
    <x v="2"/>
    <x v="0"/>
    <s v="Boarderline"/>
    <x v="2"/>
  </r>
  <r>
    <x v="32"/>
    <x v="1"/>
    <n v="248.24"/>
    <n v="32.880000000000003"/>
    <x v="1"/>
    <n v="243"/>
    <s v="96/76"/>
    <n v="5.91"/>
    <x v="6"/>
    <x v="1"/>
    <x v="1"/>
    <n v="96"/>
    <n v="76"/>
    <x v="2"/>
    <x v="2"/>
    <s v="High"/>
    <x v="1"/>
  </r>
  <r>
    <x v="33"/>
    <x v="1"/>
    <n v="252.73"/>
    <n v="24.17"/>
    <x v="0"/>
    <n v="109"/>
    <s v="91/60"/>
    <n v="4.26"/>
    <x v="3"/>
    <x v="1"/>
    <x v="0"/>
    <n v="91"/>
    <n v="60"/>
    <x v="5"/>
    <x v="0"/>
    <s v="Low"/>
    <x v="2"/>
  </r>
  <r>
    <x v="34"/>
    <x v="0"/>
    <n v="159.94"/>
    <n v="20"/>
    <x v="1"/>
    <n v="197"/>
    <s v="124/88"/>
    <n v="8.91"/>
    <x v="6"/>
    <x v="1"/>
    <x v="1"/>
    <n v="124"/>
    <n v="88"/>
    <x v="5"/>
    <x v="1"/>
    <s v="Normal"/>
    <x v="2"/>
  </r>
  <r>
    <x v="0"/>
    <x v="1"/>
    <n v="80.81"/>
    <n v="25.07"/>
    <x v="0"/>
    <n v="148"/>
    <s v="127/90"/>
    <n v="8.6"/>
    <x v="7"/>
    <x v="1"/>
    <x v="0"/>
    <n v="127"/>
    <n v="90"/>
    <x v="0"/>
    <x v="1"/>
    <s v="Normal"/>
    <x v="0"/>
  </r>
  <r>
    <x v="22"/>
    <x v="0"/>
    <n v="183.27"/>
    <n v="35.99"/>
    <x v="1"/>
    <n v="294"/>
    <s v="115/67"/>
    <n v="4.25"/>
    <x v="3"/>
    <x v="1"/>
    <x v="0"/>
    <n v="115"/>
    <n v="67"/>
    <x v="5"/>
    <x v="0"/>
    <s v="High"/>
    <x v="1"/>
  </r>
  <r>
    <x v="3"/>
    <x v="1"/>
    <n v="272.08999999999997"/>
    <n v="26.45"/>
    <x v="2"/>
    <n v="113"/>
    <s v="109/82"/>
    <n v="8.2899999999999991"/>
    <x v="3"/>
    <x v="0"/>
    <x v="0"/>
    <n v="109"/>
    <n v="82"/>
    <x v="1"/>
    <x v="1"/>
    <s v="Low"/>
    <x v="0"/>
  </r>
  <r>
    <x v="9"/>
    <x v="0"/>
    <n v="139.04"/>
    <n v="30.85"/>
    <x v="3"/>
    <n v="155"/>
    <s v="104/81"/>
    <n v="4.0199999999999996"/>
    <x v="4"/>
    <x v="0"/>
    <x v="0"/>
    <n v="104"/>
    <n v="81"/>
    <x v="5"/>
    <x v="0"/>
    <s v="Normal"/>
    <x v="1"/>
  </r>
  <r>
    <x v="29"/>
    <x v="1"/>
    <n v="162.88999999999999"/>
    <n v="30.63"/>
    <x v="2"/>
    <n v="262"/>
    <s v="114/71"/>
    <n v="8.7200000000000006"/>
    <x v="5"/>
    <x v="0"/>
    <x v="1"/>
    <n v="114"/>
    <n v="71"/>
    <x v="1"/>
    <x v="1"/>
    <s v="High"/>
    <x v="1"/>
  </r>
  <r>
    <x v="35"/>
    <x v="1"/>
    <n v="210.99"/>
    <n v="34.22"/>
    <x v="1"/>
    <n v="189"/>
    <s v="123/60"/>
    <n v="4.8099999999999996"/>
    <x v="7"/>
    <x v="1"/>
    <x v="1"/>
    <n v="123"/>
    <n v="60"/>
    <x v="1"/>
    <x v="0"/>
    <s v="Normal"/>
    <x v="1"/>
  </r>
  <r>
    <x v="36"/>
    <x v="0"/>
    <n v="124.79"/>
    <n v="26.34"/>
    <x v="0"/>
    <n v="178"/>
    <s v="124/63"/>
    <n v="9.9"/>
    <x v="5"/>
    <x v="1"/>
    <x v="0"/>
    <n v="124"/>
    <n v="63"/>
    <x v="0"/>
    <x v="1"/>
    <s v="Normal"/>
    <x v="0"/>
  </r>
  <r>
    <x v="37"/>
    <x v="0"/>
    <n v="202.86"/>
    <n v="25.52"/>
    <x v="1"/>
    <n v="223"/>
    <s v="133/87"/>
    <n v="8.98"/>
    <x v="0"/>
    <x v="1"/>
    <x v="1"/>
    <n v="133"/>
    <n v="87"/>
    <x v="3"/>
    <x v="1"/>
    <s v="Boarderline"/>
    <x v="0"/>
  </r>
  <r>
    <x v="30"/>
    <x v="1"/>
    <n v="98.67"/>
    <n v="37.17"/>
    <x v="0"/>
    <n v="179"/>
    <s v="122/88"/>
    <n v="5.26"/>
    <x v="3"/>
    <x v="1"/>
    <x v="0"/>
    <n v="122"/>
    <n v="88"/>
    <x v="3"/>
    <x v="0"/>
    <s v="Normal"/>
    <x v="1"/>
  </r>
  <r>
    <x v="38"/>
    <x v="0"/>
    <n v="231.26"/>
    <n v="21.13"/>
    <x v="2"/>
    <n v="133"/>
    <s v="136/83"/>
    <n v="7.47"/>
    <x v="5"/>
    <x v="1"/>
    <x v="0"/>
    <n v="136"/>
    <n v="83"/>
    <x v="4"/>
    <x v="3"/>
    <s v="Normal"/>
    <x v="2"/>
  </r>
  <r>
    <x v="9"/>
    <x v="1"/>
    <n v="291.8"/>
    <n v="21.27"/>
    <x v="1"/>
    <n v="135"/>
    <s v="96/75"/>
    <n v="8.02"/>
    <x v="0"/>
    <x v="1"/>
    <x v="1"/>
    <n v="96"/>
    <n v="75"/>
    <x v="5"/>
    <x v="1"/>
    <s v="Normal"/>
    <x v="2"/>
  </r>
  <r>
    <x v="35"/>
    <x v="0"/>
    <n v="72.17"/>
    <n v="33.06"/>
    <x v="3"/>
    <n v="222"/>
    <s v="112/79"/>
    <n v="6.77"/>
    <x v="6"/>
    <x v="0"/>
    <x v="1"/>
    <n v="112"/>
    <n v="79"/>
    <x v="1"/>
    <x v="3"/>
    <s v="Boarderline"/>
    <x v="1"/>
  </r>
  <r>
    <x v="33"/>
    <x v="1"/>
    <n v="150.03"/>
    <n v="32.54"/>
    <x v="2"/>
    <n v="278"/>
    <s v="129/88"/>
    <n v="8.98"/>
    <x v="7"/>
    <x v="1"/>
    <x v="1"/>
    <n v="129"/>
    <n v="88"/>
    <x v="5"/>
    <x v="1"/>
    <s v="High"/>
    <x v="1"/>
  </r>
  <r>
    <x v="13"/>
    <x v="0"/>
    <n v="100.34"/>
    <n v="30.53"/>
    <x v="2"/>
    <n v="123"/>
    <s v="120/85"/>
    <n v="4.2300000000000004"/>
    <x v="4"/>
    <x v="0"/>
    <x v="1"/>
    <n v="120"/>
    <n v="85"/>
    <x v="1"/>
    <x v="0"/>
    <s v="Normal"/>
    <x v="1"/>
  </r>
  <r>
    <x v="3"/>
    <x v="0"/>
    <n v="140.02000000000001"/>
    <n v="25.17"/>
    <x v="2"/>
    <n v="176"/>
    <s v="95/73"/>
    <n v="7.48"/>
    <x v="1"/>
    <x v="1"/>
    <x v="0"/>
    <n v="95"/>
    <n v="73"/>
    <x v="1"/>
    <x v="3"/>
    <s v="Normal"/>
    <x v="0"/>
  </r>
  <r>
    <x v="39"/>
    <x v="1"/>
    <n v="76.84"/>
    <n v="31.96"/>
    <x v="2"/>
    <n v="142"/>
    <s v="96/87"/>
    <n v="8.66"/>
    <x v="4"/>
    <x v="1"/>
    <x v="1"/>
    <n v="96"/>
    <n v="87"/>
    <x v="5"/>
    <x v="1"/>
    <s v="Normal"/>
    <x v="1"/>
  </r>
  <r>
    <x v="40"/>
    <x v="0"/>
    <n v="94.25"/>
    <n v="35.369999999999997"/>
    <x v="0"/>
    <n v="171"/>
    <s v="136/83"/>
    <n v="5.12"/>
    <x v="2"/>
    <x v="0"/>
    <x v="1"/>
    <n v="136"/>
    <n v="83"/>
    <x v="2"/>
    <x v="0"/>
    <s v="Normal"/>
    <x v="1"/>
  </r>
  <r>
    <x v="22"/>
    <x v="0"/>
    <n v="284.97000000000003"/>
    <n v="23.42"/>
    <x v="0"/>
    <n v="170"/>
    <s v="97/69"/>
    <n v="8.5"/>
    <x v="1"/>
    <x v="1"/>
    <x v="1"/>
    <n v="97"/>
    <n v="69"/>
    <x v="5"/>
    <x v="1"/>
    <s v="Normal"/>
    <x v="2"/>
  </r>
  <r>
    <x v="20"/>
    <x v="1"/>
    <n v="246.51"/>
    <n v="34.299999999999997"/>
    <x v="1"/>
    <n v="292"/>
    <s v="117/68"/>
    <n v="7.24"/>
    <x v="2"/>
    <x v="0"/>
    <x v="1"/>
    <n v="117"/>
    <n v="68"/>
    <x v="0"/>
    <x v="3"/>
    <s v="High"/>
    <x v="1"/>
  </r>
  <r>
    <x v="41"/>
    <x v="0"/>
    <n v="139.38"/>
    <n v="30.75"/>
    <x v="1"/>
    <n v="264"/>
    <s v="111/74"/>
    <n v="5.5"/>
    <x v="6"/>
    <x v="1"/>
    <x v="0"/>
    <n v="111"/>
    <n v="74"/>
    <x v="5"/>
    <x v="0"/>
    <s v="High"/>
    <x v="1"/>
  </r>
  <r>
    <x v="21"/>
    <x v="0"/>
    <n v="261.41000000000003"/>
    <n v="35.89"/>
    <x v="2"/>
    <n v="118"/>
    <s v="109/70"/>
    <n v="5.51"/>
    <x v="5"/>
    <x v="0"/>
    <x v="1"/>
    <n v="109"/>
    <n v="70"/>
    <x v="3"/>
    <x v="0"/>
    <s v="Low"/>
    <x v="1"/>
  </r>
  <r>
    <x v="35"/>
    <x v="1"/>
    <n v="151.84"/>
    <n v="31.14"/>
    <x v="3"/>
    <n v="297"/>
    <s v="108/66"/>
    <n v="4.6500000000000004"/>
    <x v="2"/>
    <x v="1"/>
    <x v="1"/>
    <n v="108"/>
    <n v="66"/>
    <x v="1"/>
    <x v="0"/>
    <s v="High"/>
    <x v="1"/>
  </r>
  <r>
    <x v="39"/>
    <x v="1"/>
    <n v="115.36"/>
    <n v="29.69"/>
    <x v="0"/>
    <n v="190"/>
    <s v="127/76"/>
    <n v="9.75"/>
    <x v="1"/>
    <x v="0"/>
    <x v="1"/>
    <n v="127"/>
    <n v="76"/>
    <x v="5"/>
    <x v="1"/>
    <s v="Normal"/>
    <x v="0"/>
  </r>
  <r>
    <x v="42"/>
    <x v="1"/>
    <n v="296.48"/>
    <n v="27.77"/>
    <x v="0"/>
    <n v="232"/>
    <s v="135/86"/>
    <n v="6.65"/>
    <x v="1"/>
    <x v="1"/>
    <x v="1"/>
    <n v="135"/>
    <n v="86"/>
    <x v="3"/>
    <x v="3"/>
    <s v="Boarderline"/>
    <x v="0"/>
  </r>
  <r>
    <x v="31"/>
    <x v="0"/>
    <n v="189.95"/>
    <n v="35.549999999999997"/>
    <x v="2"/>
    <n v="237"/>
    <s v="90/81"/>
    <n v="4.91"/>
    <x v="0"/>
    <x v="1"/>
    <x v="1"/>
    <n v="90"/>
    <n v="81"/>
    <x v="2"/>
    <x v="0"/>
    <s v="Boarderline"/>
    <x v="1"/>
  </r>
  <r>
    <x v="43"/>
    <x v="0"/>
    <n v="177.52"/>
    <n v="29.33"/>
    <x v="2"/>
    <n v="145"/>
    <s v="138/80"/>
    <n v="7.63"/>
    <x v="6"/>
    <x v="1"/>
    <x v="1"/>
    <n v="138"/>
    <n v="80"/>
    <x v="2"/>
    <x v="1"/>
    <s v="Normal"/>
    <x v="0"/>
  </r>
  <r>
    <x v="39"/>
    <x v="1"/>
    <n v="171.44"/>
    <n v="39.85"/>
    <x v="1"/>
    <n v="235"/>
    <s v="103/61"/>
    <n v="8.51"/>
    <x v="0"/>
    <x v="1"/>
    <x v="1"/>
    <n v="103"/>
    <n v="61"/>
    <x v="5"/>
    <x v="1"/>
    <s v="Boarderline"/>
    <x v="1"/>
  </r>
  <r>
    <x v="40"/>
    <x v="0"/>
    <n v="104.47"/>
    <n v="39.82"/>
    <x v="0"/>
    <n v="263"/>
    <s v="138/71"/>
    <n v="6.87"/>
    <x v="7"/>
    <x v="0"/>
    <x v="0"/>
    <n v="138"/>
    <n v="71"/>
    <x v="2"/>
    <x v="3"/>
    <s v="High"/>
    <x v="1"/>
  </r>
  <r>
    <x v="23"/>
    <x v="1"/>
    <n v="225"/>
    <n v="22.54"/>
    <x v="3"/>
    <n v="215"/>
    <s v="97/69"/>
    <n v="6.66"/>
    <x v="1"/>
    <x v="0"/>
    <x v="1"/>
    <n v="97"/>
    <n v="69"/>
    <x v="0"/>
    <x v="3"/>
    <s v="Boarderline"/>
    <x v="2"/>
  </r>
  <r>
    <x v="44"/>
    <x v="1"/>
    <n v="212.93"/>
    <n v="24.97"/>
    <x v="2"/>
    <n v="196"/>
    <s v="97/60"/>
    <n v="4.12"/>
    <x v="6"/>
    <x v="1"/>
    <x v="0"/>
    <n v="97"/>
    <n v="60"/>
    <x v="4"/>
    <x v="0"/>
    <s v="Normal"/>
    <x v="0"/>
  </r>
  <r>
    <x v="43"/>
    <x v="0"/>
    <n v="199.71"/>
    <n v="18.96"/>
    <x v="1"/>
    <n v="180"/>
    <s v="96/68"/>
    <n v="8.59"/>
    <x v="2"/>
    <x v="1"/>
    <x v="1"/>
    <n v="96"/>
    <n v="68"/>
    <x v="2"/>
    <x v="1"/>
    <s v="Normal"/>
    <x v="2"/>
  </r>
  <r>
    <x v="11"/>
    <x v="0"/>
    <n v="268.83999999999997"/>
    <n v="19.61"/>
    <x v="2"/>
    <n v="212"/>
    <s v="116/74"/>
    <n v="9.67"/>
    <x v="7"/>
    <x v="0"/>
    <x v="1"/>
    <n v="116"/>
    <n v="74"/>
    <x v="1"/>
    <x v="1"/>
    <s v="Boarderline"/>
    <x v="2"/>
  </r>
  <r>
    <x v="6"/>
    <x v="1"/>
    <n v="111.23"/>
    <n v="25.13"/>
    <x v="2"/>
    <n v="199"/>
    <s v="116/79"/>
    <n v="5.51"/>
    <x v="1"/>
    <x v="0"/>
    <x v="0"/>
    <n v="116"/>
    <n v="79"/>
    <x v="3"/>
    <x v="0"/>
    <s v="Normal"/>
    <x v="0"/>
  </r>
  <r>
    <x v="45"/>
    <x v="0"/>
    <n v="84.51"/>
    <n v="25.68"/>
    <x v="3"/>
    <n v="116"/>
    <s v="134/61"/>
    <n v="9.7799999999999994"/>
    <x v="7"/>
    <x v="0"/>
    <x v="1"/>
    <n v="134"/>
    <n v="61"/>
    <x v="4"/>
    <x v="1"/>
    <s v="Low"/>
    <x v="0"/>
  </r>
  <r>
    <x v="7"/>
    <x v="0"/>
    <n v="100.07"/>
    <n v="19.41"/>
    <x v="2"/>
    <n v="171"/>
    <s v="117/86"/>
    <n v="8.19"/>
    <x v="0"/>
    <x v="0"/>
    <x v="0"/>
    <n v="117"/>
    <n v="86"/>
    <x v="3"/>
    <x v="1"/>
    <s v="Normal"/>
    <x v="2"/>
  </r>
  <r>
    <x v="20"/>
    <x v="1"/>
    <n v="117.53"/>
    <n v="35.61"/>
    <x v="3"/>
    <n v="213"/>
    <s v="127/84"/>
    <n v="5.34"/>
    <x v="0"/>
    <x v="1"/>
    <x v="1"/>
    <n v="127"/>
    <n v="84"/>
    <x v="0"/>
    <x v="0"/>
    <s v="Boarderline"/>
    <x v="1"/>
  </r>
  <r>
    <x v="46"/>
    <x v="1"/>
    <n v="262.88"/>
    <n v="30.59"/>
    <x v="3"/>
    <n v="197"/>
    <s v="135/71"/>
    <n v="5.91"/>
    <x v="2"/>
    <x v="0"/>
    <x v="0"/>
    <n v="135"/>
    <n v="71"/>
    <x v="0"/>
    <x v="2"/>
    <s v="Normal"/>
    <x v="1"/>
  </r>
  <r>
    <x v="6"/>
    <x v="0"/>
    <n v="156.26"/>
    <n v="29.71"/>
    <x v="3"/>
    <n v="124"/>
    <s v="116/84"/>
    <n v="4.5199999999999996"/>
    <x v="0"/>
    <x v="0"/>
    <x v="0"/>
    <n v="116"/>
    <n v="84"/>
    <x v="3"/>
    <x v="0"/>
    <s v="Normal"/>
    <x v="0"/>
  </r>
  <r>
    <x v="47"/>
    <x v="1"/>
    <n v="194.12"/>
    <n v="37.96"/>
    <x v="0"/>
    <n v="189"/>
    <s v="103/76"/>
    <n v="7.38"/>
    <x v="4"/>
    <x v="0"/>
    <x v="0"/>
    <n v="103"/>
    <n v="76"/>
    <x v="3"/>
    <x v="3"/>
    <s v="Normal"/>
    <x v="1"/>
  </r>
  <r>
    <x v="34"/>
    <x v="0"/>
    <n v="143.34"/>
    <n v="29.7"/>
    <x v="3"/>
    <n v="207"/>
    <s v="138/61"/>
    <n v="9"/>
    <x v="7"/>
    <x v="0"/>
    <x v="0"/>
    <n v="138"/>
    <n v="61"/>
    <x v="5"/>
    <x v="1"/>
    <s v="Boarderline"/>
    <x v="0"/>
  </r>
  <r>
    <x v="41"/>
    <x v="1"/>
    <n v="103.26"/>
    <n v="32.78"/>
    <x v="3"/>
    <n v="274"/>
    <s v="98/90"/>
    <n v="8.59"/>
    <x v="7"/>
    <x v="0"/>
    <x v="1"/>
    <n v="98"/>
    <n v="90"/>
    <x v="5"/>
    <x v="1"/>
    <s v="High"/>
    <x v="1"/>
  </r>
  <r>
    <x v="21"/>
    <x v="1"/>
    <n v="238.3"/>
    <n v="30.31"/>
    <x v="1"/>
    <n v="257"/>
    <s v="127/86"/>
    <n v="5.58"/>
    <x v="1"/>
    <x v="1"/>
    <x v="0"/>
    <n v="127"/>
    <n v="86"/>
    <x v="3"/>
    <x v="0"/>
    <s v="High"/>
    <x v="1"/>
  </r>
  <r>
    <x v="48"/>
    <x v="0"/>
    <n v="134.02000000000001"/>
    <n v="30.52"/>
    <x v="2"/>
    <n v="257"/>
    <s v="119/75"/>
    <n v="7.81"/>
    <x v="1"/>
    <x v="0"/>
    <x v="1"/>
    <n v="119"/>
    <n v="75"/>
    <x v="1"/>
    <x v="1"/>
    <s v="High"/>
    <x v="1"/>
  </r>
  <r>
    <x v="1"/>
    <x v="0"/>
    <n v="257.98"/>
    <n v="21.11"/>
    <x v="2"/>
    <n v="173"/>
    <s v="137/66"/>
    <n v="7.85"/>
    <x v="0"/>
    <x v="1"/>
    <x v="1"/>
    <n v="137"/>
    <n v="66"/>
    <x v="1"/>
    <x v="1"/>
    <s v="Normal"/>
    <x v="2"/>
  </r>
  <r>
    <x v="49"/>
    <x v="1"/>
    <n v="258.26"/>
    <n v="26.36"/>
    <x v="2"/>
    <n v="164"/>
    <s v="117/88"/>
    <n v="4.2699999999999996"/>
    <x v="2"/>
    <x v="1"/>
    <x v="1"/>
    <n v="117"/>
    <n v="88"/>
    <x v="4"/>
    <x v="0"/>
    <s v="Normal"/>
    <x v="0"/>
  </r>
  <r>
    <x v="40"/>
    <x v="0"/>
    <n v="168.52"/>
    <n v="31.56"/>
    <x v="0"/>
    <n v="177"/>
    <s v="112/84"/>
    <n v="4.46"/>
    <x v="5"/>
    <x v="0"/>
    <x v="1"/>
    <n v="112"/>
    <n v="84"/>
    <x v="2"/>
    <x v="0"/>
    <s v="Normal"/>
    <x v="1"/>
  </r>
  <r>
    <x v="49"/>
    <x v="0"/>
    <n v="105.53"/>
    <n v="24.65"/>
    <x v="3"/>
    <n v="296"/>
    <s v="112/83"/>
    <n v="9.7899999999999991"/>
    <x v="5"/>
    <x v="1"/>
    <x v="0"/>
    <n v="112"/>
    <n v="83"/>
    <x v="4"/>
    <x v="1"/>
    <s v="High"/>
    <x v="2"/>
  </r>
  <r>
    <x v="9"/>
    <x v="0"/>
    <n v="254.36"/>
    <n v="29.92"/>
    <x v="0"/>
    <n v="268"/>
    <s v="136/73"/>
    <n v="6.96"/>
    <x v="6"/>
    <x v="1"/>
    <x v="0"/>
    <n v="136"/>
    <n v="73"/>
    <x v="5"/>
    <x v="3"/>
    <s v="High"/>
    <x v="1"/>
  </r>
  <r>
    <x v="18"/>
    <x v="1"/>
    <n v="108.84"/>
    <n v="38.04"/>
    <x v="3"/>
    <n v="113"/>
    <s v="117/84"/>
    <n v="8.31"/>
    <x v="3"/>
    <x v="1"/>
    <x v="0"/>
    <n v="117"/>
    <n v="84"/>
    <x v="4"/>
    <x v="1"/>
    <s v="Low"/>
    <x v="1"/>
  </r>
  <r>
    <x v="24"/>
    <x v="0"/>
    <n v="171.87"/>
    <n v="23.11"/>
    <x v="3"/>
    <n v="267"/>
    <s v="102/81"/>
    <n v="9.93"/>
    <x v="6"/>
    <x v="0"/>
    <x v="0"/>
    <n v="102"/>
    <n v="81"/>
    <x v="4"/>
    <x v="1"/>
    <s v="High"/>
    <x v="2"/>
  </r>
  <r>
    <x v="1"/>
    <x v="1"/>
    <n v="166.46"/>
    <n v="37.44"/>
    <x v="1"/>
    <n v="269"/>
    <s v="93/90"/>
    <n v="7.93"/>
    <x v="6"/>
    <x v="0"/>
    <x v="1"/>
    <n v="93"/>
    <n v="90"/>
    <x v="1"/>
    <x v="1"/>
    <s v="High"/>
    <x v="1"/>
  </r>
  <r>
    <x v="50"/>
    <x v="0"/>
    <n v="216.01"/>
    <n v="22.71"/>
    <x v="2"/>
    <n v="219"/>
    <s v="128/78"/>
    <n v="8.39"/>
    <x v="2"/>
    <x v="1"/>
    <x v="0"/>
    <n v="128"/>
    <n v="78"/>
    <x v="2"/>
    <x v="1"/>
    <s v="Boarderline"/>
    <x v="2"/>
  </r>
  <r>
    <x v="35"/>
    <x v="0"/>
    <n v="128.28"/>
    <n v="21.57"/>
    <x v="2"/>
    <n v="173"/>
    <s v="137/65"/>
    <n v="8.31"/>
    <x v="2"/>
    <x v="1"/>
    <x v="0"/>
    <n v="137"/>
    <n v="65"/>
    <x v="1"/>
    <x v="1"/>
    <s v="Normal"/>
    <x v="2"/>
  </r>
  <r>
    <x v="50"/>
    <x v="0"/>
    <n v="72.3"/>
    <n v="33.159999999999997"/>
    <x v="3"/>
    <n v="258"/>
    <s v="110/68"/>
    <n v="7.34"/>
    <x v="3"/>
    <x v="0"/>
    <x v="1"/>
    <n v="110"/>
    <n v="68"/>
    <x v="2"/>
    <x v="3"/>
    <s v="High"/>
    <x v="1"/>
  </r>
  <r>
    <x v="51"/>
    <x v="0"/>
    <n v="77.2"/>
    <n v="20.52"/>
    <x v="3"/>
    <n v="286"/>
    <s v="123/71"/>
    <n v="6.15"/>
    <x v="1"/>
    <x v="1"/>
    <x v="1"/>
    <n v="123"/>
    <n v="71"/>
    <x v="5"/>
    <x v="2"/>
    <s v="High"/>
    <x v="2"/>
  </r>
  <r>
    <x v="52"/>
    <x v="1"/>
    <n v="261.83999999999997"/>
    <n v="36.96"/>
    <x v="3"/>
    <n v="296"/>
    <s v="102/85"/>
    <n v="5.18"/>
    <x v="6"/>
    <x v="1"/>
    <x v="1"/>
    <n v="102"/>
    <n v="85"/>
    <x v="3"/>
    <x v="0"/>
    <s v="High"/>
    <x v="1"/>
  </r>
  <r>
    <x v="13"/>
    <x v="1"/>
    <n v="98.56"/>
    <n v="18.45"/>
    <x v="0"/>
    <n v="283"/>
    <s v="124/89"/>
    <n v="9.23"/>
    <x v="2"/>
    <x v="0"/>
    <x v="0"/>
    <n v="124"/>
    <n v="89"/>
    <x v="1"/>
    <x v="1"/>
    <s v="High"/>
    <x v="3"/>
  </r>
  <r>
    <x v="21"/>
    <x v="1"/>
    <n v="146.46"/>
    <n v="29.35"/>
    <x v="2"/>
    <n v="255"/>
    <s v="118/64"/>
    <n v="4.0199999999999996"/>
    <x v="4"/>
    <x v="1"/>
    <x v="1"/>
    <n v="118"/>
    <n v="64"/>
    <x v="3"/>
    <x v="0"/>
    <s v="High"/>
    <x v="0"/>
  </r>
  <r>
    <x v="11"/>
    <x v="0"/>
    <n v="79.98"/>
    <n v="23.82"/>
    <x v="3"/>
    <n v="156"/>
    <s v="132/73"/>
    <n v="8.1"/>
    <x v="7"/>
    <x v="1"/>
    <x v="1"/>
    <n v="132"/>
    <n v="73"/>
    <x v="1"/>
    <x v="1"/>
    <s v="Normal"/>
    <x v="2"/>
  </r>
  <r>
    <x v="7"/>
    <x v="0"/>
    <n v="149.65"/>
    <n v="39.369999999999997"/>
    <x v="1"/>
    <n v="273"/>
    <s v="128/79"/>
    <n v="9.64"/>
    <x v="7"/>
    <x v="1"/>
    <x v="1"/>
    <n v="128"/>
    <n v="79"/>
    <x v="3"/>
    <x v="1"/>
    <s v="High"/>
    <x v="1"/>
  </r>
  <r>
    <x v="36"/>
    <x v="0"/>
    <n v="230.52"/>
    <n v="37.97"/>
    <x v="1"/>
    <n v="237"/>
    <s v="92/72"/>
    <n v="7.09"/>
    <x v="2"/>
    <x v="0"/>
    <x v="1"/>
    <n v="92"/>
    <n v="72"/>
    <x v="0"/>
    <x v="3"/>
    <s v="Boarderline"/>
    <x v="1"/>
  </r>
  <r>
    <x v="45"/>
    <x v="0"/>
    <n v="122.05"/>
    <n v="26.96"/>
    <x v="0"/>
    <n v="140"/>
    <s v="134/60"/>
    <n v="5.17"/>
    <x v="2"/>
    <x v="1"/>
    <x v="1"/>
    <n v="134"/>
    <n v="60"/>
    <x v="4"/>
    <x v="0"/>
    <s v="Normal"/>
    <x v="0"/>
  </r>
  <r>
    <x v="53"/>
    <x v="0"/>
    <n v="180.34"/>
    <n v="23.55"/>
    <x v="3"/>
    <n v="145"/>
    <s v="111/77"/>
    <n v="5.47"/>
    <x v="4"/>
    <x v="0"/>
    <x v="1"/>
    <n v="111"/>
    <n v="77"/>
    <x v="5"/>
    <x v="0"/>
    <s v="Normal"/>
    <x v="2"/>
  </r>
  <r>
    <x v="28"/>
    <x v="1"/>
    <n v="90.54"/>
    <n v="21.85"/>
    <x v="1"/>
    <n v="132"/>
    <s v="95/84"/>
    <n v="8.3699999999999992"/>
    <x v="4"/>
    <x v="1"/>
    <x v="1"/>
    <n v="95"/>
    <n v="84"/>
    <x v="3"/>
    <x v="1"/>
    <s v="Normal"/>
    <x v="2"/>
  </r>
  <r>
    <x v="54"/>
    <x v="1"/>
    <n v="257.98"/>
    <n v="30.7"/>
    <x v="0"/>
    <n v="185"/>
    <s v="137/85"/>
    <n v="9.1999999999999993"/>
    <x v="2"/>
    <x v="0"/>
    <x v="1"/>
    <n v="137"/>
    <n v="85"/>
    <x v="0"/>
    <x v="1"/>
    <s v="Normal"/>
    <x v="1"/>
  </r>
  <r>
    <x v="28"/>
    <x v="1"/>
    <n v="191.83"/>
    <n v="23.5"/>
    <x v="3"/>
    <n v="222"/>
    <s v="123/64"/>
    <n v="6.95"/>
    <x v="1"/>
    <x v="1"/>
    <x v="0"/>
    <n v="123"/>
    <n v="64"/>
    <x v="3"/>
    <x v="3"/>
    <s v="Boarderline"/>
    <x v="2"/>
  </r>
  <r>
    <x v="32"/>
    <x v="1"/>
    <n v="199.02"/>
    <n v="25.91"/>
    <x v="3"/>
    <n v="105"/>
    <s v="96/71"/>
    <n v="4.33"/>
    <x v="0"/>
    <x v="1"/>
    <x v="0"/>
    <n v="96"/>
    <n v="71"/>
    <x v="2"/>
    <x v="0"/>
    <s v="Low"/>
    <x v="0"/>
  </r>
  <r>
    <x v="19"/>
    <x v="0"/>
    <n v="157.43"/>
    <n v="22.43"/>
    <x v="3"/>
    <n v="284"/>
    <s v="100/65"/>
    <n v="9.41"/>
    <x v="1"/>
    <x v="1"/>
    <x v="1"/>
    <n v="100"/>
    <n v="65"/>
    <x v="2"/>
    <x v="1"/>
    <s v="High"/>
    <x v="2"/>
  </r>
  <r>
    <x v="39"/>
    <x v="1"/>
    <n v="182.61"/>
    <n v="25.2"/>
    <x v="2"/>
    <n v="127"/>
    <s v="98/85"/>
    <n v="8.73"/>
    <x v="5"/>
    <x v="1"/>
    <x v="0"/>
    <n v="98"/>
    <n v="85"/>
    <x v="5"/>
    <x v="1"/>
    <s v="Normal"/>
    <x v="0"/>
  </r>
  <r>
    <x v="21"/>
    <x v="1"/>
    <n v="242.93"/>
    <n v="23.61"/>
    <x v="3"/>
    <n v="252"/>
    <s v="122/84"/>
    <n v="4.0599999999999996"/>
    <x v="5"/>
    <x v="0"/>
    <x v="1"/>
    <n v="122"/>
    <n v="84"/>
    <x v="3"/>
    <x v="0"/>
    <s v="High"/>
    <x v="2"/>
  </r>
  <r>
    <x v="0"/>
    <x v="1"/>
    <n v="299.39"/>
    <n v="23.28"/>
    <x v="2"/>
    <n v="156"/>
    <s v="134/79"/>
    <n v="7.48"/>
    <x v="1"/>
    <x v="0"/>
    <x v="1"/>
    <n v="134"/>
    <n v="79"/>
    <x v="0"/>
    <x v="3"/>
    <s v="Normal"/>
    <x v="2"/>
  </r>
  <r>
    <x v="49"/>
    <x v="1"/>
    <n v="145.51"/>
    <n v="28.15"/>
    <x v="3"/>
    <n v="187"/>
    <s v="93/89"/>
    <n v="8.85"/>
    <x v="5"/>
    <x v="1"/>
    <x v="1"/>
    <n v="93"/>
    <n v="89"/>
    <x v="4"/>
    <x v="1"/>
    <s v="Normal"/>
    <x v="0"/>
  </r>
  <r>
    <x v="45"/>
    <x v="0"/>
    <n v="221.08"/>
    <n v="18.52"/>
    <x v="3"/>
    <n v="194"/>
    <s v="136/73"/>
    <n v="7.44"/>
    <x v="5"/>
    <x v="0"/>
    <x v="0"/>
    <n v="136"/>
    <n v="73"/>
    <x v="4"/>
    <x v="3"/>
    <s v="Normal"/>
    <x v="2"/>
  </r>
  <r>
    <x v="18"/>
    <x v="1"/>
    <n v="255.1"/>
    <n v="26.51"/>
    <x v="0"/>
    <n v="183"/>
    <s v="93/86"/>
    <n v="7.05"/>
    <x v="2"/>
    <x v="0"/>
    <x v="0"/>
    <n v="93"/>
    <n v="86"/>
    <x v="4"/>
    <x v="3"/>
    <s v="Normal"/>
    <x v="0"/>
  </r>
  <r>
    <x v="51"/>
    <x v="0"/>
    <n v="153.99"/>
    <n v="38.81"/>
    <x v="2"/>
    <n v="222"/>
    <s v="113/75"/>
    <n v="7.5"/>
    <x v="6"/>
    <x v="1"/>
    <x v="0"/>
    <n v="113"/>
    <n v="75"/>
    <x v="5"/>
    <x v="3"/>
    <s v="Boarderline"/>
    <x v="1"/>
  </r>
  <r>
    <x v="11"/>
    <x v="1"/>
    <n v="276"/>
    <n v="34.28"/>
    <x v="0"/>
    <n v="156"/>
    <s v="101/84"/>
    <n v="5.42"/>
    <x v="1"/>
    <x v="0"/>
    <x v="1"/>
    <n v="101"/>
    <n v="84"/>
    <x v="1"/>
    <x v="0"/>
    <s v="Normal"/>
    <x v="1"/>
  </r>
  <r>
    <x v="30"/>
    <x v="0"/>
    <n v="150.11000000000001"/>
    <n v="38.770000000000003"/>
    <x v="0"/>
    <n v="215"/>
    <s v="140/61"/>
    <n v="8.8800000000000008"/>
    <x v="0"/>
    <x v="0"/>
    <x v="0"/>
    <n v="140"/>
    <n v="61"/>
    <x v="3"/>
    <x v="1"/>
    <s v="Boarderline"/>
    <x v="1"/>
  </r>
  <r>
    <x v="31"/>
    <x v="1"/>
    <n v="264.31"/>
    <n v="19.7"/>
    <x v="3"/>
    <n v="269"/>
    <s v="133/82"/>
    <n v="9.9"/>
    <x v="6"/>
    <x v="0"/>
    <x v="1"/>
    <n v="133"/>
    <n v="82"/>
    <x v="2"/>
    <x v="1"/>
    <s v="High"/>
    <x v="2"/>
  </r>
  <r>
    <x v="35"/>
    <x v="0"/>
    <n v="203.46"/>
    <n v="39.29"/>
    <x v="1"/>
    <n v="249"/>
    <s v="131/81"/>
    <n v="4.7"/>
    <x v="2"/>
    <x v="1"/>
    <x v="0"/>
    <n v="131"/>
    <n v="81"/>
    <x v="1"/>
    <x v="0"/>
    <s v="High"/>
    <x v="1"/>
  </r>
  <r>
    <x v="12"/>
    <x v="1"/>
    <n v="173.03"/>
    <n v="23.2"/>
    <x v="2"/>
    <n v="265"/>
    <s v="110/73"/>
    <n v="5.14"/>
    <x v="0"/>
    <x v="1"/>
    <x v="1"/>
    <n v="110"/>
    <n v="73"/>
    <x v="1"/>
    <x v="0"/>
    <s v="High"/>
    <x v="2"/>
  </r>
  <r>
    <x v="26"/>
    <x v="1"/>
    <n v="79.56"/>
    <n v="21.17"/>
    <x v="1"/>
    <n v="103"/>
    <s v="121/62"/>
    <n v="7.05"/>
    <x v="5"/>
    <x v="0"/>
    <x v="0"/>
    <n v="121"/>
    <n v="62"/>
    <x v="2"/>
    <x v="3"/>
    <s v="Low"/>
    <x v="2"/>
  </r>
  <r>
    <x v="55"/>
    <x v="1"/>
    <n v="242.35"/>
    <n v="27.3"/>
    <x v="3"/>
    <n v="112"/>
    <s v="139/84"/>
    <n v="5.99"/>
    <x v="1"/>
    <x v="1"/>
    <x v="1"/>
    <n v="139"/>
    <n v="84"/>
    <x v="3"/>
    <x v="2"/>
    <s v="Low"/>
    <x v="0"/>
  </r>
  <r>
    <x v="34"/>
    <x v="1"/>
    <n v="91.76"/>
    <n v="23.03"/>
    <x v="0"/>
    <n v="177"/>
    <s v="109/83"/>
    <n v="8.64"/>
    <x v="1"/>
    <x v="0"/>
    <x v="0"/>
    <n v="109"/>
    <n v="83"/>
    <x v="5"/>
    <x v="1"/>
    <s v="Normal"/>
    <x v="2"/>
  </r>
  <r>
    <x v="34"/>
    <x v="0"/>
    <n v="294.74"/>
    <n v="28.57"/>
    <x v="0"/>
    <n v="170"/>
    <s v="125/77"/>
    <n v="5.41"/>
    <x v="4"/>
    <x v="0"/>
    <x v="1"/>
    <n v="125"/>
    <n v="77"/>
    <x v="5"/>
    <x v="0"/>
    <s v="Normal"/>
    <x v="0"/>
  </r>
  <r>
    <x v="49"/>
    <x v="0"/>
    <n v="299.52999999999997"/>
    <n v="18.59"/>
    <x v="3"/>
    <n v="271"/>
    <s v="90/74"/>
    <n v="6.25"/>
    <x v="2"/>
    <x v="0"/>
    <x v="1"/>
    <n v="90"/>
    <n v="74"/>
    <x v="4"/>
    <x v="2"/>
    <s v="High"/>
    <x v="2"/>
  </r>
  <r>
    <x v="2"/>
    <x v="0"/>
    <n v="178.73"/>
    <n v="25.33"/>
    <x v="3"/>
    <n v="123"/>
    <s v="127/60"/>
    <n v="7.56"/>
    <x v="3"/>
    <x v="1"/>
    <x v="0"/>
    <n v="127"/>
    <n v="60"/>
    <x v="2"/>
    <x v="1"/>
    <s v="Normal"/>
    <x v="0"/>
  </r>
  <r>
    <x v="56"/>
    <x v="0"/>
    <n v="106.82"/>
    <n v="36.590000000000003"/>
    <x v="0"/>
    <n v="115"/>
    <s v="93/73"/>
    <n v="6.95"/>
    <x v="6"/>
    <x v="1"/>
    <x v="1"/>
    <n v="93"/>
    <n v="73"/>
    <x v="5"/>
    <x v="3"/>
    <s v="Low"/>
    <x v="1"/>
  </r>
  <r>
    <x v="24"/>
    <x v="1"/>
    <n v="80.59"/>
    <n v="31.16"/>
    <x v="3"/>
    <n v="220"/>
    <s v="97/67"/>
    <n v="9.26"/>
    <x v="2"/>
    <x v="1"/>
    <x v="1"/>
    <n v="97"/>
    <n v="67"/>
    <x v="4"/>
    <x v="1"/>
    <s v="Boarderline"/>
    <x v="1"/>
  </r>
  <r>
    <x v="1"/>
    <x v="1"/>
    <n v="105.39"/>
    <n v="35.82"/>
    <x v="3"/>
    <n v="177"/>
    <s v="93/76"/>
    <n v="8.44"/>
    <x v="5"/>
    <x v="0"/>
    <x v="1"/>
    <n v="93"/>
    <n v="76"/>
    <x v="1"/>
    <x v="1"/>
    <s v="Normal"/>
    <x v="1"/>
  </r>
  <r>
    <x v="19"/>
    <x v="0"/>
    <n v="211.64"/>
    <n v="21.38"/>
    <x v="0"/>
    <n v="120"/>
    <s v="115/71"/>
    <n v="8.77"/>
    <x v="7"/>
    <x v="1"/>
    <x v="0"/>
    <n v="115"/>
    <n v="71"/>
    <x v="2"/>
    <x v="1"/>
    <s v="Normal"/>
    <x v="2"/>
  </r>
  <r>
    <x v="55"/>
    <x v="1"/>
    <n v="118.87"/>
    <n v="24.49"/>
    <x v="3"/>
    <n v="114"/>
    <s v="106/64"/>
    <n v="9.56"/>
    <x v="3"/>
    <x v="0"/>
    <x v="0"/>
    <n v="106"/>
    <n v="64"/>
    <x v="3"/>
    <x v="1"/>
    <s v="Low"/>
    <x v="2"/>
  </r>
  <r>
    <x v="9"/>
    <x v="1"/>
    <n v="238.79"/>
    <n v="21.47"/>
    <x v="3"/>
    <n v="237"/>
    <s v="90/74"/>
    <n v="7.12"/>
    <x v="6"/>
    <x v="1"/>
    <x v="0"/>
    <n v="90"/>
    <n v="74"/>
    <x v="5"/>
    <x v="3"/>
    <s v="Boarderline"/>
    <x v="2"/>
  </r>
  <r>
    <x v="31"/>
    <x v="0"/>
    <n v="216.34"/>
    <n v="38.39"/>
    <x v="1"/>
    <n v="220"/>
    <s v="107/72"/>
    <n v="8.43"/>
    <x v="5"/>
    <x v="1"/>
    <x v="1"/>
    <n v="107"/>
    <n v="72"/>
    <x v="2"/>
    <x v="1"/>
    <s v="Boarderline"/>
    <x v="1"/>
  </r>
  <r>
    <x v="30"/>
    <x v="0"/>
    <n v="194.62"/>
    <n v="28.71"/>
    <x v="2"/>
    <n v="115"/>
    <s v="91/71"/>
    <n v="8.19"/>
    <x v="4"/>
    <x v="0"/>
    <x v="0"/>
    <n v="91"/>
    <n v="71"/>
    <x v="3"/>
    <x v="1"/>
    <s v="Low"/>
    <x v="0"/>
  </r>
  <r>
    <x v="27"/>
    <x v="1"/>
    <n v="177.78"/>
    <n v="33.39"/>
    <x v="3"/>
    <n v="125"/>
    <s v="124/63"/>
    <n v="8.34"/>
    <x v="3"/>
    <x v="1"/>
    <x v="0"/>
    <n v="124"/>
    <n v="63"/>
    <x v="4"/>
    <x v="1"/>
    <s v="Normal"/>
    <x v="1"/>
  </r>
  <r>
    <x v="57"/>
    <x v="1"/>
    <n v="276.86"/>
    <n v="23.16"/>
    <x v="0"/>
    <n v="108"/>
    <s v="133/86"/>
    <n v="8.5500000000000007"/>
    <x v="3"/>
    <x v="1"/>
    <x v="0"/>
    <n v="133"/>
    <n v="86"/>
    <x v="3"/>
    <x v="1"/>
    <s v="Low"/>
    <x v="2"/>
  </r>
  <r>
    <x v="14"/>
    <x v="1"/>
    <n v="91.7"/>
    <n v="29.05"/>
    <x v="0"/>
    <n v="126"/>
    <s v="115/68"/>
    <n v="7.85"/>
    <x v="1"/>
    <x v="0"/>
    <x v="1"/>
    <n v="115"/>
    <n v="68"/>
    <x v="3"/>
    <x v="1"/>
    <s v="Normal"/>
    <x v="0"/>
  </r>
  <r>
    <x v="25"/>
    <x v="0"/>
    <n v="262.74"/>
    <n v="24.37"/>
    <x v="3"/>
    <n v="128"/>
    <s v="116/73"/>
    <n v="9.48"/>
    <x v="6"/>
    <x v="1"/>
    <x v="0"/>
    <n v="116"/>
    <n v="73"/>
    <x v="1"/>
    <x v="1"/>
    <s v="Normal"/>
    <x v="2"/>
  </r>
  <r>
    <x v="44"/>
    <x v="1"/>
    <n v="225.89"/>
    <n v="27.88"/>
    <x v="1"/>
    <n v="103"/>
    <s v="117/72"/>
    <n v="6.54"/>
    <x v="2"/>
    <x v="1"/>
    <x v="0"/>
    <n v="117"/>
    <n v="72"/>
    <x v="4"/>
    <x v="3"/>
    <s v="Low"/>
    <x v="0"/>
  </r>
  <r>
    <x v="35"/>
    <x v="0"/>
    <n v="254.55"/>
    <n v="18.98"/>
    <x v="2"/>
    <n v="105"/>
    <s v="114/75"/>
    <n v="7.73"/>
    <x v="6"/>
    <x v="1"/>
    <x v="0"/>
    <n v="114"/>
    <n v="75"/>
    <x v="1"/>
    <x v="1"/>
    <s v="Low"/>
    <x v="2"/>
  </r>
  <r>
    <x v="26"/>
    <x v="1"/>
    <n v="99.89"/>
    <n v="31.9"/>
    <x v="1"/>
    <n v="126"/>
    <s v="140/71"/>
    <n v="5.64"/>
    <x v="2"/>
    <x v="0"/>
    <x v="1"/>
    <n v="140"/>
    <n v="71"/>
    <x v="2"/>
    <x v="0"/>
    <s v="Normal"/>
    <x v="1"/>
  </r>
  <r>
    <x v="57"/>
    <x v="1"/>
    <n v="126.33"/>
    <n v="18.850000000000001"/>
    <x v="3"/>
    <n v="300"/>
    <s v="114/78"/>
    <n v="6.28"/>
    <x v="7"/>
    <x v="1"/>
    <x v="0"/>
    <n v="114"/>
    <n v="78"/>
    <x v="3"/>
    <x v="2"/>
    <s v="High"/>
    <x v="2"/>
  </r>
  <r>
    <x v="58"/>
    <x v="1"/>
    <n v="183.8"/>
    <n v="37.799999999999997"/>
    <x v="1"/>
    <n v="111"/>
    <s v="116/69"/>
    <n v="9.73"/>
    <x v="6"/>
    <x v="1"/>
    <x v="1"/>
    <n v="116"/>
    <n v="69"/>
    <x v="2"/>
    <x v="1"/>
    <s v="Low"/>
    <x v="1"/>
  </r>
  <r>
    <x v="4"/>
    <x v="0"/>
    <n v="294.98"/>
    <n v="34.729999999999997"/>
    <x v="1"/>
    <n v="222"/>
    <s v="108/88"/>
    <n v="4.0999999999999996"/>
    <x v="0"/>
    <x v="1"/>
    <x v="0"/>
    <n v="108"/>
    <n v="88"/>
    <x v="0"/>
    <x v="0"/>
    <s v="Boarderline"/>
    <x v="1"/>
  </r>
  <r>
    <x v="41"/>
    <x v="0"/>
    <n v="131.36000000000001"/>
    <n v="20.83"/>
    <x v="1"/>
    <n v="180"/>
    <s v="131/63"/>
    <n v="7.76"/>
    <x v="6"/>
    <x v="1"/>
    <x v="0"/>
    <n v="131"/>
    <n v="63"/>
    <x v="5"/>
    <x v="1"/>
    <s v="Normal"/>
    <x v="2"/>
  </r>
  <r>
    <x v="37"/>
    <x v="0"/>
    <n v="136.61000000000001"/>
    <n v="30.97"/>
    <x v="3"/>
    <n v="189"/>
    <s v="103/88"/>
    <n v="8.5"/>
    <x v="4"/>
    <x v="0"/>
    <x v="0"/>
    <n v="103"/>
    <n v="88"/>
    <x v="3"/>
    <x v="1"/>
    <s v="Normal"/>
    <x v="1"/>
  </r>
  <r>
    <x v="56"/>
    <x v="0"/>
    <n v="222.11"/>
    <n v="37.29"/>
    <x v="2"/>
    <n v="218"/>
    <s v="117/63"/>
    <n v="4.96"/>
    <x v="2"/>
    <x v="0"/>
    <x v="0"/>
    <n v="117"/>
    <n v="63"/>
    <x v="5"/>
    <x v="0"/>
    <s v="Boarderline"/>
    <x v="1"/>
  </r>
  <r>
    <x v="41"/>
    <x v="0"/>
    <n v="183.22"/>
    <n v="39.200000000000003"/>
    <x v="3"/>
    <n v="174"/>
    <s v="140/61"/>
    <n v="6.46"/>
    <x v="4"/>
    <x v="0"/>
    <x v="1"/>
    <n v="140"/>
    <n v="61"/>
    <x v="5"/>
    <x v="3"/>
    <s v="Normal"/>
    <x v="1"/>
  </r>
  <r>
    <x v="56"/>
    <x v="0"/>
    <n v="70.61"/>
    <n v="24.16"/>
    <x v="2"/>
    <n v="146"/>
    <s v="115/66"/>
    <n v="4.46"/>
    <x v="2"/>
    <x v="1"/>
    <x v="0"/>
    <n v="115"/>
    <n v="66"/>
    <x v="5"/>
    <x v="0"/>
    <s v="Normal"/>
    <x v="2"/>
  </r>
  <r>
    <x v="10"/>
    <x v="0"/>
    <n v="165.47"/>
    <n v="22.01"/>
    <x v="1"/>
    <n v="121"/>
    <s v="124/90"/>
    <n v="7.4"/>
    <x v="7"/>
    <x v="1"/>
    <x v="0"/>
    <n v="124"/>
    <n v="90"/>
    <x v="0"/>
    <x v="3"/>
    <s v="Normal"/>
    <x v="2"/>
  </r>
  <r>
    <x v="48"/>
    <x v="1"/>
    <n v="146.26"/>
    <n v="36.46"/>
    <x v="1"/>
    <n v="153"/>
    <s v="103/88"/>
    <n v="5.45"/>
    <x v="6"/>
    <x v="0"/>
    <x v="0"/>
    <n v="103"/>
    <n v="88"/>
    <x v="1"/>
    <x v="0"/>
    <s v="Normal"/>
    <x v="1"/>
  </r>
  <r>
    <x v="42"/>
    <x v="0"/>
    <n v="174.64"/>
    <n v="19.46"/>
    <x v="2"/>
    <n v="240"/>
    <s v="100/76"/>
    <n v="6.33"/>
    <x v="5"/>
    <x v="0"/>
    <x v="0"/>
    <n v="100"/>
    <n v="76"/>
    <x v="3"/>
    <x v="2"/>
    <s v="Boarderline"/>
    <x v="2"/>
  </r>
  <r>
    <x v="6"/>
    <x v="1"/>
    <n v="101.55"/>
    <n v="20.88"/>
    <x v="2"/>
    <n v="116"/>
    <s v="91/70"/>
    <n v="8.15"/>
    <x v="3"/>
    <x v="0"/>
    <x v="0"/>
    <n v="91"/>
    <n v="70"/>
    <x v="3"/>
    <x v="1"/>
    <s v="Low"/>
    <x v="2"/>
  </r>
  <r>
    <x v="16"/>
    <x v="1"/>
    <n v="223.96"/>
    <n v="34.64"/>
    <x v="0"/>
    <n v="147"/>
    <s v="107/66"/>
    <n v="9.08"/>
    <x v="0"/>
    <x v="1"/>
    <x v="1"/>
    <n v="107"/>
    <n v="66"/>
    <x v="4"/>
    <x v="1"/>
    <s v="Normal"/>
    <x v="1"/>
  </r>
  <r>
    <x v="22"/>
    <x v="0"/>
    <n v="146.94"/>
    <n v="34.369999999999997"/>
    <x v="3"/>
    <n v="148"/>
    <s v="109/85"/>
    <n v="8.43"/>
    <x v="6"/>
    <x v="0"/>
    <x v="1"/>
    <n v="109"/>
    <n v="85"/>
    <x v="5"/>
    <x v="1"/>
    <s v="Normal"/>
    <x v="1"/>
  </r>
  <r>
    <x v="59"/>
    <x v="0"/>
    <n v="112.98"/>
    <n v="21.47"/>
    <x v="0"/>
    <n v="250"/>
    <s v="139/68"/>
    <n v="8.1300000000000008"/>
    <x v="5"/>
    <x v="0"/>
    <x v="1"/>
    <n v="139"/>
    <n v="68"/>
    <x v="1"/>
    <x v="1"/>
    <s v="High"/>
    <x v="2"/>
  </r>
  <r>
    <x v="22"/>
    <x v="0"/>
    <n v="289.33999999999997"/>
    <n v="39.89"/>
    <x v="2"/>
    <n v="159"/>
    <s v="136/69"/>
    <n v="7.89"/>
    <x v="3"/>
    <x v="0"/>
    <x v="1"/>
    <n v="136"/>
    <n v="69"/>
    <x v="5"/>
    <x v="1"/>
    <s v="Normal"/>
    <x v="1"/>
  </r>
  <r>
    <x v="60"/>
    <x v="1"/>
    <n v="238.1"/>
    <n v="32.69"/>
    <x v="1"/>
    <n v="203"/>
    <s v="137/79"/>
    <n v="9.9499999999999993"/>
    <x v="7"/>
    <x v="1"/>
    <x v="1"/>
    <n v="137"/>
    <n v="79"/>
    <x v="5"/>
    <x v="1"/>
    <s v="Boarderline"/>
    <x v="1"/>
  </r>
  <r>
    <x v="52"/>
    <x v="0"/>
    <n v="290.49"/>
    <n v="33.58"/>
    <x v="0"/>
    <n v="147"/>
    <s v="105/80"/>
    <n v="7.16"/>
    <x v="1"/>
    <x v="1"/>
    <x v="1"/>
    <n v="105"/>
    <n v="80"/>
    <x v="3"/>
    <x v="3"/>
    <s v="Normal"/>
    <x v="1"/>
  </r>
  <r>
    <x v="39"/>
    <x v="0"/>
    <n v="183.52"/>
    <n v="21.7"/>
    <x v="2"/>
    <n v="138"/>
    <s v="102/89"/>
    <n v="6.79"/>
    <x v="5"/>
    <x v="1"/>
    <x v="1"/>
    <n v="102"/>
    <n v="89"/>
    <x v="5"/>
    <x v="3"/>
    <s v="Normal"/>
    <x v="2"/>
  </r>
  <r>
    <x v="9"/>
    <x v="0"/>
    <n v="272.83"/>
    <n v="27.5"/>
    <x v="2"/>
    <n v="265"/>
    <s v="91/62"/>
    <n v="5.24"/>
    <x v="7"/>
    <x v="1"/>
    <x v="0"/>
    <n v="91"/>
    <n v="62"/>
    <x v="5"/>
    <x v="0"/>
    <s v="High"/>
    <x v="0"/>
  </r>
  <r>
    <x v="59"/>
    <x v="1"/>
    <n v="153.19"/>
    <n v="19.46"/>
    <x v="0"/>
    <n v="185"/>
    <s v="116/61"/>
    <n v="7.62"/>
    <x v="3"/>
    <x v="1"/>
    <x v="1"/>
    <n v="116"/>
    <n v="61"/>
    <x v="1"/>
    <x v="1"/>
    <s v="Normal"/>
    <x v="2"/>
  </r>
  <r>
    <x v="57"/>
    <x v="1"/>
    <n v="218.04"/>
    <n v="34.28"/>
    <x v="3"/>
    <n v="140"/>
    <s v="118/62"/>
    <n v="9.16"/>
    <x v="6"/>
    <x v="0"/>
    <x v="1"/>
    <n v="118"/>
    <n v="62"/>
    <x v="3"/>
    <x v="1"/>
    <s v="Normal"/>
    <x v="1"/>
  </r>
  <r>
    <x v="49"/>
    <x v="0"/>
    <n v="105.09"/>
    <n v="35.99"/>
    <x v="3"/>
    <n v="196"/>
    <s v="120/71"/>
    <n v="4.33"/>
    <x v="3"/>
    <x v="0"/>
    <x v="1"/>
    <n v="120"/>
    <n v="71"/>
    <x v="4"/>
    <x v="0"/>
    <s v="Normal"/>
    <x v="1"/>
  </r>
  <r>
    <x v="41"/>
    <x v="1"/>
    <n v="262.24"/>
    <n v="21.84"/>
    <x v="3"/>
    <n v="141"/>
    <s v="133/79"/>
    <n v="6.93"/>
    <x v="6"/>
    <x v="1"/>
    <x v="1"/>
    <n v="133"/>
    <n v="79"/>
    <x v="5"/>
    <x v="3"/>
    <s v="Normal"/>
    <x v="2"/>
  </r>
  <r>
    <x v="27"/>
    <x v="0"/>
    <n v="146.65"/>
    <n v="32.71"/>
    <x v="3"/>
    <n v="162"/>
    <s v="117/82"/>
    <n v="8.9"/>
    <x v="7"/>
    <x v="0"/>
    <x v="1"/>
    <n v="117"/>
    <n v="82"/>
    <x v="4"/>
    <x v="1"/>
    <s v="Normal"/>
    <x v="1"/>
  </r>
  <r>
    <x v="42"/>
    <x v="0"/>
    <n v="153.91"/>
    <n v="23.73"/>
    <x v="3"/>
    <n v="108"/>
    <s v="130/63"/>
    <n v="4.33"/>
    <x v="2"/>
    <x v="0"/>
    <x v="0"/>
    <n v="130"/>
    <n v="63"/>
    <x v="3"/>
    <x v="0"/>
    <s v="Low"/>
    <x v="2"/>
  </r>
  <r>
    <x v="5"/>
    <x v="1"/>
    <n v="70.73"/>
    <n v="31.81"/>
    <x v="0"/>
    <n v="294"/>
    <s v="113/71"/>
    <n v="4.3099999999999996"/>
    <x v="2"/>
    <x v="0"/>
    <x v="1"/>
    <n v="113"/>
    <n v="71"/>
    <x v="3"/>
    <x v="0"/>
    <s v="High"/>
    <x v="1"/>
  </r>
  <r>
    <x v="16"/>
    <x v="0"/>
    <n v="193.76"/>
    <n v="38.07"/>
    <x v="3"/>
    <n v="104"/>
    <s v="111/64"/>
    <n v="8.52"/>
    <x v="1"/>
    <x v="0"/>
    <x v="0"/>
    <n v="111"/>
    <n v="64"/>
    <x v="4"/>
    <x v="1"/>
    <s v="Low"/>
    <x v="1"/>
  </r>
  <r>
    <x v="4"/>
    <x v="0"/>
    <n v="299.77"/>
    <n v="39.119999999999997"/>
    <x v="0"/>
    <n v="164"/>
    <s v="97/80"/>
    <n v="6.98"/>
    <x v="3"/>
    <x v="0"/>
    <x v="1"/>
    <n v="97"/>
    <n v="80"/>
    <x v="0"/>
    <x v="3"/>
    <s v="Normal"/>
    <x v="1"/>
  </r>
  <r>
    <x v="33"/>
    <x v="0"/>
    <n v="235.01"/>
    <n v="18.91"/>
    <x v="0"/>
    <n v="253"/>
    <s v="125/62"/>
    <n v="8.99"/>
    <x v="5"/>
    <x v="0"/>
    <x v="1"/>
    <n v="125"/>
    <n v="62"/>
    <x v="5"/>
    <x v="1"/>
    <s v="High"/>
    <x v="2"/>
  </r>
  <r>
    <x v="30"/>
    <x v="1"/>
    <n v="245.02"/>
    <n v="33.619999999999997"/>
    <x v="2"/>
    <n v="108"/>
    <s v="127/78"/>
    <n v="7.73"/>
    <x v="0"/>
    <x v="0"/>
    <x v="1"/>
    <n v="127"/>
    <n v="78"/>
    <x v="3"/>
    <x v="1"/>
    <s v="Low"/>
    <x v="1"/>
  </r>
  <r>
    <x v="57"/>
    <x v="0"/>
    <n v="279.99"/>
    <n v="22.77"/>
    <x v="1"/>
    <n v="126"/>
    <s v="119/70"/>
    <n v="8.8800000000000008"/>
    <x v="6"/>
    <x v="1"/>
    <x v="1"/>
    <n v="119"/>
    <n v="70"/>
    <x v="3"/>
    <x v="1"/>
    <s v="Normal"/>
    <x v="2"/>
  </r>
  <r>
    <x v="54"/>
    <x v="0"/>
    <n v="123.19"/>
    <n v="35.19"/>
    <x v="0"/>
    <n v="279"/>
    <s v="97/60"/>
    <n v="6.25"/>
    <x v="0"/>
    <x v="1"/>
    <x v="0"/>
    <n v="97"/>
    <n v="60"/>
    <x v="0"/>
    <x v="2"/>
    <s v="High"/>
    <x v="1"/>
  </r>
  <r>
    <x v="37"/>
    <x v="1"/>
    <n v="285.20999999999998"/>
    <n v="25.42"/>
    <x v="3"/>
    <n v="267"/>
    <s v="109/83"/>
    <n v="4.24"/>
    <x v="0"/>
    <x v="0"/>
    <x v="1"/>
    <n v="109"/>
    <n v="83"/>
    <x v="3"/>
    <x v="0"/>
    <s v="High"/>
    <x v="0"/>
  </r>
  <r>
    <x v="25"/>
    <x v="0"/>
    <n v="210.54"/>
    <n v="23.92"/>
    <x v="0"/>
    <n v="181"/>
    <s v="93/64"/>
    <n v="4.4400000000000004"/>
    <x v="0"/>
    <x v="0"/>
    <x v="0"/>
    <n v="93"/>
    <n v="64"/>
    <x v="1"/>
    <x v="0"/>
    <s v="Normal"/>
    <x v="2"/>
  </r>
  <r>
    <x v="33"/>
    <x v="0"/>
    <n v="95.55"/>
    <n v="39.450000000000003"/>
    <x v="3"/>
    <n v="159"/>
    <s v="104/79"/>
    <n v="6.46"/>
    <x v="3"/>
    <x v="1"/>
    <x v="1"/>
    <n v="104"/>
    <n v="79"/>
    <x v="5"/>
    <x v="3"/>
    <s v="Normal"/>
    <x v="1"/>
  </r>
  <r>
    <x v="58"/>
    <x v="0"/>
    <n v="105.29"/>
    <n v="20.57"/>
    <x v="3"/>
    <n v="114"/>
    <s v="101/82"/>
    <n v="5.69"/>
    <x v="7"/>
    <x v="1"/>
    <x v="0"/>
    <n v="101"/>
    <n v="82"/>
    <x v="2"/>
    <x v="0"/>
    <s v="Low"/>
    <x v="2"/>
  </r>
  <r>
    <x v="13"/>
    <x v="0"/>
    <n v="297.36"/>
    <n v="18.22"/>
    <x v="1"/>
    <n v="191"/>
    <s v="130/84"/>
    <n v="5.33"/>
    <x v="7"/>
    <x v="1"/>
    <x v="1"/>
    <n v="130"/>
    <n v="84"/>
    <x v="1"/>
    <x v="0"/>
    <s v="Normal"/>
    <x v="3"/>
  </r>
  <r>
    <x v="3"/>
    <x v="0"/>
    <n v="226.25"/>
    <n v="28.41"/>
    <x v="1"/>
    <n v="289"/>
    <s v="106/68"/>
    <n v="7.63"/>
    <x v="5"/>
    <x v="0"/>
    <x v="0"/>
    <n v="106"/>
    <n v="68"/>
    <x v="1"/>
    <x v="1"/>
    <s v="High"/>
    <x v="0"/>
  </r>
  <r>
    <x v="9"/>
    <x v="1"/>
    <n v="115.52"/>
    <n v="21.4"/>
    <x v="1"/>
    <n v="212"/>
    <s v="120/71"/>
    <n v="9.41"/>
    <x v="4"/>
    <x v="1"/>
    <x v="1"/>
    <n v="120"/>
    <n v="71"/>
    <x v="5"/>
    <x v="1"/>
    <s v="Boarderline"/>
    <x v="2"/>
  </r>
  <r>
    <x v="38"/>
    <x v="0"/>
    <n v="144.84"/>
    <n v="23.16"/>
    <x v="3"/>
    <n v="171"/>
    <s v="128/76"/>
    <n v="8.7799999999999994"/>
    <x v="0"/>
    <x v="0"/>
    <x v="1"/>
    <n v="128"/>
    <n v="76"/>
    <x v="4"/>
    <x v="1"/>
    <s v="Normal"/>
    <x v="2"/>
  </r>
  <r>
    <x v="13"/>
    <x v="1"/>
    <n v="259.58"/>
    <n v="24.96"/>
    <x v="0"/>
    <n v="276"/>
    <s v="116/83"/>
    <n v="6.31"/>
    <x v="7"/>
    <x v="1"/>
    <x v="1"/>
    <n v="116"/>
    <n v="83"/>
    <x v="1"/>
    <x v="2"/>
    <s v="High"/>
    <x v="0"/>
  </r>
  <r>
    <x v="47"/>
    <x v="1"/>
    <n v="283.86"/>
    <n v="32.28"/>
    <x v="3"/>
    <n v="219"/>
    <s v="104/75"/>
    <n v="9.57"/>
    <x v="5"/>
    <x v="1"/>
    <x v="0"/>
    <n v="104"/>
    <n v="75"/>
    <x v="3"/>
    <x v="1"/>
    <s v="Boarderline"/>
    <x v="1"/>
  </r>
  <r>
    <x v="21"/>
    <x v="0"/>
    <n v="165.42"/>
    <n v="19.82"/>
    <x v="2"/>
    <n v="242"/>
    <s v="96/64"/>
    <n v="5.26"/>
    <x v="4"/>
    <x v="1"/>
    <x v="1"/>
    <n v="96"/>
    <n v="64"/>
    <x v="3"/>
    <x v="0"/>
    <s v="High"/>
    <x v="2"/>
  </r>
  <r>
    <x v="42"/>
    <x v="1"/>
    <n v="81.75"/>
    <n v="21.88"/>
    <x v="0"/>
    <n v="119"/>
    <s v="114/76"/>
    <n v="6.14"/>
    <x v="2"/>
    <x v="1"/>
    <x v="0"/>
    <n v="114"/>
    <n v="76"/>
    <x v="3"/>
    <x v="2"/>
    <s v="Low"/>
    <x v="2"/>
  </r>
  <r>
    <x v="26"/>
    <x v="0"/>
    <n v="206.27"/>
    <n v="22.4"/>
    <x v="1"/>
    <n v="248"/>
    <s v="110/63"/>
    <n v="5.85"/>
    <x v="7"/>
    <x v="1"/>
    <x v="0"/>
    <n v="110"/>
    <n v="63"/>
    <x v="2"/>
    <x v="2"/>
    <s v="High"/>
    <x v="2"/>
  </r>
  <r>
    <x v="36"/>
    <x v="0"/>
    <n v="211.72"/>
    <n v="33.92"/>
    <x v="3"/>
    <n v="136"/>
    <s v="96/68"/>
    <n v="8.7799999999999994"/>
    <x v="0"/>
    <x v="0"/>
    <x v="0"/>
    <n v="96"/>
    <n v="68"/>
    <x v="0"/>
    <x v="1"/>
    <s v="Normal"/>
    <x v="1"/>
  </r>
  <r>
    <x v="24"/>
    <x v="1"/>
    <n v="149.61000000000001"/>
    <n v="33.24"/>
    <x v="3"/>
    <n v="245"/>
    <s v="127/63"/>
    <n v="6.96"/>
    <x v="4"/>
    <x v="1"/>
    <x v="1"/>
    <n v="127"/>
    <n v="63"/>
    <x v="4"/>
    <x v="3"/>
    <s v="High"/>
    <x v="1"/>
  </r>
  <r>
    <x v="53"/>
    <x v="1"/>
    <n v="94.17"/>
    <n v="38.049999999999997"/>
    <x v="1"/>
    <n v="223"/>
    <s v="105/81"/>
    <n v="4.63"/>
    <x v="3"/>
    <x v="1"/>
    <x v="1"/>
    <n v="105"/>
    <n v="81"/>
    <x v="5"/>
    <x v="0"/>
    <s v="Boarderline"/>
    <x v="1"/>
  </r>
  <r>
    <x v="42"/>
    <x v="0"/>
    <n v="260.27999999999997"/>
    <n v="27.32"/>
    <x v="3"/>
    <n v="297"/>
    <s v="92/90"/>
    <n v="4.4800000000000004"/>
    <x v="5"/>
    <x v="0"/>
    <x v="0"/>
    <n v="92"/>
    <n v="90"/>
    <x v="3"/>
    <x v="0"/>
    <s v="High"/>
    <x v="0"/>
  </r>
  <r>
    <x v="40"/>
    <x v="0"/>
    <n v="288.38"/>
    <n v="27.94"/>
    <x v="1"/>
    <n v="121"/>
    <s v="115/63"/>
    <n v="4.49"/>
    <x v="7"/>
    <x v="1"/>
    <x v="0"/>
    <n v="115"/>
    <n v="63"/>
    <x v="2"/>
    <x v="0"/>
    <s v="Normal"/>
    <x v="0"/>
  </r>
  <r>
    <x v="42"/>
    <x v="1"/>
    <n v="235.7"/>
    <n v="23.37"/>
    <x v="0"/>
    <n v="280"/>
    <s v="105/69"/>
    <n v="9.02"/>
    <x v="0"/>
    <x v="1"/>
    <x v="0"/>
    <n v="105"/>
    <n v="69"/>
    <x v="3"/>
    <x v="1"/>
    <s v="High"/>
    <x v="2"/>
  </r>
  <r>
    <x v="18"/>
    <x v="1"/>
    <n v="264.72000000000003"/>
    <n v="31.18"/>
    <x v="0"/>
    <n v="140"/>
    <s v="134/72"/>
    <n v="6.33"/>
    <x v="5"/>
    <x v="1"/>
    <x v="0"/>
    <n v="134"/>
    <n v="72"/>
    <x v="4"/>
    <x v="2"/>
    <s v="Normal"/>
    <x v="1"/>
  </r>
  <r>
    <x v="34"/>
    <x v="1"/>
    <n v="201.78"/>
    <n v="24.58"/>
    <x v="2"/>
    <n v="194"/>
    <s v="137/69"/>
    <n v="4.97"/>
    <x v="0"/>
    <x v="0"/>
    <x v="1"/>
    <n v="137"/>
    <n v="69"/>
    <x v="5"/>
    <x v="0"/>
    <s v="Normal"/>
    <x v="2"/>
  </r>
  <r>
    <x v="29"/>
    <x v="0"/>
    <n v="148.13"/>
    <n v="34.83"/>
    <x v="3"/>
    <n v="187"/>
    <s v="137/77"/>
    <n v="8.2200000000000006"/>
    <x v="5"/>
    <x v="0"/>
    <x v="0"/>
    <n v="137"/>
    <n v="77"/>
    <x v="1"/>
    <x v="1"/>
    <s v="Normal"/>
    <x v="1"/>
  </r>
  <r>
    <x v="14"/>
    <x v="0"/>
    <n v="191.9"/>
    <n v="36.83"/>
    <x v="1"/>
    <n v="241"/>
    <s v="127/79"/>
    <n v="6.79"/>
    <x v="2"/>
    <x v="0"/>
    <x v="1"/>
    <n v="127"/>
    <n v="79"/>
    <x v="3"/>
    <x v="3"/>
    <s v="High"/>
    <x v="1"/>
  </r>
  <r>
    <x v="3"/>
    <x v="1"/>
    <n v="274.70999999999998"/>
    <n v="30.71"/>
    <x v="0"/>
    <n v="164"/>
    <s v="94/89"/>
    <n v="6.05"/>
    <x v="2"/>
    <x v="0"/>
    <x v="0"/>
    <n v="94"/>
    <n v="89"/>
    <x v="1"/>
    <x v="2"/>
    <s v="Normal"/>
    <x v="1"/>
  </r>
  <r>
    <x v="22"/>
    <x v="0"/>
    <n v="241.17"/>
    <n v="36.340000000000003"/>
    <x v="3"/>
    <n v="283"/>
    <s v="92/85"/>
    <n v="7.51"/>
    <x v="3"/>
    <x v="0"/>
    <x v="0"/>
    <n v="92"/>
    <n v="85"/>
    <x v="5"/>
    <x v="1"/>
    <s v="High"/>
    <x v="1"/>
  </r>
  <r>
    <x v="43"/>
    <x v="0"/>
    <n v="299.66000000000003"/>
    <n v="30.59"/>
    <x v="1"/>
    <n v="261"/>
    <s v="132/66"/>
    <n v="7.49"/>
    <x v="1"/>
    <x v="1"/>
    <x v="1"/>
    <n v="132"/>
    <n v="66"/>
    <x v="2"/>
    <x v="3"/>
    <s v="High"/>
    <x v="1"/>
  </r>
  <r>
    <x v="13"/>
    <x v="0"/>
    <n v="177.35"/>
    <n v="39.67"/>
    <x v="3"/>
    <n v="265"/>
    <s v="121/76"/>
    <n v="7.88"/>
    <x v="6"/>
    <x v="1"/>
    <x v="0"/>
    <n v="121"/>
    <n v="76"/>
    <x v="1"/>
    <x v="1"/>
    <s v="High"/>
    <x v="1"/>
  </r>
  <r>
    <x v="9"/>
    <x v="0"/>
    <n v="120.93"/>
    <n v="35.43"/>
    <x v="2"/>
    <n v="154"/>
    <s v="115/80"/>
    <n v="5.27"/>
    <x v="6"/>
    <x v="1"/>
    <x v="0"/>
    <n v="115"/>
    <n v="80"/>
    <x v="5"/>
    <x v="0"/>
    <s v="Normal"/>
    <x v="1"/>
  </r>
  <r>
    <x v="57"/>
    <x v="0"/>
    <n v="156.88"/>
    <n v="18.23"/>
    <x v="0"/>
    <n v="127"/>
    <s v="119/81"/>
    <n v="4.25"/>
    <x v="1"/>
    <x v="0"/>
    <x v="1"/>
    <n v="119"/>
    <n v="81"/>
    <x v="3"/>
    <x v="0"/>
    <s v="Normal"/>
    <x v="3"/>
  </r>
  <r>
    <x v="50"/>
    <x v="1"/>
    <n v="110.48"/>
    <n v="23.56"/>
    <x v="2"/>
    <n v="189"/>
    <s v="94/87"/>
    <n v="6.11"/>
    <x v="5"/>
    <x v="0"/>
    <x v="0"/>
    <n v="94"/>
    <n v="87"/>
    <x v="2"/>
    <x v="2"/>
    <s v="Normal"/>
    <x v="2"/>
  </r>
  <r>
    <x v="44"/>
    <x v="1"/>
    <n v="176.81"/>
    <n v="32.04"/>
    <x v="3"/>
    <n v="217"/>
    <s v="99/82"/>
    <n v="7.94"/>
    <x v="0"/>
    <x v="0"/>
    <x v="1"/>
    <n v="99"/>
    <n v="82"/>
    <x v="4"/>
    <x v="1"/>
    <s v="Boarderline"/>
    <x v="1"/>
  </r>
  <r>
    <x v="25"/>
    <x v="1"/>
    <n v="204.19"/>
    <n v="23.16"/>
    <x v="2"/>
    <n v="176"/>
    <s v="121/66"/>
    <n v="4.74"/>
    <x v="2"/>
    <x v="1"/>
    <x v="0"/>
    <n v="121"/>
    <n v="66"/>
    <x v="1"/>
    <x v="0"/>
    <s v="Normal"/>
    <x v="2"/>
  </r>
  <r>
    <x v="24"/>
    <x v="1"/>
    <n v="144.15"/>
    <n v="35.01"/>
    <x v="0"/>
    <n v="202"/>
    <s v="120/87"/>
    <n v="4.41"/>
    <x v="3"/>
    <x v="0"/>
    <x v="1"/>
    <n v="120"/>
    <n v="87"/>
    <x v="4"/>
    <x v="0"/>
    <s v="Boarderline"/>
    <x v="1"/>
  </r>
  <r>
    <x v="60"/>
    <x v="1"/>
    <n v="144.18"/>
    <n v="33.01"/>
    <x v="3"/>
    <n v="291"/>
    <s v="116/89"/>
    <n v="4.79"/>
    <x v="4"/>
    <x v="1"/>
    <x v="1"/>
    <n v="116"/>
    <n v="89"/>
    <x v="5"/>
    <x v="0"/>
    <s v="High"/>
    <x v="1"/>
  </r>
  <r>
    <x v="43"/>
    <x v="1"/>
    <n v="161.85"/>
    <n v="36.700000000000003"/>
    <x v="1"/>
    <n v="282"/>
    <s v="122/75"/>
    <n v="5.01"/>
    <x v="0"/>
    <x v="0"/>
    <x v="1"/>
    <n v="122"/>
    <n v="75"/>
    <x v="2"/>
    <x v="0"/>
    <s v="High"/>
    <x v="1"/>
  </r>
  <r>
    <x v="3"/>
    <x v="1"/>
    <n v="149.27000000000001"/>
    <n v="28.11"/>
    <x v="1"/>
    <n v="133"/>
    <s v="136/86"/>
    <n v="4.3899999999999997"/>
    <x v="3"/>
    <x v="1"/>
    <x v="1"/>
    <n v="136"/>
    <n v="86"/>
    <x v="1"/>
    <x v="0"/>
    <s v="Normal"/>
    <x v="0"/>
  </r>
  <r>
    <x v="3"/>
    <x v="1"/>
    <n v="125.42"/>
    <n v="30.25"/>
    <x v="1"/>
    <n v="164"/>
    <s v="122/67"/>
    <n v="7.69"/>
    <x v="0"/>
    <x v="0"/>
    <x v="1"/>
    <n v="122"/>
    <n v="67"/>
    <x v="1"/>
    <x v="1"/>
    <s v="Normal"/>
    <x v="1"/>
  </r>
  <r>
    <x v="2"/>
    <x v="0"/>
    <n v="136.91"/>
    <n v="35.04"/>
    <x v="2"/>
    <n v="221"/>
    <s v="131/61"/>
    <n v="9.42"/>
    <x v="0"/>
    <x v="1"/>
    <x v="0"/>
    <n v="131"/>
    <n v="61"/>
    <x v="2"/>
    <x v="1"/>
    <s v="Boarderline"/>
    <x v="1"/>
  </r>
  <r>
    <x v="3"/>
    <x v="0"/>
    <n v="118.47"/>
    <n v="30.88"/>
    <x v="1"/>
    <n v="209"/>
    <s v="121/90"/>
    <n v="8.4"/>
    <x v="3"/>
    <x v="0"/>
    <x v="1"/>
    <n v="121"/>
    <n v="90"/>
    <x v="1"/>
    <x v="1"/>
    <s v="Boarderline"/>
    <x v="1"/>
  </r>
  <r>
    <x v="7"/>
    <x v="0"/>
    <n v="140.6"/>
    <n v="37.06"/>
    <x v="2"/>
    <n v="168"/>
    <s v="101/74"/>
    <n v="6.71"/>
    <x v="7"/>
    <x v="0"/>
    <x v="1"/>
    <n v="101"/>
    <n v="74"/>
    <x v="3"/>
    <x v="3"/>
    <s v="Normal"/>
    <x v="1"/>
  </r>
  <r>
    <x v="53"/>
    <x v="1"/>
    <n v="246.02"/>
    <n v="21.28"/>
    <x v="2"/>
    <n v="226"/>
    <s v="118/90"/>
    <n v="6.19"/>
    <x v="2"/>
    <x v="0"/>
    <x v="0"/>
    <n v="118"/>
    <n v="90"/>
    <x v="5"/>
    <x v="2"/>
    <s v="Boarderline"/>
    <x v="2"/>
  </r>
  <r>
    <x v="17"/>
    <x v="1"/>
    <n v="160.56"/>
    <n v="18.13"/>
    <x v="2"/>
    <n v="264"/>
    <s v="104/63"/>
    <n v="7.02"/>
    <x v="5"/>
    <x v="0"/>
    <x v="1"/>
    <n v="104"/>
    <n v="63"/>
    <x v="0"/>
    <x v="3"/>
    <s v="High"/>
    <x v="3"/>
  </r>
  <r>
    <x v="48"/>
    <x v="1"/>
    <n v="79.31"/>
    <n v="33.340000000000003"/>
    <x v="2"/>
    <n v="110"/>
    <s v="100/84"/>
    <n v="7.93"/>
    <x v="3"/>
    <x v="0"/>
    <x v="0"/>
    <n v="100"/>
    <n v="84"/>
    <x v="1"/>
    <x v="1"/>
    <s v="Low"/>
    <x v="1"/>
  </r>
  <r>
    <x v="2"/>
    <x v="0"/>
    <n v="167.46"/>
    <n v="26.87"/>
    <x v="2"/>
    <n v="219"/>
    <s v="124/71"/>
    <n v="6.82"/>
    <x v="1"/>
    <x v="1"/>
    <x v="0"/>
    <n v="124"/>
    <n v="71"/>
    <x v="2"/>
    <x v="3"/>
    <s v="Boarderline"/>
    <x v="0"/>
  </r>
  <r>
    <x v="51"/>
    <x v="0"/>
    <n v="192.57"/>
    <n v="21.03"/>
    <x v="0"/>
    <n v="239"/>
    <s v="124/89"/>
    <n v="9.8000000000000007"/>
    <x v="2"/>
    <x v="1"/>
    <x v="0"/>
    <n v="124"/>
    <n v="89"/>
    <x v="5"/>
    <x v="1"/>
    <s v="Boarderline"/>
    <x v="2"/>
  </r>
  <r>
    <x v="11"/>
    <x v="0"/>
    <n v="247.86"/>
    <n v="38.1"/>
    <x v="0"/>
    <n v="246"/>
    <s v="125/75"/>
    <n v="6.48"/>
    <x v="0"/>
    <x v="1"/>
    <x v="0"/>
    <n v="125"/>
    <n v="75"/>
    <x v="1"/>
    <x v="3"/>
    <s v="High"/>
    <x v="1"/>
  </r>
  <r>
    <x v="61"/>
    <x v="1"/>
    <n v="240.12"/>
    <n v="30.93"/>
    <x v="1"/>
    <n v="125"/>
    <s v="123/65"/>
    <n v="7.78"/>
    <x v="3"/>
    <x v="1"/>
    <x v="0"/>
    <n v="123"/>
    <n v="65"/>
    <x v="2"/>
    <x v="1"/>
    <s v="Normal"/>
    <x v="1"/>
  </r>
  <r>
    <x v="44"/>
    <x v="0"/>
    <n v="103"/>
    <n v="33.43"/>
    <x v="3"/>
    <n v="200"/>
    <s v="108/81"/>
    <n v="7.94"/>
    <x v="2"/>
    <x v="1"/>
    <x v="1"/>
    <n v="108"/>
    <n v="81"/>
    <x v="4"/>
    <x v="1"/>
    <s v="Normal"/>
    <x v="1"/>
  </r>
  <r>
    <x v="54"/>
    <x v="0"/>
    <n v="273.56"/>
    <n v="24"/>
    <x v="3"/>
    <n v="285"/>
    <s v="100/60"/>
    <n v="9.06"/>
    <x v="7"/>
    <x v="0"/>
    <x v="0"/>
    <n v="100"/>
    <n v="60"/>
    <x v="0"/>
    <x v="1"/>
    <s v="High"/>
    <x v="2"/>
  </r>
  <r>
    <x v="59"/>
    <x v="0"/>
    <n v="99.99"/>
    <n v="38.26"/>
    <x v="1"/>
    <n v="117"/>
    <s v="115/79"/>
    <n v="5.57"/>
    <x v="2"/>
    <x v="1"/>
    <x v="0"/>
    <n v="115"/>
    <n v="79"/>
    <x v="1"/>
    <x v="0"/>
    <s v="Low"/>
    <x v="1"/>
  </r>
  <r>
    <x v="24"/>
    <x v="1"/>
    <n v="271.06"/>
    <n v="21.3"/>
    <x v="0"/>
    <n v="128"/>
    <s v="137/67"/>
    <n v="6.43"/>
    <x v="0"/>
    <x v="1"/>
    <x v="1"/>
    <n v="137"/>
    <n v="67"/>
    <x v="4"/>
    <x v="3"/>
    <s v="Normal"/>
    <x v="2"/>
  </r>
  <r>
    <x v="32"/>
    <x v="1"/>
    <n v="299.76"/>
    <n v="36.32"/>
    <x v="2"/>
    <n v="148"/>
    <s v="135/84"/>
    <n v="7.55"/>
    <x v="5"/>
    <x v="1"/>
    <x v="0"/>
    <n v="135"/>
    <n v="84"/>
    <x v="2"/>
    <x v="1"/>
    <s v="Normal"/>
    <x v="1"/>
  </r>
  <r>
    <x v="18"/>
    <x v="0"/>
    <n v="125.76"/>
    <n v="29.52"/>
    <x v="1"/>
    <n v="125"/>
    <s v="125/63"/>
    <n v="4.59"/>
    <x v="1"/>
    <x v="1"/>
    <x v="1"/>
    <n v="125"/>
    <n v="63"/>
    <x v="4"/>
    <x v="0"/>
    <s v="Normal"/>
    <x v="0"/>
  </r>
  <r>
    <x v="35"/>
    <x v="1"/>
    <n v="135.16999999999999"/>
    <n v="26.72"/>
    <x v="0"/>
    <n v="162"/>
    <s v="131/71"/>
    <n v="4.6399999999999997"/>
    <x v="7"/>
    <x v="1"/>
    <x v="0"/>
    <n v="131"/>
    <n v="71"/>
    <x v="1"/>
    <x v="0"/>
    <s v="Normal"/>
    <x v="0"/>
  </r>
  <r>
    <x v="46"/>
    <x v="0"/>
    <n v="141.4"/>
    <n v="22.77"/>
    <x v="1"/>
    <n v="198"/>
    <s v="121/82"/>
    <n v="5.42"/>
    <x v="2"/>
    <x v="1"/>
    <x v="0"/>
    <n v="121"/>
    <n v="82"/>
    <x v="0"/>
    <x v="0"/>
    <s v="Normal"/>
    <x v="2"/>
  </r>
  <r>
    <x v="16"/>
    <x v="0"/>
    <n v="215.92"/>
    <n v="28.17"/>
    <x v="0"/>
    <n v="215"/>
    <s v="103/84"/>
    <n v="5.15"/>
    <x v="4"/>
    <x v="1"/>
    <x v="1"/>
    <n v="103"/>
    <n v="84"/>
    <x v="4"/>
    <x v="0"/>
    <s v="Boarderline"/>
    <x v="0"/>
  </r>
  <r>
    <x v="6"/>
    <x v="1"/>
    <n v="182.4"/>
    <n v="38.58"/>
    <x v="0"/>
    <n v="124"/>
    <s v="96/74"/>
    <n v="6.78"/>
    <x v="3"/>
    <x v="0"/>
    <x v="1"/>
    <n v="96"/>
    <n v="74"/>
    <x v="3"/>
    <x v="3"/>
    <s v="Normal"/>
    <x v="1"/>
  </r>
  <r>
    <x v="7"/>
    <x v="0"/>
    <n v="214.82"/>
    <n v="38.590000000000003"/>
    <x v="0"/>
    <n v="284"/>
    <s v="99/68"/>
    <n v="7.31"/>
    <x v="0"/>
    <x v="0"/>
    <x v="0"/>
    <n v="99"/>
    <n v="68"/>
    <x v="3"/>
    <x v="3"/>
    <s v="High"/>
    <x v="1"/>
  </r>
  <r>
    <x v="32"/>
    <x v="0"/>
    <n v="155.93"/>
    <n v="34.450000000000003"/>
    <x v="0"/>
    <n v="216"/>
    <s v="135/90"/>
    <n v="4.79"/>
    <x v="0"/>
    <x v="1"/>
    <x v="1"/>
    <n v="135"/>
    <n v="90"/>
    <x v="2"/>
    <x v="0"/>
    <s v="Boarderline"/>
    <x v="1"/>
  </r>
  <r>
    <x v="26"/>
    <x v="0"/>
    <n v="127.23"/>
    <n v="36.86"/>
    <x v="2"/>
    <n v="289"/>
    <s v="98/89"/>
    <n v="7.05"/>
    <x v="5"/>
    <x v="0"/>
    <x v="1"/>
    <n v="98"/>
    <n v="89"/>
    <x v="2"/>
    <x v="3"/>
    <s v="High"/>
    <x v="1"/>
  </r>
  <r>
    <x v="38"/>
    <x v="1"/>
    <n v="124.55"/>
    <n v="24.69"/>
    <x v="1"/>
    <n v="144"/>
    <s v="137/75"/>
    <n v="8"/>
    <x v="4"/>
    <x v="1"/>
    <x v="0"/>
    <n v="137"/>
    <n v="75"/>
    <x v="4"/>
    <x v="1"/>
    <s v="Normal"/>
    <x v="2"/>
  </r>
  <r>
    <x v="4"/>
    <x v="1"/>
    <n v="110.47"/>
    <n v="35.49"/>
    <x v="2"/>
    <n v="106"/>
    <s v="104/66"/>
    <n v="7.98"/>
    <x v="1"/>
    <x v="1"/>
    <x v="0"/>
    <n v="104"/>
    <n v="66"/>
    <x v="0"/>
    <x v="1"/>
    <s v="Low"/>
    <x v="1"/>
  </r>
  <r>
    <x v="2"/>
    <x v="1"/>
    <n v="179.62"/>
    <n v="22.56"/>
    <x v="0"/>
    <n v="264"/>
    <s v="116/75"/>
    <n v="9.81"/>
    <x v="2"/>
    <x v="0"/>
    <x v="0"/>
    <n v="116"/>
    <n v="75"/>
    <x v="2"/>
    <x v="1"/>
    <s v="High"/>
    <x v="2"/>
  </r>
  <r>
    <x v="21"/>
    <x v="1"/>
    <n v="294.99"/>
    <n v="34.92"/>
    <x v="0"/>
    <n v="140"/>
    <s v="133/70"/>
    <n v="5.07"/>
    <x v="5"/>
    <x v="1"/>
    <x v="1"/>
    <n v="133"/>
    <n v="70"/>
    <x v="3"/>
    <x v="0"/>
    <s v="Normal"/>
    <x v="1"/>
  </r>
  <r>
    <x v="60"/>
    <x v="1"/>
    <n v="187.01"/>
    <n v="30.04"/>
    <x v="2"/>
    <n v="170"/>
    <s v="118/67"/>
    <n v="7"/>
    <x v="7"/>
    <x v="1"/>
    <x v="1"/>
    <n v="118"/>
    <n v="67"/>
    <x v="5"/>
    <x v="3"/>
    <s v="Normal"/>
    <x v="1"/>
  </r>
  <r>
    <x v="9"/>
    <x v="1"/>
    <n v="151.58000000000001"/>
    <n v="38.81"/>
    <x v="1"/>
    <n v="199"/>
    <s v="105/67"/>
    <n v="5.22"/>
    <x v="1"/>
    <x v="0"/>
    <x v="1"/>
    <n v="105"/>
    <n v="67"/>
    <x v="5"/>
    <x v="0"/>
    <s v="Normal"/>
    <x v="1"/>
  </r>
  <r>
    <x v="19"/>
    <x v="1"/>
    <n v="91.18"/>
    <n v="36.69"/>
    <x v="1"/>
    <n v="262"/>
    <s v="138/70"/>
    <n v="9.58"/>
    <x v="6"/>
    <x v="0"/>
    <x v="1"/>
    <n v="138"/>
    <n v="70"/>
    <x v="2"/>
    <x v="1"/>
    <s v="High"/>
    <x v="1"/>
  </r>
  <r>
    <x v="52"/>
    <x v="0"/>
    <n v="248.15"/>
    <n v="38.19"/>
    <x v="1"/>
    <n v="112"/>
    <s v="110/86"/>
    <n v="8.86"/>
    <x v="7"/>
    <x v="1"/>
    <x v="0"/>
    <n v="110"/>
    <n v="86"/>
    <x v="3"/>
    <x v="1"/>
    <s v="Low"/>
    <x v="1"/>
  </r>
  <r>
    <x v="13"/>
    <x v="0"/>
    <n v="167.19"/>
    <n v="34.72"/>
    <x v="2"/>
    <n v="256"/>
    <s v="94/60"/>
    <n v="4.59"/>
    <x v="6"/>
    <x v="0"/>
    <x v="0"/>
    <n v="94"/>
    <n v="60"/>
    <x v="1"/>
    <x v="0"/>
    <s v="High"/>
    <x v="1"/>
  </r>
  <r>
    <x v="27"/>
    <x v="1"/>
    <n v="238.54"/>
    <n v="37.86"/>
    <x v="1"/>
    <n v="140"/>
    <s v="94/72"/>
    <n v="7.6"/>
    <x v="7"/>
    <x v="0"/>
    <x v="1"/>
    <n v="94"/>
    <n v="72"/>
    <x v="4"/>
    <x v="1"/>
    <s v="Normal"/>
    <x v="1"/>
  </r>
  <r>
    <x v="36"/>
    <x v="1"/>
    <n v="132.46"/>
    <n v="34.409999999999997"/>
    <x v="2"/>
    <n v="184"/>
    <s v="118/67"/>
    <n v="8.0500000000000007"/>
    <x v="1"/>
    <x v="0"/>
    <x v="0"/>
    <n v="118"/>
    <n v="67"/>
    <x v="0"/>
    <x v="1"/>
    <s v="Normal"/>
    <x v="1"/>
  </r>
  <r>
    <x v="26"/>
    <x v="1"/>
    <n v="263.36"/>
    <n v="25.97"/>
    <x v="1"/>
    <n v="155"/>
    <s v="129/73"/>
    <n v="5.92"/>
    <x v="5"/>
    <x v="1"/>
    <x v="0"/>
    <n v="129"/>
    <n v="73"/>
    <x v="2"/>
    <x v="2"/>
    <s v="Normal"/>
    <x v="0"/>
  </r>
  <r>
    <x v="27"/>
    <x v="0"/>
    <n v="274.37"/>
    <n v="27.69"/>
    <x v="3"/>
    <n v="274"/>
    <s v="108/64"/>
    <n v="4.9000000000000004"/>
    <x v="1"/>
    <x v="1"/>
    <x v="1"/>
    <n v="108"/>
    <n v="64"/>
    <x v="4"/>
    <x v="0"/>
    <s v="High"/>
    <x v="0"/>
  </r>
  <r>
    <x v="57"/>
    <x v="1"/>
    <n v="271.52999999999997"/>
    <n v="36.450000000000003"/>
    <x v="1"/>
    <n v="166"/>
    <s v="93/78"/>
    <n v="9.2100000000000009"/>
    <x v="1"/>
    <x v="1"/>
    <x v="0"/>
    <n v="93"/>
    <n v="78"/>
    <x v="3"/>
    <x v="1"/>
    <s v="Normal"/>
    <x v="1"/>
  </r>
  <r>
    <x v="18"/>
    <x v="0"/>
    <n v="248.09"/>
    <n v="33.340000000000003"/>
    <x v="3"/>
    <n v="225"/>
    <s v="117/62"/>
    <n v="5.39"/>
    <x v="1"/>
    <x v="1"/>
    <x v="0"/>
    <n v="117"/>
    <n v="62"/>
    <x v="4"/>
    <x v="0"/>
    <s v="Boarderline"/>
    <x v="1"/>
  </r>
  <r>
    <x v="32"/>
    <x v="1"/>
    <n v="188.38"/>
    <n v="30.1"/>
    <x v="2"/>
    <n v="206"/>
    <s v="100/80"/>
    <n v="6.27"/>
    <x v="0"/>
    <x v="1"/>
    <x v="0"/>
    <n v="100"/>
    <n v="80"/>
    <x v="2"/>
    <x v="2"/>
    <s v="Boarderline"/>
    <x v="1"/>
  </r>
  <r>
    <x v="12"/>
    <x v="0"/>
    <n v="233.3"/>
    <n v="35.270000000000003"/>
    <x v="0"/>
    <n v="105"/>
    <s v="103/61"/>
    <n v="4.03"/>
    <x v="5"/>
    <x v="1"/>
    <x v="0"/>
    <n v="103"/>
    <n v="61"/>
    <x v="1"/>
    <x v="0"/>
    <s v="Low"/>
    <x v="1"/>
  </r>
  <r>
    <x v="20"/>
    <x v="1"/>
    <n v="117.61"/>
    <n v="24.8"/>
    <x v="2"/>
    <n v="119"/>
    <s v="114/61"/>
    <n v="5.16"/>
    <x v="6"/>
    <x v="1"/>
    <x v="0"/>
    <n v="114"/>
    <n v="61"/>
    <x v="0"/>
    <x v="0"/>
    <s v="Low"/>
    <x v="2"/>
  </r>
  <r>
    <x v="13"/>
    <x v="1"/>
    <n v="135.68"/>
    <n v="26.59"/>
    <x v="1"/>
    <n v="244"/>
    <s v="137/62"/>
    <n v="8.94"/>
    <x v="0"/>
    <x v="1"/>
    <x v="1"/>
    <n v="137"/>
    <n v="62"/>
    <x v="1"/>
    <x v="1"/>
    <s v="High"/>
    <x v="0"/>
  </r>
  <r>
    <x v="2"/>
    <x v="0"/>
    <n v="118.67"/>
    <n v="19.03"/>
    <x v="0"/>
    <n v="197"/>
    <s v="99/74"/>
    <n v="4.53"/>
    <x v="6"/>
    <x v="0"/>
    <x v="1"/>
    <n v="99"/>
    <n v="74"/>
    <x v="2"/>
    <x v="0"/>
    <s v="Normal"/>
    <x v="2"/>
  </r>
  <r>
    <x v="33"/>
    <x v="0"/>
    <n v="253.56"/>
    <n v="23.37"/>
    <x v="2"/>
    <n v="126"/>
    <s v="134/66"/>
    <n v="6.19"/>
    <x v="1"/>
    <x v="1"/>
    <x v="1"/>
    <n v="134"/>
    <n v="66"/>
    <x v="5"/>
    <x v="2"/>
    <s v="Normal"/>
    <x v="2"/>
  </r>
  <r>
    <x v="46"/>
    <x v="0"/>
    <n v="273.72000000000003"/>
    <n v="19.71"/>
    <x v="0"/>
    <n v="251"/>
    <s v="116/69"/>
    <n v="4.2300000000000004"/>
    <x v="2"/>
    <x v="0"/>
    <x v="1"/>
    <n v="116"/>
    <n v="69"/>
    <x v="0"/>
    <x v="0"/>
    <s v="High"/>
    <x v="2"/>
  </r>
  <r>
    <x v="45"/>
    <x v="1"/>
    <n v="198.3"/>
    <n v="38.1"/>
    <x v="0"/>
    <n v="297"/>
    <s v="102/88"/>
    <n v="9.35"/>
    <x v="7"/>
    <x v="0"/>
    <x v="0"/>
    <n v="102"/>
    <n v="88"/>
    <x v="4"/>
    <x v="1"/>
    <s v="High"/>
    <x v="1"/>
  </r>
  <r>
    <x v="7"/>
    <x v="1"/>
    <n v="265.86"/>
    <n v="21.59"/>
    <x v="0"/>
    <n v="228"/>
    <s v="94/64"/>
    <n v="4.9800000000000004"/>
    <x v="4"/>
    <x v="0"/>
    <x v="1"/>
    <n v="94"/>
    <n v="64"/>
    <x v="3"/>
    <x v="0"/>
    <s v="Boarderline"/>
    <x v="2"/>
  </r>
  <r>
    <x v="35"/>
    <x v="0"/>
    <n v="82.96"/>
    <n v="29.58"/>
    <x v="0"/>
    <n v="247"/>
    <s v="139/81"/>
    <n v="7.82"/>
    <x v="1"/>
    <x v="1"/>
    <x v="0"/>
    <n v="139"/>
    <n v="81"/>
    <x v="1"/>
    <x v="1"/>
    <s v="High"/>
    <x v="0"/>
  </r>
  <r>
    <x v="49"/>
    <x v="1"/>
    <n v="149.41999999999999"/>
    <n v="38.86"/>
    <x v="2"/>
    <n v="149"/>
    <s v="101/71"/>
    <n v="8.18"/>
    <x v="0"/>
    <x v="0"/>
    <x v="0"/>
    <n v="101"/>
    <n v="71"/>
    <x v="4"/>
    <x v="1"/>
    <s v="Normal"/>
    <x v="1"/>
  </r>
  <r>
    <x v="48"/>
    <x v="0"/>
    <n v="117.66"/>
    <n v="30.74"/>
    <x v="0"/>
    <n v="202"/>
    <s v="136/85"/>
    <n v="8.2899999999999991"/>
    <x v="0"/>
    <x v="1"/>
    <x v="1"/>
    <n v="136"/>
    <n v="85"/>
    <x v="1"/>
    <x v="1"/>
    <s v="Boarderline"/>
    <x v="1"/>
  </r>
  <r>
    <x v="52"/>
    <x v="1"/>
    <n v="187.98"/>
    <n v="28.75"/>
    <x v="3"/>
    <n v="242"/>
    <s v="111/90"/>
    <n v="7.76"/>
    <x v="0"/>
    <x v="0"/>
    <x v="0"/>
    <n v="111"/>
    <n v="90"/>
    <x v="3"/>
    <x v="1"/>
    <s v="High"/>
    <x v="0"/>
  </r>
  <r>
    <x v="53"/>
    <x v="1"/>
    <n v="141.4"/>
    <n v="21.36"/>
    <x v="3"/>
    <n v="263"/>
    <s v="121/67"/>
    <n v="4.1500000000000004"/>
    <x v="3"/>
    <x v="1"/>
    <x v="1"/>
    <n v="121"/>
    <n v="67"/>
    <x v="5"/>
    <x v="0"/>
    <s v="High"/>
    <x v="2"/>
  </r>
  <r>
    <x v="50"/>
    <x v="0"/>
    <n v="217.77"/>
    <n v="18.46"/>
    <x v="3"/>
    <n v="300"/>
    <s v="94/82"/>
    <n v="5.92"/>
    <x v="0"/>
    <x v="0"/>
    <x v="0"/>
    <n v="94"/>
    <n v="82"/>
    <x v="2"/>
    <x v="2"/>
    <s v="High"/>
    <x v="3"/>
  </r>
  <r>
    <x v="16"/>
    <x v="0"/>
    <n v="267.10000000000002"/>
    <n v="27.12"/>
    <x v="0"/>
    <n v="299"/>
    <s v="103/78"/>
    <n v="8.48"/>
    <x v="7"/>
    <x v="0"/>
    <x v="1"/>
    <n v="103"/>
    <n v="78"/>
    <x v="4"/>
    <x v="1"/>
    <s v="High"/>
    <x v="0"/>
  </r>
  <r>
    <x v="35"/>
    <x v="1"/>
    <n v="221.07"/>
    <n v="27.06"/>
    <x v="2"/>
    <n v="125"/>
    <s v="105/80"/>
    <n v="7.21"/>
    <x v="0"/>
    <x v="0"/>
    <x v="0"/>
    <n v="105"/>
    <n v="80"/>
    <x v="1"/>
    <x v="3"/>
    <s v="Normal"/>
    <x v="0"/>
  </r>
  <r>
    <x v="53"/>
    <x v="0"/>
    <n v="101.27"/>
    <n v="27.32"/>
    <x v="1"/>
    <n v="122"/>
    <s v="113/72"/>
    <n v="7.34"/>
    <x v="0"/>
    <x v="0"/>
    <x v="1"/>
    <n v="113"/>
    <n v="72"/>
    <x v="5"/>
    <x v="3"/>
    <s v="Normal"/>
    <x v="0"/>
  </r>
  <r>
    <x v="18"/>
    <x v="1"/>
    <n v="149.08000000000001"/>
    <n v="25.5"/>
    <x v="1"/>
    <n v="219"/>
    <s v="120/68"/>
    <n v="5.08"/>
    <x v="0"/>
    <x v="1"/>
    <x v="0"/>
    <n v="120"/>
    <n v="68"/>
    <x v="4"/>
    <x v="0"/>
    <s v="Boarderline"/>
    <x v="0"/>
  </r>
  <r>
    <x v="21"/>
    <x v="1"/>
    <n v="241.11"/>
    <n v="26"/>
    <x v="3"/>
    <n v="188"/>
    <s v="118/81"/>
    <n v="6.05"/>
    <x v="3"/>
    <x v="0"/>
    <x v="0"/>
    <n v="118"/>
    <n v="81"/>
    <x v="3"/>
    <x v="2"/>
    <s v="Normal"/>
    <x v="0"/>
  </r>
  <r>
    <x v="15"/>
    <x v="0"/>
    <n v="168.97"/>
    <n v="31.51"/>
    <x v="1"/>
    <n v="105"/>
    <s v="130/89"/>
    <n v="9.14"/>
    <x v="7"/>
    <x v="1"/>
    <x v="1"/>
    <n v="130"/>
    <n v="89"/>
    <x v="0"/>
    <x v="1"/>
    <s v="Low"/>
    <x v="1"/>
  </r>
  <r>
    <x v="19"/>
    <x v="0"/>
    <n v="236.32"/>
    <n v="27.87"/>
    <x v="0"/>
    <n v="283"/>
    <s v="97/73"/>
    <n v="5.24"/>
    <x v="5"/>
    <x v="1"/>
    <x v="0"/>
    <n v="97"/>
    <n v="73"/>
    <x v="2"/>
    <x v="0"/>
    <s v="High"/>
    <x v="0"/>
  </r>
  <r>
    <x v="59"/>
    <x v="1"/>
    <n v="204.54"/>
    <n v="21.46"/>
    <x v="1"/>
    <n v="139"/>
    <s v="96/68"/>
    <n v="7.53"/>
    <x v="0"/>
    <x v="0"/>
    <x v="1"/>
    <n v="96"/>
    <n v="68"/>
    <x v="1"/>
    <x v="1"/>
    <s v="Normal"/>
    <x v="2"/>
  </r>
  <r>
    <x v="57"/>
    <x v="1"/>
    <n v="165.58"/>
    <n v="37.71"/>
    <x v="0"/>
    <n v="275"/>
    <s v="115/71"/>
    <n v="8.67"/>
    <x v="0"/>
    <x v="1"/>
    <x v="1"/>
    <n v="115"/>
    <n v="71"/>
    <x v="3"/>
    <x v="1"/>
    <s v="High"/>
    <x v="1"/>
  </r>
  <r>
    <x v="43"/>
    <x v="0"/>
    <n v="96.34"/>
    <n v="33.79"/>
    <x v="1"/>
    <n v="172"/>
    <s v="136/78"/>
    <n v="4.8499999999999996"/>
    <x v="7"/>
    <x v="1"/>
    <x v="1"/>
    <n v="136"/>
    <n v="78"/>
    <x v="2"/>
    <x v="0"/>
    <s v="Normal"/>
    <x v="1"/>
  </r>
  <r>
    <x v="40"/>
    <x v="0"/>
    <n v="84.51"/>
    <n v="34.619999999999997"/>
    <x v="0"/>
    <n v="172"/>
    <s v="116/77"/>
    <n v="6.35"/>
    <x v="1"/>
    <x v="0"/>
    <x v="1"/>
    <n v="116"/>
    <n v="77"/>
    <x v="2"/>
    <x v="2"/>
    <s v="Normal"/>
    <x v="1"/>
  </r>
  <r>
    <x v="4"/>
    <x v="1"/>
    <n v="132.34"/>
    <n v="29.62"/>
    <x v="2"/>
    <n v="134"/>
    <s v="113/83"/>
    <n v="4.8600000000000003"/>
    <x v="6"/>
    <x v="0"/>
    <x v="1"/>
    <n v="113"/>
    <n v="83"/>
    <x v="0"/>
    <x v="0"/>
    <s v="Normal"/>
    <x v="0"/>
  </r>
  <r>
    <x v="60"/>
    <x v="1"/>
    <n v="153.13"/>
    <n v="24.07"/>
    <x v="0"/>
    <n v="197"/>
    <s v="121/83"/>
    <n v="7"/>
    <x v="0"/>
    <x v="1"/>
    <x v="0"/>
    <n v="121"/>
    <n v="83"/>
    <x v="5"/>
    <x v="3"/>
    <s v="Normal"/>
    <x v="2"/>
  </r>
  <r>
    <x v="50"/>
    <x v="0"/>
    <n v="287.16000000000003"/>
    <n v="36.15"/>
    <x v="2"/>
    <n v="176"/>
    <s v="130/71"/>
    <n v="5.66"/>
    <x v="3"/>
    <x v="0"/>
    <x v="1"/>
    <n v="130"/>
    <n v="71"/>
    <x v="2"/>
    <x v="0"/>
    <s v="Normal"/>
    <x v="1"/>
  </r>
  <r>
    <x v="12"/>
    <x v="1"/>
    <n v="82.27"/>
    <n v="27.5"/>
    <x v="2"/>
    <n v="261"/>
    <s v="114/69"/>
    <n v="5.7"/>
    <x v="3"/>
    <x v="0"/>
    <x v="1"/>
    <n v="114"/>
    <n v="69"/>
    <x v="1"/>
    <x v="2"/>
    <s v="High"/>
    <x v="0"/>
  </r>
  <r>
    <x v="27"/>
    <x v="0"/>
    <n v="229.83"/>
    <n v="21.49"/>
    <x v="2"/>
    <n v="261"/>
    <s v="110/60"/>
    <n v="4.29"/>
    <x v="6"/>
    <x v="0"/>
    <x v="0"/>
    <n v="110"/>
    <n v="60"/>
    <x v="4"/>
    <x v="0"/>
    <s v="High"/>
    <x v="2"/>
  </r>
  <r>
    <x v="50"/>
    <x v="1"/>
    <n v="132.27000000000001"/>
    <n v="23.87"/>
    <x v="2"/>
    <n v="144"/>
    <s v="110/90"/>
    <n v="6.09"/>
    <x v="4"/>
    <x v="0"/>
    <x v="1"/>
    <n v="110"/>
    <n v="90"/>
    <x v="2"/>
    <x v="2"/>
    <s v="Normal"/>
    <x v="2"/>
  </r>
  <r>
    <x v="2"/>
    <x v="1"/>
    <n v="296.32"/>
    <n v="29.17"/>
    <x v="2"/>
    <n v="134"/>
    <s v="104/77"/>
    <n v="6.9"/>
    <x v="6"/>
    <x v="0"/>
    <x v="1"/>
    <n v="104"/>
    <n v="77"/>
    <x v="2"/>
    <x v="3"/>
    <s v="Normal"/>
    <x v="0"/>
  </r>
  <r>
    <x v="15"/>
    <x v="1"/>
    <n v="174.42"/>
    <n v="34.54"/>
    <x v="0"/>
    <n v="299"/>
    <s v="140/78"/>
    <n v="6.77"/>
    <x v="5"/>
    <x v="1"/>
    <x v="0"/>
    <n v="140"/>
    <n v="78"/>
    <x v="0"/>
    <x v="3"/>
    <s v="High"/>
    <x v="1"/>
  </r>
  <r>
    <x v="3"/>
    <x v="1"/>
    <n v="91.77"/>
    <n v="27.01"/>
    <x v="3"/>
    <n v="151"/>
    <s v="125/71"/>
    <n v="9.33"/>
    <x v="0"/>
    <x v="0"/>
    <x v="0"/>
    <n v="125"/>
    <n v="71"/>
    <x v="1"/>
    <x v="1"/>
    <s v="Normal"/>
    <x v="0"/>
  </r>
  <r>
    <x v="19"/>
    <x v="1"/>
    <n v="295.08"/>
    <n v="34.630000000000003"/>
    <x v="0"/>
    <n v="219"/>
    <s v="103/71"/>
    <n v="6.95"/>
    <x v="3"/>
    <x v="1"/>
    <x v="1"/>
    <n v="103"/>
    <n v="71"/>
    <x v="2"/>
    <x v="3"/>
    <s v="Boarderline"/>
    <x v="1"/>
  </r>
  <r>
    <x v="19"/>
    <x v="1"/>
    <n v="102.01"/>
    <n v="36.380000000000003"/>
    <x v="3"/>
    <n v="123"/>
    <s v="125/83"/>
    <n v="8.27"/>
    <x v="7"/>
    <x v="0"/>
    <x v="1"/>
    <n v="125"/>
    <n v="83"/>
    <x v="2"/>
    <x v="1"/>
    <s v="Normal"/>
    <x v="1"/>
  </r>
  <r>
    <x v="25"/>
    <x v="1"/>
    <n v="134.27000000000001"/>
    <n v="38.92"/>
    <x v="0"/>
    <n v="271"/>
    <s v="124/77"/>
    <n v="9.7899999999999991"/>
    <x v="2"/>
    <x v="0"/>
    <x v="1"/>
    <n v="124"/>
    <n v="77"/>
    <x v="1"/>
    <x v="1"/>
    <s v="High"/>
    <x v="1"/>
  </r>
  <r>
    <x v="53"/>
    <x v="1"/>
    <n v="74.44"/>
    <n v="35.869999999999997"/>
    <x v="2"/>
    <n v="184"/>
    <s v="124/87"/>
    <n v="9.68"/>
    <x v="3"/>
    <x v="1"/>
    <x v="0"/>
    <n v="124"/>
    <n v="87"/>
    <x v="5"/>
    <x v="1"/>
    <s v="Normal"/>
    <x v="1"/>
  </r>
  <r>
    <x v="3"/>
    <x v="0"/>
    <n v="143.06"/>
    <n v="30.1"/>
    <x v="1"/>
    <n v="199"/>
    <s v="106/80"/>
    <n v="8.92"/>
    <x v="6"/>
    <x v="0"/>
    <x v="1"/>
    <n v="106"/>
    <n v="80"/>
    <x v="1"/>
    <x v="1"/>
    <s v="Normal"/>
    <x v="1"/>
  </r>
  <r>
    <x v="5"/>
    <x v="0"/>
    <n v="224.37"/>
    <n v="39.42"/>
    <x v="2"/>
    <n v="157"/>
    <s v="96/67"/>
    <n v="5.44"/>
    <x v="3"/>
    <x v="1"/>
    <x v="1"/>
    <n v="96"/>
    <n v="67"/>
    <x v="3"/>
    <x v="0"/>
    <s v="Normal"/>
    <x v="1"/>
  </r>
  <r>
    <x v="34"/>
    <x v="0"/>
    <n v="195.59"/>
    <n v="27.49"/>
    <x v="1"/>
    <n v="264"/>
    <s v="112/68"/>
    <n v="8.31"/>
    <x v="5"/>
    <x v="0"/>
    <x v="0"/>
    <n v="112"/>
    <n v="68"/>
    <x v="5"/>
    <x v="1"/>
    <s v="High"/>
    <x v="0"/>
  </r>
  <r>
    <x v="45"/>
    <x v="0"/>
    <n v="127.2"/>
    <n v="21.43"/>
    <x v="2"/>
    <n v="278"/>
    <s v="103/85"/>
    <n v="6.79"/>
    <x v="5"/>
    <x v="1"/>
    <x v="0"/>
    <n v="103"/>
    <n v="85"/>
    <x v="4"/>
    <x v="3"/>
    <s v="High"/>
    <x v="2"/>
  </r>
  <r>
    <x v="42"/>
    <x v="1"/>
    <n v="246.45"/>
    <n v="29.08"/>
    <x v="2"/>
    <n v="202"/>
    <s v="131/77"/>
    <n v="5.04"/>
    <x v="3"/>
    <x v="1"/>
    <x v="0"/>
    <n v="131"/>
    <n v="77"/>
    <x v="3"/>
    <x v="0"/>
    <s v="Boarderline"/>
    <x v="0"/>
  </r>
  <r>
    <x v="32"/>
    <x v="0"/>
    <n v="188.63"/>
    <n v="34.840000000000003"/>
    <x v="2"/>
    <n v="129"/>
    <s v="113/78"/>
    <n v="8.35"/>
    <x v="4"/>
    <x v="0"/>
    <x v="0"/>
    <n v="113"/>
    <n v="78"/>
    <x v="2"/>
    <x v="1"/>
    <s v="Normal"/>
    <x v="1"/>
  </r>
  <r>
    <x v="11"/>
    <x v="0"/>
    <n v="158.44999999999999"/>
    <n v="18.61"/>
    <x v="0"/>
    <n v="100"/>
    <s v="103/71"/>
    <n v="5.34"/>
    <x v="1"/>
    <x v="0"/>
    <x v="1"/>
    <n v="103"/>
    <n v="71"/>
    <x v="1"/>
    <x v="0"/>
    <s v="Low"/>
    <x v="2"/>
  </r>
  <r>
    <x v="21"/>
    <x v="1"/>
    <n v="128.49"/>
    <n v="37.65"/>
    <x v="1"/>
    <n v="206"/>
    <s v="97/71"/>
    <n v="7.49"/>
    <x v="6"/>
    <x v="1"/>
    <x v="1"/>
    <n v="97"/>
    <n v="71"/>
    <x v="3"/>
    <x v="3"/>
    <s v="Boarderline"/>
    <x v="1"/>
  </r>
  <r>
    <x v="44"/>
    <x v="0"/>
    <n v="171"/>
    <n v="36.93"/>
    <x v="2"/>
    <n v="207"/>
    <s v="119/70"/>
    <n v="4.9800000000000004"/>
    <x v="5"/>
    <x v="1"/>
    <x v="1"/>
    <n v="119"/>
    <n v="70"/>
    <x v="4"/>
    <x v="0"/>
    <s v="Boarderline"/>
    <x v="1"/>
  </r>
  <r>
    <x v="35"/>
    <x v="1"/>
    <n v="239.66"/>
    <n v="23.49"/>
    <x v="3"/>
    <n v="233"/>
    <s v="118/80"/>
    <n v="9.43"/>
    <x v="4"/>
    <x v="0"/>
    <x v="0"/>
    <n v="118"/>
    <n v="80"/>
    <x v="1"/>
    <x v="1"/>
    <s v="Boarderline"/>
    <x v="2"/>
  </r>
  <r>
    <x v="19"/>
    <x v="0"/>
    <n v="94.57"/>
    <n v="25.98"/>
    <x v="3"/>
    <n v="283"/>
    <s v="130/78"/>
    <n v="4.0999999999999996"/>
    <x v="1"/>
    <x v="1"/>
    <x v="1"/>
    <n v="130"/>
    <n v="78"/>
    <x v="2"/>
    <x v="0"/>
    <s v="High"/>
    <x v="0"/>
  </r>
  <r>
    <x v="26"/>
    <x v="1"/>
    <n v="187.02"/>
    <n v="21.58"/>
    <x v="2"/>
    <n v="200"/>
    <s v="135/82"/>
    <n v="4.47"/>
    <x v="6"/>
    <x v="1"/>
    <x v="1"/>
    <n v="135"/>
    <n v="82"/>
    <x v="2"/>
    <x v="0"/>
    <s v="Normal"/>
    <x v="2"/>
  </r>
  <r>
    <x v="47"/>
    <x v="1"/>
    <n v="249.12"/>
    <n v="24.59"/>
    <x v="3"/>
    <n v="112"/>
    <s v="94/66"/>
    <n v="5.98"/>
    <x v="0"/>
    <x v="1"/>
    <x v="1"/>
    <n v="94"/>
    <n v="66"/>
    <x v="3"/>
    <x v="2"/>
    <s v="Low"/>
    <x v="2"/>
  </r>
  <r>
    <x v="37"/>
    <x v="0"/>
    <n v="202.23"/>
    <n v="31.2"/>
    <x v="2"/>
    <n v="203"/>
    <s v="129/63"/>
    <n v="6.77"/>
    <x v="1"/>
    <x v="0"/>
    <x v="1"/>
    <n v="129"/>
    <n v="63"/>
    <x v="3"/>
    <x v="3"/>
    <s v="Boarderline"/>
    <x v="1"/>
  </r>
  <r>
    <x v="61"/>
    <x v="1"/>
    <n v="147.76"/>
    <n v="25.45"/>
    <x v="2"/>
    <n v="217"/>
    <s v="133/70"/>
    <n v="9.14"/>
    <x v="6"/>
    <x v="0"/>
    <x v="0"/>
    <n v="133"/>
    <n v="70"/>
    <x v="2"/>
    <x v="1"/>
    <s v="Boarderline"/>
    <x v="0"/>
  </r>
  <r>
    <x v="30"/>
    <x v="1"/>
    <n v="108.2"/>
    <n v="29.37"/>
    <x v="2"/>
    <n v="158"/>
    <s v="139/84"/>
    <n v="4.05"/>
    <x v="5"/>
    <x v="0"/>
    <x v="0"/>
    <n v="139"/>
    <n v="84"/>
    <x v="3"/>
    <x v="0"/>
    <s v="Normal"/>
    <x v="0"/>
  </r>
  <r>
    <x v="55"/>
    <x v="0"/>
    <n v="224.18"/>
    <n v="32.369999999999997"/>
    <x v="3"/>
    <n v="232"/>
    <s v="98/62"/>
    <n v="6.7"/>
    <x v="4"/>
    <x v="1"/>
    <x v="0"/>
    <n v="98"/>
    <n v="62"/>
    <x v="3"/>
    <x v="3"/>
    <s v="Boarderline"/>
    <x v="1"/>
  </r>
  <r>
    <x v="47"/>
    <x v="0"/>
    <n v="237.1"/>
    <n v="35.619999999999997"/>
    <x v="2"/>
    <n v="112"/>
    <s v="140/85"/>
    <n v="4.5199999999999996"/>
    <x v="5"/>
    <x v="1"/>
    <x v="0"/>
    <n v="140"/>
    <n v="85"/>
    <x v="3"/>
    <x v="0"/>
    <s v="Low"/>
    <x v="1"/>
  </r>
  <r>
    <x v="53"/>
    <x v="0"/>
    <n v="240.63"/>
    <n v="20.11"/>
    <x v="2"/>
    <n v="176"/>
    <s v="123/88"/>
    <n v="8.07"/>
    <x v="6"/>
    <x v="1"/>
    <x v="0"/>
    <n v="123"/>
    <n v="88"/>
    <x v="5"/>
    <x v="1"/>
    <s v="Normal"/>
    <x v="2"/>
  </r>
  <r>
    <x v="43"/>
    <x v="1"/>
    <n v="227.72"/>
    <n v="25.87"/>
    <x v="0"/>
    <n v="195"/>
    <s v="139/74"/>
    <n v="6.74"/>
    <x v="1"/>
    <x v="0"/>
    <x v="1"/>
    <n v="139"/>
    <n v="74"/>
    <x v="2"/>
    <x v="3"/>
    <s v="Normal"/>
    <x v="0"/>
  </r>
  <r>
    <x v="10"/>
    <x v="1"/>
    <n v="178.01"/>
    <n v="25.84"/>
    <x v="0"/>
    <n v="214"/>
    <s v="95/60"/>
    <n v="9.25"/>
    <x v="5"/>
    <x v="1"/>
    <x v="1"/>
    <n v="95"/>
    <n v="60"/>
    <x v="0"/>
    <x v="1"/>
    <s v="Boarderline"/>
    <x v="0"/>
  </r>
  <r>
    <x v="50"/>
    <x v="0"/>
    <n v="286.35000000000002"/>
    <n v="23.72"/>
    <x v="0"/>
    <n v="280"/>
    <s v="104/72"/>
    <n v="9.84"/>
    <x v="5"/>
    <x v="0"/>
    <x v="0"/>
    <n v="104"/>
    <n v="72"/>
    <x v="2"/>
    <x v="1"/>
    <s v="High"/>
    <x v="2"/>
  </r>
  <r>
    <x v="44"/>
    <x v="1"/>
    <n v="296.69"/>
    <n v="19.54"/>
    <x v="0"/>
    <n v="194"/>
    <s v="104/73"/>
    <n v="8.68"/>
    <x v="3"/>
    <x v="0"/>
    <x v="1"/>
    <n v="104"/>
    <n v="73"/>
    <x v="4"/>
    <x v="1"/>
    <s v="Normal"/>
    <x v="2"/>
  </r>
  <r>
    <x v="7"/>
    <x v="1"/>
    <n v="187.8"/>
    <n v="35.92"/>
    <x v="3"/>
    <n v="149"/>
    <s v="116/82"/>
    <n v="7.27"/>
    <x v="1"/>
    <x v="0"/>
    <x v="0"/>
    <n v="116"/>
    <n v="82"/>
    <x v="3"/>
    <x v="3"/>
    <s v="Normal"/>
    <x v="1"/>
  </r>
  <r>
    <x v="45"/>
    <x v="0"/>
    <n v="266.89999999999998"/>
    <n v="25.04"/>
    <x v="1"/>
    <n v="188"/>
    <s v="116/72"/>
    <n v="8.3000000000000007"/>
    <x v="7"/>
    <x v="0"/>
    <x v="1"/>
    <n v="116"/>
    <n v="72"/>
    <x v="4"/>
    <x v="1"/>
    <s v="Normal"/>
    <x v="0"/>
  </r>
  <r>
    <x v="1"/>
    <x v="1"/>
    <n v="130.41999999999999"/>
    <n v="26.37"/>
    <x v="3"/>
    <n v="205"/>
    <s v="136/63"/>
    <n v="5.05"/>
    <x v="0"/>
    <x v="0"/>
    <x v="1"/>
    <n v="136"/>
    <n v="63"/>
    <x v="1"/>
    <x v="0"/>
    <s v="Boarderline"/>
    <x v="0"/>
  </r>
  <r>
    <x v="5"/>
    <x v="1"/>
    <n v="213.75"/>
    <n v="24.99"/>
    <x v="0"/>
    <n v="127"/>
    <s v="96/66"/>
    <n v="5.62"/>
    <x v="0"/>
    <x v="1"/>
    <x v="1"/>
    <n v="96"/>
    <n v="66"/>
    <x v="3"/>
    <x v="0"/>
    <s v="Normal"/>
    <x v="0"/>
  </r>
  <r>
    <x v="29"/>
    <x v="0"/>
    <n v="134.81"/>
    <n v="39.94"/>
    <x v="3"/>
    <n v="181"/>
    <s v="107/72"/>
    <n v="5.79"/>
    <x v="7"/>
    <x v="0"/>
    <x v="1"/>
    <n v="107"/>
    <n v="72"/>
    <x v="1"/>
    <x v="2"/>
    <s v="Normal"/>
    <x v="1"/>
  </r>
  <r>
    <x v="51"/>
    <x v="1"/>
    <n v="169.78"/>
    <n v="35.520000000000003"/>
    <x v="2"/>
    <n v="263"/>
    <s v="97/68"/>
    <n v="7.15"/>
    <x v="5"/>
    <x v="1"/>
    <x v="1"/>
    <n v="97"/>
    <n v="68"/>
    <x v="5"/>
    <x v="3"/>
    <s v="High"/>
    <x v="1"/>
  </r>
  <r>
    <x v="11"/>
    <x v="0"/>
    <n v="290.08"/>
    <n v="36.520000000000003"/>
    <x v="1"/>
    <n v="267"/>
    <s v="113/85"/>
    <n v="7.03"/>
    <x v="4"/>
    <x v="0"/>
    <x v="1"/>
    <n v="113"/>
    <n v="85"/>
    <x v="1"/>
    <x v="3"/>
    <s v="High"/>
    <x v="1"/>
  </r>
  <r>
    <x v="6"/>
    <x v="1"/>
    <n v="122.16"/>
    <n v="31.1"/>
    <x v="2"/>
    <n v="239"/>
    <s v="101/62"/>
    <n v="7.54"/>
    <x v="2"/>
    <x v="1"/>
    <x v="0"/>
    <n v="101"/>
    <n v="62"/>
    <x v="3"/>
    <x v="1"/>
    <s v="Boarderline"/>
    <x v="1"/>
  </r>
  <r>
    <x v="29"/>
    <x v="1"/>
    <n v="224.73"/>
    <n v="39.67"/>
    <x v="0"/>
    <n v="122"/>
    <s v="126/60"/>
    <n v="5.07"/>
    <x v="6"/>
    <x v="1"/>
    <x v="0"/>
    <n v="126"/>
    <n v="60"/>
    <x v="1"/>
    <x v="0"/>
    <s v="Normal"/>
    <x v="1"/>
  </r>
  <r>
    <x v="32"/>
    <x v="1"/>
    <n v="172.87"/>
    <n v="22.62"/>
    <x v="2"/>
    <n v="168"/>
    <s v="106/83"/>
    <n v="4.3600000000000003"/>
    <x v="2"/>
    <x v="0"/>
    <x v="1"/>
    <n v="106"/>
    <n v="83"/>
    <x v="2"/>
    <x v="0"/>
    <s v="Normal"/>
    <x v="2"/>
  </r>
  <r>
    <x v="17"/>
    <x v="0"/>
    <n v="101.78"/>
    <n v="38.590000000000003"/>
    <x v="3"/>
    <n v="181"/>
    <s v="113/68"/>
    <n v="7.78"/>
    <x v="3"/>
    <x v="0"/>
    <x v="0"/>
    <n v="113"/>
    <n v="68"/>
    <x v="0"/>
    <x v="1"/>
    <s v="Normal"/>
    <x v="1"/>
  </r>
  <r>
    <x v="49"/>
    <x v="0"/>
    <n v="108.58"/>
    <n v="30.16"/>
    <x v="3"/>
    <n v="191"/>
    <s v="140/66"/>
    <n v="5.47"/>
    <x v="1"/>
    <x v="1"/>
    <x v="0"/>
    <n v="140"/>
    <n v="66"/>
    <x v="4"/>
    <x v="0"/>
    <s v="Normal"/>
    <x v="1"/>
  </r>
  <r>
    <x v="14"/>
    <x v="1"/>
    <n v="196.15"/>
    <n v="28.92"/>
    <x v="1"/>
    <n v="221"/>
    <s v="111/90"/>
    <n v="6.16"/>
    <x v="1"/>
    <x v="0"/>
    <x v="1"/>
    <n v="111"/>
    <n v="90"/>
    <x v="3"/>
    <x v="2"/>
    <s v="Boarderline"/>
    <x v="0"/>
  </r>
  <r>
    <x v="37"/>
    <x v="1"/>
    <n v="92"/>
    <n v="34.799999999999997"/>
    <x v="0"/>
    <n v="150"/>
    <s v="138/78"/>
    <n v="6.61"/>
    <x v="5"/>
    <x v="1"/>
    <x v="1"/>
    <n v="138"/>
    <n v="78"/>
    <x v="3"/>
    <x v="3"/>
    <s v="Normal"/>
    <x v="1"/>
  </r>
  <r>
    <x v="36"/>
    <x v="0"/>
    <n v="250.29"/>
    <n v="39.020000000000003"/>
    <x v="2"/>
    <n v="167"/>
    <s v="132/71"/>
    <n v="5.94"/>
    <x v="5"/>
    <x v="1"/>
    <x v="1"/>
    <n v="132"/>
    <n v="71"/>
    <x v="0"/>
    <x v="2"/>
    <s v="Normal"/>
    <x v="1"/>
  </r>
  <r>
    <x v="5"/>
    <x v="1"/>
    <n v="289.43"/>
    <n v="30.47"/>
    <x v="2"/>
    <n v="130"/>
    <s v="98/83"/>
    <n v="9.89"/>
    <x v="0"/>
    <x v="0"/>
    <x v="1"/>
    <n v="98"/>
    <n v="83"/>
    <x v="3"/>
    <x v="1"/>
    <s v="Normal"/>
    <x v="1"/>
  </r>
  <r>
    <x v="41"/>
    <x v="1"/>
    <n v="96.04"/>
    <n v="28.33"/>
    <x v="2"/>
    <n v="226"/>
    <s v="139/86"/>
    <n v="5.54"/>
    <x v="6"/>
    <x v="0"/>
    <x v="1"/>
    <n v="139"/>
    <n v="86"/>
    <x v="5"/>
    <x v="0"/>
    <s v="Boarderline"/>
    <x v="0"/>
  </r>
  <r>
    <x v="5"/>
    <x v="1"/>
    <n v="182.14"/>
    <n v="19.45"/>
    <x v="2"/>
    <n v="162"/>
    <s v="105/74"/>
    <n v="9.42"/>
    <x v="5"/>
    <x v="0"/>
    <x v="0"/>
    <n v="105"/>
    <n v="74"/>
    <x v="3"/>
    <x v="1"/>
    <s v="Normal"/>
    <x v="2"/>
  </r>
  <r>
    <x v="8"/>
    <x v="0"/>
    <n v="193.17"/>
    <n v="26.44"/>
    <x v="0"/>
    <n v="254"/>
    <s v="116/85"/>
    <n v="4.03"/>
    <x v="2"/>
    <x v="0"/>
    <x v="0"/>
    <n v="116"/>
    <n v="85"/>
    <x v="4"/>
    <x v="0"/>
    <s v="High"/>
    <x v="0"/>
  </r>
  <r>
    <x v="8"/>
    <x v="1"/>
    <n v="268.43"/>
    <n v="30.61"/>
    <x v="3"/>
    <n v="195"/>
    <s v="127/86"/>
    <n v="8.56"/>
    <x v="0"/>
    <x v="0"/>
    <x v="0"/>
    <n v="127"/>
    <n v="86"/>
    <x v="4"/>
    <x v="1"/>
    <s v="Normal"/>
    <x v="1"/>
  </r>
  <r>
    <x v="58"/>
    <x v="1"/>
    <n v="233.15"/>
    <n v="18.690000000000001"/>
    <x v="2"/>
    <n v="159"/>
    <s v="130/63"/>
    <n v="8.32"/>
    <x v="2"/>
    <x v="1"/>
    <x v="1"/>
    <n v="130"/>
    <n v="63"/>
    <x v="2"/>
    <x v="1"/>
    <s v="Normal"/>
    <x v="2"/>
  </r>
  <r>
    <x v="56"/>
    <x v="0"/>
    <n v="121.14"/>
    <n v="37.82"/>
    <x v="2"/>
    <n v="226"/>
    <s v="102/86"/>
    <n v="5.65"/>
    <x v="6"/>
    <x v="0"/>
    <x v="1"/>
    <n v="102"/>
    <n v="86"/>
    <x v="5"/>
    <x v="0"/>
    <s v="Boarderline"/>
    <x v="1"/>
  </r>
  <r>
    <x v="21"/>
    <x v="1"/>
    <n v="154.07"/>
    <n v="22.44"/>
    <x v="0"/>
    <n v="262"/>
    <s v="100/82"/>
    <n v="6.06"/>
    <x v="7"/>
    <x v="1"/>
    <x v="1"/>
    <n v="100"/>
    <n v="82"/>
    <x v="3"/>
    <x v="2"/>
    <s v="High"/>
    <x v="2"/>
  </r>
  <r>
    <x v="12"/>
    <x v="0"/>
    <n v="237.66"/>
    <n v="35.46"/>
    <x v="0"/>
    <n v="259"/>
    <s v="90/85"/>
    <n v="5.0999999999999996"/>
    <x v="0"/>
    <x v="0"/>
    <x v="1"/>
    <n v="90"/>
    <n v="85"/>
    <x v="1"/>
    <x v="0"/>
    <s v="High"/>
    <x v="1"/>
  </r>
  <r>
    <x v="49"/>
    <x v="0"/>
    <n v="193.87"/>
    <n v="26.69"/>
    <x v="1"/>
    <n v="285"/>
    <s v="133/75"/>
    <n v="7.79"/>
    <x v="2"/>
    <x v="0"/>
    <x v="1"/>
    <n v="133"/>
    <n v="75"/>
    <x v="4"/>
    <x v="1"/>
    <s v="High"/>
    <x v="0"/>
  </r>
  <r>
    <x v="13"/>
    <x v="0"/>
    <n v="242.22"/>
    <n v="29.75"/>
    <x v="0"/>
    <n v="215"/>
    <s v="99/72"/>
    <n v="4.22"/>
    <x v="5"/>
    <x v="0"/>
    <x v="1"/>
    <n v="99"/>
    <n v="72"/>
    <x v="1"/>
    <x v="0"/>
    <s v="Boarderline"/>
    <x v="0"/>
  </r>
  <r>
    <x v="25"/>
    <x v="0"/>
    <n v="123.94"/>
    <n v="20.37"/>
    <x v="2"/>
    <n v="180"/>
    <s v="105/80"/>
    <n v="4.43"/>
    <x v="0"/>
    <x v="1"/>
    <x v="0"/>
    <n v="105"/>
    <n v="80"/>
    <x v="1"/>
    <x v="0"/>
    <s v="Normal"/>
    <x v="2"/>
  </r>
  <r>
    <x v="31"/>
    <x v="1"/>
    <n v="276.82"/>
    <n v="27.43"/>
    <x v="2"/>
    <n v="290"/>
    <s v="95/67"/>
    <n v="7.38"/>
    <x v="7"/>
    <x v="0"/>
    <x v="0"/>
    <n v="95"/>
    <n v="67"/>
    <x v="2"/>
    <x v="3"/>
    <s v="High"/>
    <x v="0"/>
  </r>
  <r>
    <x v="31"/>
    <x v="1"/>
    <n v="124.67"/>
    <n v="32.24"/>
    <x v="1"/>
    <n v="170"/>
    <s v="132/60"/>
    <n v="8.9600000000000009"/>
    <x v="1"/>
    <x v="0"/>
    <x v="0"/>
    <n v="132"/>
    <n v="60"/>
    <x v="2"/>
    <x v="1"/>
    <s v="Normal"/>
    <x v="1"/>
  </r>
  <r>
    <x v="38"/>
    <x v="0"/>
    <n v="87.78"/>
    <n v="20.75"/>
    <x v="2"/>
    <n v="150"/>
    <s v="114/69"/>
    <n v="6.53"/>
    <x v="5"/>
    <x v="0"/>
    <x v="0"/>
    <n v="114"/>
    <n v="69"/>
    <x v="4"/>
    <x v="3"/>
    <s v="Normal"/>
    <x v="2"/>
  </r>
  <r>
    <x v="2"/>
    <x v="1"/>
    <n v="93.88"/>
    <n v="30.53"/>
    <x v="1"/>
    <n v="143"/>
    <s v="121/67"/>
    <n v="8.76"/>
    <x v="5"/>
    <x v="0"/>
    <x v="1"/>
    <n v="121"/>
    <n v="67"/>
    <x v="2"/>
    <x v="1"/>
    <s v="Normal"/>
    <x v="1"/>
  </r>
  <r>
    <x v="9"/>
    <x v="1"/>
    <n v="231.27"/>
    <n v="28.22"/>
    <x v="0"/>
    <n v="175"/>
    <s v="113/70"/>
    <n v="8.68"/>
    <x v="1"/>
    <x v="1"/>
    <x v="0"/>
    <n v="113"/>
    <n v="70"/>
    <x v="5"/>
    <x v="1"/>
    <s v="Normal"/>
    <x v="0"/>
  </r>
  <r>
    <x v="0"/>
    <x v="1"/>
    <n v="215.79"/>
    <n v="18.489999999999998"/>
    <x v="1"/>
    <n v="109"/>
    <s v="136/73"/>
    <n v="4.97"/>
    <x v="5"/>
    <x v="0"/>
    <x v="0"/>
    <n v="136"/>
    <n v="73"/>
    <x v="0"/>
    <x v="0"/>
    <s v="Low"/>
    <x v="3"/>
  </r>
  <r>
    <x v="34"/>
    <x v="0"/>
    <n v="177.21"/>
    <n v="31"/>
    <x v="0"/>
    <n v="230"/>
    <s v="111/65"/>
    <n v="8.59"/>
    <x v="0"/>
    <x v="0"/>
    <x v="0"/>
    <n v="111"/>
    <n v="65"/>
    <x v="5"/>
    <x v="1"/>
    <s v="Boarderline"/>
    <x v="1"/>
  </r>
  <r>
    <x v="34"/>
    <x v="0"/>
    <n v="151.69"/>
    <n v="31.38"/>
    <x v="3"/>
    <n v="227"/>
    <s v="130/70"/>
    <n v="7.98"/>
    <x v="2"/>
    <x v="0"/>
    <x v="1"/>
    <n v="130"/>
    <n v="70"/>
    <x v="5"/>
    <x v="1"/>
    <s v="Boarderline"/>
    <x v="1"/>
  </r>
  <r>
    <x v="5"/>
    <x v="0"/>
    <n v="295.37"/>
    <n v="21.95"/>
    <x v="2"/>
    <n v="282"/>
    <s v="133/69"/>
    <n v="4.24"/>
    <x v="3"/>
    <x v="0"/>
    <x v="1"/>
    <n v="133"/>
    <n v="69"/>
    <x v="3"/>
    <x v="0"/>
    <s v="High"/>
    <x v="2"/>
  </r>
  <r>
    <x v="39"/>
    <x v="0"/>
    <n v="232.11"/>
    <n v="18.579999999999998"/>
    <x v="0"/>
    <n v="293"/>
    <s v="114/67"/>
    <n v="6.71"/>
    <x v="6"/>
    <x v="0"/>
    <x v="1"/>
    <n v="114"/>
    <n v="67"/>
    <x v="5"/>
    <x v="3"/>
    <s v="High"/>
    <x v="2"/>
  </r>
  <r>
    <x v="10"/>
    <x v="1"/>
    <n v="142.58000000000001"/>
    <n v="34.51"/>
    <x v="0"/>
    <n v="250"/>
    <s v="99/61"/>
    <n v="8.31"/>
    <x v="5"/>
    <x v="1"/>
    <x v="0"/>
    <n v="99"/>
    <n v="61"/>
    <x v="0"/>
    <x v="1"/>
    <s v="High"/>
    <x v="1"/>
  </r>
  <r>
    <x v="17"/>
    <x v="0"/>
    <n v="254.09"/>
    <n v="22.38"/>
    <x v="2"/>
    <n v="230"/>
    <s v="134/71"/>
    <n v="4.6500000000000004"/>
    <x v="1"/>
    <x v="1"/>
    <x v="0"/>
    <n v="134"/>
    <n v="71"/>
    <x v="0"/>
    <x v="0"/>
    <s v="Boarderline"/>
    <x v="2"/>
  </r>
  <r>
    <x v="35"/>
    <x v="0"/>
    <n v="253.01"/>
    <n v="24.54"/>
    <x v="2"/>
    <n v="230"/>
    <s v="125/72"/>
    <n v="5.29"/>
    <x v="3"/>
    <x v="1"/>
    <x v="1"/>
    <n v="125"/>
    <n v="72"/>
    <x v="1"/>
    <x v="0"/>
    <s v="Boarderline"/>
    <x v="2"/>
  </r>
  <r>
    <x v="47"/>
    <x v="1"/>
    <n v="141.55000000000001"/>
    <n v="22.7"/>
    <x v="0"/>
    <n v="146"/>
    <s v="107/84"/>
    <n v="9.73"/>
    <x v="4"/>
    <x v="1"/>
    <x v="1"/>
    <n v="107"/>
    <n v="84"/>
    <x v="3"/>
    <x v="1"/>
    <s v="Normal"/>
    <x v="2"/>
  </r>
  <r>
    <x v="4"/>
    <x v="1"/>
    <n v="170.34"/>
    <n v="30.24"/>
    <x v="1"/>
    <n v="256"/>
    <s v="94/89"/>
    <n v="7.08"/>
    <x v="6"/>
    <x v="1"/>
    <x v="0"/>
    <n v="94"/>
    <n v="89"/>
    <x v="0"/>
    <x v="3"/>
    <s v="High"/>
    <x v="1"/>
  </r>
  <r>
    <x v="23"/>
    <x v="0"/>
    <n v="197.61"/>
    <n v="33.409999999999997"/>
    <x v="2"/>
    <n v="260"/>
    <s v="99/70"/>
    <n v="5.23"/>
    <x v="3"/>
    <x v="0"/>
    <x v="0"/>
    <n v="99"/>
    <n v="70"/>
    <x v="0"/>
    <x v="0"/>
    <s v="High"/>
    <x v="1"/>
  </r>
  <r>
    <x v="4"/>
    <x v="1"/>
    <n v="270.41000000000003"/>
    <n v="31.96"/>
    <x v="0"/>
    <n v="260"/>
    <s v="103/76"/>
    <n v="4.67"/>
    <x v="6"/>
    <x v="0"/>
    <x v="1"/>
    <n v="103"/>
    <n v="76"/>
    <x v="0"/>
    <x v="0"/>
    <s v="High"/>
    <x v="1"/>
  </r>
  <r>
    <x v="15"/>
    <x v="0"/>
    <n v="296.83999999999997"/>
    <n v="36.119999999999997"/>
    <x v="0"/>
    <n v="113"/>
    <s v="110/78"/>
    <n v="8.42"/>
    <x v="5"/>
    <x v="0"/>
    <x v="1"/>
    <n v="110"/>
    <n v="78"/>
    <x v="0"/>
    <x v="1"/>
    <s v="Low"/>
    <x v="1"/>
  </r>
  <r>
    <x v="25"/>
    <x v="0"/>
    <n v="107"/>
    <n v="27.81"/>
    <x v="2"/>
    <n v="254"/>
    <s v="125/73"/>
    <n v="7.84"/>
    <x v="4"/>
    <x v="1"/>
    <x v="1"/>
    <n v="125"/>
    <n v="73"/>
    <x v="1"/>
    <x v="1"/>
    <s v="High"/>
    <x v="0"/>
  </r>
  <r>
    <x v="33"/>
    <x v="1"/>
    <n v="134.19"/>
    <n v="30.06"/>
    <x v="2"/>
    <n v="200"/>
    <s v="108/61"/>
    <n v="9.1199999999999992"/>
    <x v="2"/>
    <x v="1"/>
    <x v="1"/>
    <n v="108"/>
    <n v="61"/>
    <x v="5"/>
    <x v="1"/>
    <s v="Normal"/>
    <x v="1"/>
  </r>
  <r>
    <x v="38"/>
    <x v="0"/>
    <n v="242.58"/>
    <n v="18.21"/>
    <x v="3"/>
    <n v="183"/>
    <s v="132/86"/>
    <n v="9.9499999999999993"/>
    <x v="2"/>
    <x v="1"/>
    <x v="0"/>
    <n v="132"/>
    <n v="86"/>
    <x v="4"/>
    <x v="1"/>
    <s v="Normal"/>
    <x v="3"/>
  </r>
  <r>
    <x v="52"/>
    <x v="0"/>
    <n v="294.01"/>
    <n v="23.8"/>
    <x v="2"/>
    <n v="133"/>
    <s v="95/78"/>
    <n v="5.82"/>
    <x v="7"/>
    <x v="0"/>
    <x v="1"/>
    <n v="95"/>
    <n v="78"/>
    <x v="3"/>
    <x v="2"/>
    <s v="Normal"/>
    <x v="2"/>
  </r>
  <r>
    <x v="8"/>
    <x v="0"/>
    <n v="157.79"/>
    <n v="23.67"/>
    <x v="1"/>
    <n v="250"/>
    <s v="93/90"/>
    <n v="6.46"/>
    <x v="6"/>
    <x v="0"/>
    <x v="0"/>
    <n v="93"/>
    <n v="90"/>
    <x v="4"/>
    <x v="3"/>
    <s v="High"/>
    <x v="2"/>
  </r>
  <r>
    <x v="19"/>
    <x v="0"/>
    <n v="170.51"/>
    <n v="18.27"/>
    <x v="2"/>
    <n v="237"/>
    <s v="97/65"/>
    <n v="7.69"/>
    <x v="6"/>
    <x v="0"/>
    <x v="1"/>
    <n v="97"/>
    <n v="65"/>
    <x v="2"/>
    <x v="1"/>
    <s v="Boarderline"/>
    <x v="3"/>
  </r>
  <r>
    <x v="44"/>
    <x v="1"/>
    <n v="265.5"/>
    <n v="20.68"/>
    <x v="1"/>
    <n v="299"/>
    <s v="139/61"/>
    <n v="9.56"/>
    <x v="7"/>
    <x v="0"/>
    <x v="1"/>
    <n v="139"/>
    <n v="61"/>
    <x v="4"/>
    <x v="1"/>
    <s v="High"/>
    <x v="2"/>
  </r>
  <r>
    <x v="62"/>
    <x v="1"/>
    <n v="218.61"/>
    <n v="36.24"/>
    <x v="2"/>
    <n v="125"/>
    <s v="105/70"/>
    <n v="8.16"/>
    <x v="1"/>
    <x v="1"/>
    <x v="0"/>
    <n v="105"/>
    <n v="70"/>
    <x v="4"/>
    <x v="1"/>
    <s v="Normal"/>
    <x v="1"/>
  </r>
  <r>
    <x v="37"/>
    <x v="1"/>
    <n v="196.7"/>
    <n v="37.200000000000003"/>
    <x v="2"/>
    <n v="228"/>
    <s v="100/64"/>
    <n v="7.67"/>
    <x v="7"/>
    <x v="1"/>
    <x v="0"/>
    <n v="100"/>
    <n v="64"/>
    <x v="3"/>
    <x v="1"/>
    <s v="Boarderline"/>
    <x v="1"/>
  </r>
  <r>
    <x v="51"/>
    <x v="0"/>
    <n v="100.98"/>
    <n v="26.33"/>
    <x v="1"/>
    <n v="152"/>
    <s v="115/81"/>
    <n v="8"/>
    <x v="4"/>
    <x v="0"/>
    <x v="1"/>
    <n v="115"/>
    <n v="81"/>
    <x v="5"/>
    <x v="1"/>
    <s v="Normal"/>
    <x v="0"/>
  </r>
  <r>
    <x v="32"/>
    <x v="1"/>
    <n v="95.17"/>
    <n v="38.25"/>
    <x v="3"/>
    <n v="291"/>
    <s v="132/85"/>
    <n v="5.78"/>
    <x v="5"/>
    <x v="0"/>
    <x v="1"/>
    <n v="132"/>
    <n v="85"/>
    <x v="2"/>
    <x v="2"/>
    <s v="High"/>
    <x v="1"/>
  </r>
  <r>
    <x v="34"/>
    <x v="1"/>
    <n v="282.7"/>
    <n v="20.12"/>
    <x v="2"/>
    <n v="149"/>
    <s v="134/65"/>
    <n v="4.22"/>
    <x v="7"/>
    <x v="0"/>
    <x v="0"/>
    <n v="134"/>
    <n v="65"/>
    <x v="5"/>
    <x v="0"/>
    <s v="Normal"/>
    <x v="2"/>
  </r>
  <r>
    <x v="10"/>
    <x v="0"/>
    <n v="230.85"/>
    <n v="25.65"/>
    <x v="1"/>
    <n v="175"/>
    <s v="115/73"/>
    <n v="6.49"/>
    <x v="1"/>
    <x v="0"/>
    <x v="1"/>
    <n v="115"/>
    <n v="73"/>
    <x v="0"/>
    <x v="3"/>
    <s v="Normal"/>
    <x v="0"/>
  </r>
  <r>
    <x v="56"/>
    <x v="1"/>
    <n v="211.81"/>
    <n v="22.7"/>
    <x v="0"/>
    <n v="235"/>
    <s v="110/84"/>
    <n v="9.17"/>
    <x v="5"/>
    <x v="1"/>
    <x v="0"/>
    <n v="110"/>
    <n v="84"/>
    <x v="5"/>
    <x v="1"/>
    <s v="Boarderline"/>
    <x v="2"/>
  </r>
  <r>
    <x v="16"/>
    <x v="0"/>
    <n v="134.13999999999999"/>
    <n v="31.15"/>
    <x v="1"/>
    <n v="110"/>
    <s v="94/85"/>
    <n v="6.53"/>
    <x v="5"/>
    <x v="1"/>
    <x v="1"/>
    <n v="94"/>
    <n v="85"/>
    <x v="4"/>
    <x v="3"/>
    <s v="Low"/>
    <x v="1"/>
  </r>
  <r>
    <x v="18"/>
    <x v="0"/>
    <n v="116.88"/>
    <n v="24.07"/>
    <x v="2"/>
    <n v="260"/>
    <s v="107/69"/>
    <n v="6.96"/>
    <x v="0"/>
    <x v="0"/>
    <x v="0"/>
    <n v="107"/>
    <n v="69"/>
    <x v="4"/>
    <x v="3"/>
    <s v="High"/>
    <x v="2"/>
  </r>
  <r>
    <x v="42"/>
    <x v="1"/>
    <n v="155.71"/>
    <n v="31.1"/>
    <x v="3"/>
    <n v="168"/>
    <s v="109/79"/>
    <n v="8.4499999999999993"/>
    <x v="5"/>
    <x v="0"/>
    <x v="0"/>
    <n v="109"/>
    <n v="79"/>
    <x v="3"/>
    <x v="1"/>
    <s v="Normal"/>
    <x v="1"/>
  </r>
  <r>
    <x v="31"/>
    <x v="1"/>
    <n v="297.52"/>
    <n v="22.46"/>
    <x v="3"/>
    <n v="135"/>
    <s v="115/70"/>
    <n v="6.08"/>
    <x v="2"/>
    <x v="0"/>
    <x v="1"/>
    <n v="115"/>
    <n v="70"/>
    <x v="2"/>
    <x v="2"/>
    <s v="Normal"/>
    <x v="2"/>
  </r>
  <r>
    <x v="21"/>
    <x v="0"/>
    <n v="206.92"/>
    <n v="28.63"/>
    <x v="1"/>
    <n v="182"/>
    <s v="126/64"/>
    <n v="9.0299999999999994"/>
    <x v="0"/>
    <x v="0"/>
    <x v="0"/>
    <n v="126"/>
    <n v="64"/>
    <x v="3"/>
    <x v="1"/>
    <s v="Normal"/>
    <x v="0"/>
  </r>
  <r>
    <x v="60"/>
    <x v="1"/>
    <n v="180.76"/>
    <n v="29.63"/>
    <x v="0"/>
    <n v="124"/>
    <s v="111/77"/>
    <n v="5.45"/>
    <x v="7"/>
    <x v="0"/>
    <x v="0"/>
    <n v="111"/>
    <n v="77"/>
    <x v="5"/>
    <x v="0"/>
    <s v="Normal"/>
    <x v="0"/>
  </r>
  <r>
    <x v="30"/>
    <x v="0"/>
    <n v="73.27"/>
    <n v="22.18"/>
    <x v="0"/>
    <n v="264"/>
    <s v="129/82"/>
    <n v="9.59"/>
    <x v="0"/>
    <x v="1"/>
    <x v="0"/>
    <n v="129"/>
    <n v="82"/>
    <x v="3"/>
    <x v="1"/>
    <s v="High"/>
    <x v="2"/>
  </r>
  <r>
    <x v="36"/>
    <x v="1"/>
    <n v="70.59"/>
    <n v="32.99"/>
    <x v="0"/>
    <n v="196"/>
    <s v="99/61"/>
    <n v="7.91"/>
    <x v="4"/>
    <x v="1"/>
    <x v="1"/>
    <n v="99"/>
    <n v="61"/>
    <x v="0"/>
    <x v="1"/>
    <s v="Normal"/>
    <x v="1"/>
  </r>
  <r>
    <x v="37"/>
    <x v="1"/>
    <n v="229.92"/>
    <n v="24.2"/>
    <x v="2"/>
    <n v="298"/>
    <s v="139/63"/>
    <n v="6.79"/>
    <x v="1"/>
    <x v="0"/>
    <x v="1"/>
    <n v="139"/>
    <n v="63"/>
    <x v="3"/>
    <x v="3"/>
    <s v="High"/>
    <x v="2"/>
  </r>
  <r>
    <x v="22"/>
    <x v="1"/>
    <n v="290.68"/>
    <n v="36"/>
    <x v="0"/>
    <n v="103"/>
    <s v="109/80"/>
    <n v="5.19"/>
    <x v="7"/>
    <x v="0"/>
    <x v="0"/>
    <n v="109"/>
    <n v="80"/>
    <x v="5"/>
    <x v="0"/>
    <s v="Low"/>
    <x v="1"/>
  </r>
  <r>
    <x v="60"/>
    <x v="0"/>
    <n v="189.39"/>
    <n v="19.010000000000002"/>
    <x v="1"/>
    <n v="214"/>
    <s v="105/75"/>
    <n v="5.49"/>
    <x v="5"/>
    <x v="0"/>
    <x v="1"/>
    <n v="105"/>
    <n v="75"/>
    <x v="5"/>
    <x v="0"/>
    <s v="Boarderline"/>
    <x v="2"/>
  </r>
  <r>
    <x v="50"/>
    <x v="0"/>
    <n v="120.03"/>
    <n v="37.880000000000003"/>
    <x v="3"/>
    <n v="214"/>
    <s v="94/72"/>
    <n v="4.66"/>
    <x v="4"/>
    <x v="1"/>
    <x v="0"/>
    <n v="94"/>
    <n v="72"/>
    <x v="2"/>
    <x v="0"/>
    <s v="Boarderline"/>
    <x v="1"/>
  </r>
  <r>
    <x v="56"/>
    <x v="0"/>
    <n v="76.94"/>
    <n v="33.01"/>
    <x v="0"/>
    <n v="188"/>
    <s v="102/83"/>
    <n v="5.84"/>
    <x v="1"/>
    <x v="1"/>
    <x v="0"/>
    <n v="102"/>
    <n v="83"/>
    <x v="5"/>
    <x v="2"/>
    <s v="Normal"/>
    <x v="1"/>
  </r>
  <r>
    <x v="5"/>
    <x v="1"/>
    <n v="272.04000000000002"/>
    <n v="18.149999999999999"/>
    <x v="0"/>
    <n v="105"/>
    <s v="101/79"/>
    <n v="4.99"/>
    <x v="4"/>
    <x v="0"/>
    <x v="1"/>
    <n v="101"/>
    <n v="79"/>
    <x v="3"/>
    <x v="0"/>
    <s v="Low"/>
    <x v="3"/>
  </r>
  <r>
    <x v="34"/>
    <x v="0"/>
    <n v="157.47999999999999"/>
    <n v="36.630000000000003"/>
    <x v="3"/>
    <n v="240"/>
    <s v="137/85"/>
    <n v="6.78"/>
    <x v="4"/>
    <x v="0"/>
    <x v="0"/>
    <n v="137"/>
    <n v="85"/>
    <x v="5"/>
    <x v="3"/>
    <s v="Boarderline"/>
    <x v="1"/>
  </r>
  <r>
    <x v="4"/>
    <x v="1"/>
    <n v="239.74"/>
    <n v="30.57"/>
    <x v="2"/>
    <n v="155"/>
    <s v="139/73"/>
    <n v="7.41"/>
    <x v="3"/>
    <x v="1"/>
    <x v="0"/>
    <n v="139"/>
    <n v="73"/>
    <x v="0"/>
    <x v="3"/>
    <s v="Normal"/>
    <x v="1"/>
  </r>
  <r>
    <x v="18"/>
    <x v="0"/>
    <n v="92.86"/>
    <n v="20.48"/>
    <x v="1"/>
    <n v="245"/>
    <s v="90/76"/>
    <n v="4.8600000000000003"/>
    <x v="4"/>
    <x v="0"/>
    <x v="1"/>
    <n v="90"/>
    <n v="76"/>
    <x v="4"/>
    <x v="0"/>
    <s v="High"/>
    <x v="2"/>
  </r>
  <r>
    <x v="7"/>
    <x v="0"/>
    <n v="272.81"/>
    <n v="21.67"/>
    <x v="1"/>
    <n v="172"/>
    <s v="115/60"/>
    <n v="4.3600000000000003"/>
    <x v="1"/>
    <x v="1"/>
    <x v="0"/>
    <n v="115"/>
    <n v="60"/>
    <x v="3"/>
    <x v="0"/>
    <s v="Normal"/>
    <x v="2"/>
  </r>
  <r>
    <x v="8"/>
    <x v="1"/>
    <n v="222.71"/>
    <n v="39.85"/>
    <x v="1"/>
    <n v="194"/>
    <s v="135/77"/>
    <n v="8.5500000000000007"/>
    <x v="2"/>
    <x v="0"/>
    <x v="0"/>
    <n v="135"/>
    <n v="77"/>
    <x v="4"/>
    <x v="1"/>
    <s v="Normal"/>
    <x v="1"/>
  </r>
  <r>
    <x v="33"/>
    <x v="1"/>
    <n v="250.78"/>
    <n v="34.380000000000003"/>
    <x v="0"/>
    <n v="252"/>
    <s v="99/74"/>
    <n v="4.24"/>
    <x v="2"/>
    <x v="0"/>
    <x v="1"/>
    <n v="99"/>
    <n v="74"/>
    <x v="5"/>
    <x v="0"/>
    <s v="High"/>
    <x v="1"/>
  </r>
  <r>
    <x v="51"/>
    <x v="0"/>
    <n v="114.36"/>
    <n v="39.36"/>
    <x v="0"/>
    <n v="292"/>
    <s v="131/73"/>
    <n v="9.1"/>
    <x v="6"/>
    <x v="0"/>
    <x v="1"/>
    <n v="131"/>
    <n v="73"/>
    <x v="5"/>
    <x v="1"/>
    <s v="High"/>
    <x v="1"/>
  </r>
  <r>
    <x v="7"/>
    <x v="0"/>
    <n v="87.23"/>
    <n v="21.84"/>
    <x v="0"/>
    <n v="115"/>
    <s v="120/75"/>
    <n v="8.57"/>
    <x v="3"/>
    <x v="1"/>
    <x v="0"/>
    <n v="120"/>
    <n v="75"/>
    <x v="3"/>
    <x v="1"/>
    <s v="Low"/>
    <x v="2"/>
  </r>
  <r>
    <x v="52"/>
    <x v="0"/>
    <n v="160.09"/>
    <n v="39.68"/>
    <x v="3"/>
    <n v="104"/>
    <s v="124/66"/>
    <n v="8.52"/>
    <x v="3"/>
    <x v="0"/>
    <x v="1"/>
    <n v="124"/>
    <n v="66"/>
    <x v="3"/>
    <x v="1"/>
    <s v="Low"/>
    <x v="1"/>
  </r>
  <r>
    <x v="28"/>
    <x v="0"/>
    <n v="213.57"/>
    <n v="18.53"/>
    <x v="2"/>
    <n v="223"/>
    <s v="113/83"/>
    <n v="9.1"/>
    <x v="1"/>
    <x v="1"/>
    <x v="0"/>
    <n v="113"/>
    <n v="83"/>
    <x v="3"/>
    <x v="1"/>
    <s v="Boarderline"/>
    <x v="2"/>
  </r>
  <r>
    <x v="47"/>
    <x v="1"/>
    <n v="210.72"/>
    <n v="19.38"/>
    <x v="3"/>
    <n v="205"/>
    <s v="117/87"/>
    <n v="8.65"/>
    <x v="0"/>
    <x v="0"/>
    <x v="0"/>
    <n v="117"/>
    <n v="87"/>
    <x v="3"/>
    <x v="1"/>
    <s v="Boarderline"/>
    <x v="2"/>
  </r>
  <r>
    <x v="32"/>
    <x v="1"/>
    <n v="173.95"/>
    <n v="20.309999999999999"/>
    <x v="0"/>
    <n v="184"/>
    <s v="90/90"/>
    <n v="6.38"/>
    <x v="1"/>
    <x v="0"/>
    <x v="1"/>
    <n v="90"/>
    <n v="90"/>
    <x v="2"/>
    <x v="2"/>
    <s v="Normal"/>
    <x v="2"/>
  </r>
  <r>
    <x v="21"/>
    <x v="0"/>
    <n v="79.8"/>
    <n v="26.62"/>
    <x v="1"/>
    <n v="218"/>
    <s v="119/79"/>
    <n v="5.57"/>
    <x v="1"/>
    <x v="0"/>
    <x v="0"/>
    <n v="119"/>
    <n v="79"/>
    <x v="3"/>
    <x v="0"/>
    <s v="Boarderline"/>
    <x v="0"/>
  </r>
  <r>
    <x v="43"/>
    <x v="0"/>
    <n v="271.04000000000002"/>
    <n v="30.1"/>
    <x v="2"/>
    <n v="241"/>
    <s v="127/75"/>
    <n v="9.5"/>
    <x v="3"/>
    <x v="1"/>
    <x v="1"/>
    <n v="127"/>
    <n v="75"/>
    <x v="2"/>
    <x v="1"/>
    <s v="High"/>
    <x v="1"/>
  </r>
  <r>
    <x v="45"/>
    <x v="1"/>
    <n v="202.77"/>
    <n v="25.79"/>
    <x v="3"/>
    <n v="129"/>
    <s v="125/77"/>
    <n v="7.8"/>
    <x v="2"/>
    <x v="0"/>
    <x v="1"/>
    <n v="125"/>
    <n v="77"/>
    <x v="4"/>
    <x v="1"/>
    <s v="Normal"/>
    <x v="0"/>
  </r>
  <r>
    <x v="27"/>
    <x v="1"/>
    <n v="220.7"/>
    <n v="18.61"/>
    <x v="2"/>
    <n v="139"/>
    <s v="127/87"/>
    <n v="6.12"/>
    <x v="6"/>
    <x v="1"/>
    <x v="1"/>
    <n v="127"/>
    <n v="87"/>
    <x v="4"/>
    <x v="2"/>
    <s v="Normal"/>
    <x v="2"/>
  </r>
  <r>
    <x v="1"/>
    <x v="1"/>
    <n v="247.82"/>
    <n v="20.16"/>
    <x v="1"/>
    <n v="159"/>
    <s v="130/82"/>
    <n v="7.26"/>
    <x v="3"/>
    <x v="0"/>
    <x v="1"/>
    <n v="130"/>
    <n v="82"/>
    <x v="1"/>
    <x v="3"/>
    <s v="Normal"/>
    <x v="2"/>
  </r>
  <r>
    <x v="35"/>
    <x v="1"/>
    <n v="158.53"/>
    <n v="28.33"/>
    <x v="0"/>
    <n v="252"/>
    <s v="93/83"/>
    <n v="5.97"/>
    <x v="0"/>
    <x v="1"/>
    <x v="0"/>
    <n v="93"/>
    <n v="83"/>
    <x v="1"/>
    <x v="2"/>
    <s v="High"/>
    <x v="0"/>
  </r>
  <r>
    <x v="58"/>
    <x v="0"/>
    <n v="199.25"/>
    <n v="27.37"/>
    <x v="2"/>
    <n v="290"/>
    <s v="116/67"/>
    <n v="6.59"/>
    <x v="5"/>
    <x v="1"/>
    <x v="1"/>
    <n v="116"/>
    <n v="67"/>
    <x v="2"/>
    <x v="3"/>
    <s v="High"/>
    <x v="0"/>
  </r>
  <r>
    <x v="25"/>
    <x v="1"/>
    <n v="134.16"/>
    <n v="18.47"/>
    <x v="3"/>
    <n v="271"/>
    <s v="121/85"/>
    <n v="9.5299999999999994"/>
    <x v="1"/>
    <x v="1"/>
    <x v="1"/>
    <n v="121"/>
    <n v="85"/>
    <x v="1"/>
    <x v="1"/>
    <s v="High"/>
    <x v="3"/>
  </r>
  <r>
    <x v="13"/>
    <x v="0"/>
    <n v="93.11"/>
    <n v="38.07"/>
    <x v="1"/>
    <n v="229"/>
    <s v="96/62"/>
    <n v="8.67"/>
    <x v="7"/>
    <x v="1"/>
    <x v="0"/>
    <n v="96"/>
    <n v="62"/>
    <x v="1"/>
    <x v="1"/>
    <s v="Boarderline"/>
    <x v="1"/>
  </r>
  <r>
    <x v="51"/>
    <x v="1"/>
    <n v="295.77"/>
    <n v="21.48"/>
    <x v="0"/>
    <n v="256"/>
    <s v="129/65"/>
    <n v="9.5399999999999991"/>
    <x v="1"/>
    <x v="0"/>
    <x v="0"/>
    <n v="129"/>
    <n v="65"/>
    <x v="5"/>
    <x v="1"/>
    <s v="High"/>
    <x v="2"/>
  </r>
  <r>
    <x v="18"/>
    <x v="1"/>
    <n v="168.11"/>
    <n v="30.62"/>
    <x v="0"/>
    <n v="190"/>
    <s v="90/84"/>
    <n v="4.6100000000000003"/>
    <x v="2"/>
    <x v="0"/>
    <x v="1"/>
    <n v="90"/>
    <n v="84"/>
    <x v="4"/>
    <x v="0"/>
    <s v="Normal"/>
    <x v="1"/>
  </r>
  <r>
    <x v="56"/>
    <x v="1"/>
    <n v="111.28"/>
    <n v="31.88"/>
    <x v="2"/>
    <n v="165"/>
    <s v="90/70"/>
    <n v="6.17"/>
    <x v="6"/>
    <x v="0"/>
    <x v="0"/>
    <n v="90"/>
    <n v="70"/>
    <x v="5"/>
    <x v="2"/>
    <s v="Normal"/>
    <x v="1"/>
  </r>
  <r>
    <x v="50"/>
    <x v="0"/>
    <n v="187.49"/>
    <n v="20.04"/>
    <x v="2"/>
    <n v="223"/>
    <s v="128/79"/>
    <n v="8.82"/>
    <x v="0"/>
    <x v="1"/>
    <x v="0"/>
    <n v="128"/>
    <n v="79"/>
    <x v="2"/>
    <x v="1"/>
    <s v="Boarderline"/>
    <x v="2"/>
  </r>
  <r>
    <x v="57"/>
    <x v="1"/>
    <n v="190.96"/>
    <n v="22.71"/>
    <x v="2"/>
    <n v="168"/>
    <s v="117/90"/>
    <n v="7.9"/>
    <x v="4"/>
    <x v="1"/>
    <x v="1"/>
    <n v="117"/>
    <n v="90"/>
    <x v="3"/>
    <x v="1"/>
    <s v="Normal"/>
    <x v="2"/>
  </r>
  <r>
    <x v="56"/>
    <x v="0"/>
    <n v="203.52"/>
    <n v="27.05"/>
    <x v="3"/>
    <n v="231"/>
    <s v="125/75"/>
    <n v="6.33"/>
    <x v="5"/>
    <x v="1"/>
    <x v="0"/>
    <n v="125"/>
    <n v="75"/>
    <x v="5"/>
    <x v="2"/>
    <s v="Boarderline"/>
    <x v="0"/>
  </r>
  <r>
    <x v="38"/>
    <x v="0"/>
    <n v="238.29"/>
    <n v="20.59"/>
    <x v="1"/>
    <n v="178"/>
    <s v="97/62"/>
    <n v="8.76"/>
    <x v="4"/>
    <x v="0"/>
    <x v="0"/>
    <n v="97"/>
    <n v="62"/>
    <x v="4"/>
    <x v="1"/>
    <s v="Normal"/>
    <x v="2"/>
  </r>
  <r>
    <x v="22"/>
    <x v="0"/>
    <n v="128.12"/>
    <n v="36.79"/>
    <x v="2"/>
    <n v="112"/>
    <s v="115/80"/>
    <n v="5.35"/>
    <x v="4"/>
    <x v="0"/>
    <x v="0"/>
    <n v="115"/>
    <n v="80"/>
    <x v="5"/>
    <x v="0"/>
    <s v="Low"/>
    <x v="1"/>
  </r>
  <r>
    <x v="13"/>
    <x v="1"/>
    <n v="100.08"/>
    <n v="24.49"/>
    <x v="1"/>
    <n v="194"/>
    <s v="91/62"/>
    <n v="5.19"/>
    <x v="6"/>
    <x v="1"/>
    <x v="1"/>
    <n v="91"/>
    <n v="62"/>
    <x v="1"/>
    <x v="0"/>
    <s v="Normal"/>
    <x v="2"/>
  </r>
  <r>
    <x v="37"/>
    <x v="0"/>
    <n v="105.26"/>
    <n v="19.350000000000001"/>
    <x v="2"/>
    <n v="127"/>
    <s v="139/70"/>
    <n v="6.34"/>
    <x v="1"/>
    <x v="1"/>
    <x v="1"/>
    <n v="139"/>
    <n v="70"/>
    <x v="3"/>
    <x v="2"/>
    <s v="Normal"/>
    <x v="2"/>
  </r>
  <r>
    <x v="56"/>
    <x v="0"/>
    <n v="229.32"/>
    <n v="26.44"/>
    <x v="1"/>
    <n v="208"/>
    <s v="117/73"/>
    <n v="4.1100000000000003"/>
    <x v="7"/>
    <x v="1"/>
    <x v="0"/>
    <n v="117"/>
    <n v="73"/>
    <x v="5"/>
    <x v="0"/>
    <s v="Boarderline"/>
    <x v="0"/>
  </r>
  <r>
    <x v="22"/>
    <x v="0"/>
    <n v="271.63"/>
    <n v="37.840000000000003"/>
    <x v="0"/>
    <n v="285"/>
    <s v="138/69"/>
    <n v="9.33"/>
    <x v="1"/>
    <x v="1"/>
    <x v="0"/>
    <n v="138"/>
    <n v="69"/>
    <x v="5"/>
    <x v="1"/>
    <s v="High"/>
    <x v="1"/>
  </r>
  <r>
    <x v="50"/>
    <x v="1"/>
    <n v="195.34"/>
    <n v="28.68"/>
    <x v="0"/>
    <n v="169"/>
    <s v="129/85"/>
    <n v="4.6500000000000004"/>
    <x v="0"/>
    <x v="1"/>
    <x v="1"/>
    <n v="129"/>
    <n v="85"/>
    <x v="2"/>
    <x v="0"/>
    <s v="Normal"/>
    <x v="0"/>
  </r>
  <r>
    <x v="23"/>
    <x v="0"/>
    <n v="161.71"/>
    <n v="23.33"/>
    <x v="1"/>
    <n v="213"/>
    <s v="131/63"/>
    <n v="6.29"/>
    <x v="1"/>
    <x v="1"/>
    <x v="1"/>
    <n v="131"/>
    <n v="63"/>
    <x v="0"/>
    <x v="2"/>
    <s v="Boarderline"/>
    <x v="2"/>
  </r>
  <r>
    <x v="56"/>
    <x v="1"/>
    <n v="147"/>
    <n v="22.48"/>
    <x v="0"/>
    <n v="269"/>
    <s v="109/85"/>
    <n v="6.99"/>
    <x v="1"/>
    <x v="0"/>
    <x v="0"/>
    <n v="109"/>
    <n v="85"/>
    <x v="5"/>
    <x v="3"/>
    <s v="High"/>
    <x v="2"/>
  </r>
  <r>
    <x v="44"/>
    <x v="1"/>
    <n v="263.14999999999998"/>
    <n v="39.369999999999997"/>
    <x v="2"/>
    <n v="179"/>
    <s v="94/64"/>
    <n v="5.24"/>
    <x v="1"/>
    <x v="1"/>
    <x v="0"/>
    <n v="94"/>
    <n v="64"/>
    <x v="4"/>
    <x v="0"/>
    <s v="Normal"/>
    <x v="1"/>
  </r>
  <r>
    <x v="27"/>
    <x v="0"/>
    <n v="258.73"/>
    <n v="29.49"/>
    <x v="0"/>
    <n v="279"/>
    <s v="129/75"/>
    <n v="5.16"/>
    <x v="6"/>
    <x v="1"/>
    <x v="0"/>
    <n v="129"/>
    <n v="75"/>
    <x v="4"/>
    <x v="0"/>
    <s v="High"/>
    <x v="0"/>
  </r>
  <r>
    <x v="3"/>
    <x v="1"/>
    <n v="162.82"/>
    <n v="37.380000000000003"/>
    <x v="3"/>
    <n v="108"/>
    <s v="134/63"/>
    <n v="4.5999999999999996"/>
    <x v="7"/>
    <x v="0"/>
    <x v="0"/>
    <n v="134"/>
    <n v="63"/>
    <x v="1"/>
    <x v="0"/>
    <s v="Low"/>
    <x v="1"/>
  </r>
  <r>
    <x v="61"/>
    <x v="0"/>
    <n v="230.15"/>
    <n v="34.94"/>
    <x v="2"/>
    <n v="141"/>
    <s v="93/77"/>
    <n v="4.01"/>
    <x v="5"/>
    <x v="0"/>
    <x v="0"/>
    <n v="93"/>
    <n v="77"/>
    <x v="2"/>
    <x v="0"/>
    <s v="Normal"/>
    <x v="1"/>
  </r>
  <r>
    <x v="15"/>
    <x v="1"/>
    <n v="89.44"/>
    <n v="35.479999999999997"/>
    <x v="2"/>
    <n v="149"/>
    <s v="138/70"/>
    <n v="8.64"/>
    <x v="2"/>
    <x v="1"/>
    <x v="0"/>
    <n v="138"/>
    <n v="70"/>
    <x v="0"/>
    <x v="1"/>
    <s v="Normal"/>
    <x v="1"/>
  </r>
  <r>
    <x v="61"/>
    <x v="1"/>
    <n v="249.86"/>
    <n v="21.45"/>
    <x v="0"/>
    <n v="132"/>
    <s v="140/73"/>
    <n v="8.11"/>
    <x v="4"/>
    <x v="1"/>
    <x v="1"/>
    <n v="140"/>
    <n v="73"/>
    <x v="2"/>
    <x v="1"/>
    <s v="Normal"/>
    <x v="2"/>
  </r>
  <r>
    <x v="52"/>
    <x v="0"/>
    <n v="205.59"/>
    <n v="31.03"/>
    <x v="3"/>
    <n v="265"/>
    <s v="99/83"/>
    <n v="4.12"/>
    <x v="1"/>
    <x v="1"/>
    <x v="0"/>
    <n v="99"/>
    <n v="83"/>
    <x v="3"/>
    <x v="0"/>
    <s v="High"/>
    <x v="1"/>
  </r>
  <r>
    <x v="9"/>
    <x v="0"/>
    <n v="151.62"/>
    <n v="37.21"/>
    <x v="2"/>
    <n v="260"/>
    <s v="122/60"/>
    <n v="4.26"/>
    <x v="3"/>
    <x v="1"/>
    <x v="0"/>
    <n v="122"/>
    <n v="60"/>
    <x v="5"/>
    <x v="0"/>
    <s v="High"/>
    <x v="1"/>
  </r>
  <r>
    <x v="59"/>
    <x v="1"/>
    <n v="222.7"/>
    <n v="27.74"/>
    <x v="2"/>
    <n v="130"/>
    <s v="100/84"/>
    <n v="5.21"/>
    <x v="4"/>
    <x v="0"/>
    <x v="0"/>
    <n v="100"/>
    <n v="84"/>
    <x v="1"/>
    <x v="0"/>
    <s v="Normal"/>
    <x v="0"/>
  </r>
  <r>
    <x v="33"/>
    <x v="0"/>
    <n v="94.22"/>
    <n v="36.15"/>
    <x v="3"/>
    <n v="121"/>
    <s v="122/71"/>
    <n v="9.3800000000000008"/>
    <x v="4"/>
    <x v="1"/>
    <x v="1"/>
    <n v="122"/>
    <n v="71"/>
    <x v="5"/>
    <x v="1"/>
    <s v="Normal"/>
    <x v="1"/>
  </r>
  <r>
    <x v="61"/>
    <x v="1"/>
    <n v="242.83"/>
    <n v="20.93"/>
    <x v="1"/>
    <n v="192"/>
    <s v="129/88"/>
    <n v="7.04"/>
    <x v="2"/>
    <x v="1"/>
    <x v="1"/>
    <n v="129"/>
    <n v="88"/>
    <x v="2"/>
    <x v="3"/>
    <s v="Normal"/>
    <x v="2"/>
  </r>
  <r>
    <x v="24"/>
    <x v="0"/>
    <n v="175.91"/>
    <n v="21.62"/>
    <x v="1"/>
    <n v="267"/>
    <s v="132/60"/>
    <n v="6.16"/>
    <x v="7"/>
    <x v="0"/>
    <x v="1"/>
    <n v="132"/>
    <n v="60"/>
    <x v="4"/>
    <x v="2"/>
    <s v="High"/>
    <x v="2"/>
  </r>
  <r>
    <x v="53"/>
    <x v="1"/>
    <n v="178.97"/>
    <n v="29.66"/>
    <x v="3"/>
    <n v="168"/>
    <s v="106/89"/>
    <n v="4.72"/>
    <x v="3"/>
    <x v="1"/>
    <x v="0"/>
    <n v="106"/>
    <n v="89"/>
    <x v="5"/>
    <x v="0"/>
    <s v="Normal"/>
    <x v="0"/>
  </r>
  <r>
    <x v="40"/>
    <x v="1"/>
    <n v="242.6"/>
    <n v="35.15"/>
    <x v="0"/>
    <n v="176"/>
    <s v="115/78"/>
    <n v="9.64"/>
    <x v="4"/>
    <x v="0"/>
    <x v="1"/>
    <n v="115"/>
    <n v="78"/>
    <x v="2"/>
    <x v="1"/>
    <s v="Normal"/>
    <x v="1"/>
  </r>
  <r>
    <x v="34"/>
    <x v="1"/>
    <n v="161.38"/>
    <n v="29.11"/>
    <x v="2"/>
    <n v="232"/>
    <s v="93/61"/>
    <n v="6.72"/>
    <x v="3"/>
    <x v="1"/>
    <x v="0"/>
    <n v="93"/>
    <n v="61"/>
    <x v="5"/>
    <x v="3"/>
    <s v="Boarderline"/>
    <x v="0"/>
  </r>
  <r>
    <x v="17"/>
    <x v="0"/>
    <n v="261.87"/>
    <n v="30.15"/>
    <x v="2"/>
    <n v="136"/>
    <s v="104/67"/>
    <n v="9.36"/>
    <x v="1"/>
    <x v="0"/>
    <x v="1"/>
    <n v="104"/>
    <n v="67"/>
    <x v="0"/>
    <x v="1"/>
    <s v="Normal"/>
    <x v="1"/>
  </r>
  <r>
    <x v="31"/>
    <x v="0"/>
    <n v="175.57"/>
    <n v="34.97"/>
    <x v="3"/>
    <n v="278"/>
    <s v="137/68"/>
    <n v="8.86"/>
    <x v="1"/>
    <x v="0"/>
    <x v="0"/>
    <n v="137"/>
    <n v="68"/>
    <x v="2"/>
    <x v="1"/>
    <s v="High"/>
    <x v="1"/>
  </r>
  <r>
    <x v="37"/>
    <x v="1"/>
    <n v="232.31"/>
    <n v="27.33"/>
    <x v="0"/>
    <n v="150"/>
    <s v="122/83"/>
    <n v="9.5"/>
    <x v="7"/>
    <x v="1"/>
    <x v="1"/>
    <n v="122"/>
    <n v="83"/>
    <x v="3"/>
    <x v="1"/>
    <s v="Normal"/>
    <x v="0"/>
  </r>
  <r>
    <x v="13"/>
    <x v="1"/>
    <n v="97.96"/>
    <n v="35.49"/>
    <x v="2"/>
    <n v="185"/>
    <s v="124/87"/>
    <n v="5.39"/>
    <x v="1"/>
    <x v="1"/>
    <x v="0"/>
    <n v="124"/>
    <n v="87"/>
    <x v="1"/>
    <x v="0"/>
    <s v="Normal"/>
    <x v="1"/>
  </r>
  <r>
    <x v="46"/>
    <x v="1"/>
    <n v="164.39"/>
    <n v="19.75"/>
    <x v="2"/>
    <n v="204"/>
    <s v="138/85"/>
    <n v="7.36"/>
    <x v="0"/>
    <x v="0"/>
    <x v="1"/>
    <n v="138"/>
    <n v="85"/>
    <x v="0"/>
    <x v="3"/>
    <s v="Boarderline"/>
    <x v="2"/>
  </r>
  <r>
    <x v="23"/>
    <x v="1"/>
    <n v="208.42"/>
    <n v="31.7"/>
    <x v="2"/>
    <n v="243"/>
    <s v="117/74"/>
    <n v="8.65"/>
    <x v="0"/>
    <x v="1"/>
    <x v="1"/>
    <n v="117"/>
    <n v="74"/>
    <x v="0"/>
    <x v="1"/>
    <s v="High"/>
    <x v="1"/>
  </r>
  <r>
    <x v="53"/>
    <x v="0"/>
    <n v="212.84"/>
    <n v="38.75"/>
    <x v="1"/>
    <n v="255"/>
    <s v="93/65"/>
    <n v="9"/>
    <x v="0"/>
    <x v="1"/>
    <x v="0"/>
    <n v="93"/>
    <n v="65"/>
    <x v="5"/>
    <x v="1"/>
    <s v="High"/>
    <x v="1"/>
  </r>
  <r>
    <x v="54"/>
    <x v="1"/>
    <n v="195.2"/>
    <n v="25.34"/>
    <x v="3"/>
    <n v="289"/>
    <s v="99/86"/>
    <n v="5.94"/>
    <x v="5"/>
    <x v="1"/>
    <x v="0"/>
    <n v="99"/>
    <n v="86"/>
    <x v="0"/>
    <x v="2"/>
    <s v="High"/>
    <x v="0"/>
  </r>
  <r>
    <x v="13"/>
    <x v="1"/>
    <n v="238.18"/>
    <n v="39.51"/>
    <x v="2"/>
    <n v="241"/>
    <s v="119/68"/>
    <n v="4.29"/>
    <x v="6"/>
    <x v="0"/>
    <x v="1"/>
    <n v="119"/>
    <n v="68"/>
    <x v="1"/>
    <x v="0"/>
    <s v="High"/>
    <x v="1"/>
  </r>
  <r>
    <x v="9"/>
    <x v="1"/>
    <n v="136.57"/>
    <n v="20.57"/>
    <x v="1"/>
    <n v="259"/>
    <s v="125/77"/>
    <n v="5.31"/>
    <x v="0"/>
    <x v="0"/>
    <x v="0"/>
    <n v="125"/>
    <n v="77"/>
    <x v="5"/>
    <x v="0"/>
    <s v="High"/>
    <x v="2"/>
  </r>
  <r>
    <x v="22"/>
    <x v="0"/>
    <n v="229.6"/>
    <n v="29.25"/>
    <x v="2"/>
    <n v="191"/>
    <s v="121/82"/>
    <n v="5.96"/>
    <x v="0"/>
    <x v="1"/>
    <x v="1"/>
    <n v="121"/>
    <n v="82"/>
    <x v="5"/>
    <x v="2"/>
    <s v="Normal"/>
    <x v="0"/>
  </r>
  <r>
    <x v="13"/>
    <x v="0"/>
    <n v="108.94"/>
    <n v="19.329999999999998"/>
    <x v="2"/>
    <n v="120"/>
    <s v="101/75"/>
    <n v="9.91"/>
    <x v="0"/>
    <x v="1"/>
    <x v="1"/>
    <n v="101"/>
    <n v="75"/>
    <x v="1"/>
    <x v="1"/>
    <s v="Normal"/>
    <x v="2"/>
  </r>
  <r>
    <x v="8"/>
    <x v="0"/>
    <n v="289.32"/>
    <n v="30.33"/>
    <x v="0"/>
    <n v="242"/>
    <s v="94/85"/>
    <n v="4.8"/>
    <x v="3"/>
    <x v="0"/>
    <x v="0"/>
    <n v="94"/>
    <n v="85"/>
    <x v="4"/>
    <x v="0"/>
    <s v="High"/>
    <x v="1"/>
  </r>
  <r>
    <x v="56"/>
    <x v="0"/>
    <n v="72.739999999999995"/>
    <n v="29.64"/>
    <x v="0"/>
    <n v="135"/>
    <s v="132/86"/>
    <n v="8.5500000000000007"/>
    <x v="3"/>
    <x v="0"/>
    <x v="1"/>
    <n v="132"/>
    <n v="86"/>
    <x v="5"/>
    <x v="1"/>
    <s v="Normal"/>
    <x v="0"/>
  </r>
  <r>
    <x v="38"/>
    <x v="1"/>
    <n v="272.87"/>
    <n v="29.63"/>
    <x v="0"/>
    <n v="114"/>
    <s v="126/70"/>
    <n v="7.45"/>
    <x v="3"/>
    <x v="0"/>
    <x v="1"/>
    <n v="126"/>
    <n v="70"/>
    <x v="4"/>
    <x v="3"/>
    <s v="Low"/>
    <x v="0"/>
  </r>
  <r>
    <x v="21"/>
    <x v="1"/>
    <n v="160.11000000000001"/>
    <n v="29.61"/>
    <x v="1"/>
    <n v="127"/>
    <s v="108/87"/>
    <n v="5.01"/>
    <x v="4"/>
    <x v="0"/>
    <x v="0"/>
    <n v="108"/>
    <n v="87"/>
    <x v="3"/>
    <x v="0"/>
    <s v="Normal"/>
    <x v="0"/>
  </r>
  <r>
    <x v="8"/>
    <x v="1"/>
    <n v="150.78"/>
    <n v="31"/>
    <x v="2"/>
    <n v="193"/>
    <s v="90/62"/>
    <n v="9.5500000000000007"/>
    <x v="7"/>
    <x v="1"/>
    <x v="1"/>
    <n v="90"/>
    <n v="62"/>
    <x v="4"/>
    <x v="1"/>
    <s v="Normal"/>
    <x v="1"/>
  </r>
  <r>
    <x v="7"/>
    <x v="1"/>
    <n v="255.37"/>
    <n v="34.44"/>
    <x v="3"/>
    <n v="157"/>
    <s v="118/72"/>
    <n v="8.06"/>
    <x v="5"/>
    <x v="1"/>
    <x v="0"/>
    <n v="118"/>
    <n v="72"/>
    <x v="3"/>
    <x v="1"/>
    <s v="Normal"/>
    <x v="1"/>
  </r>
  <r>
    <x v="17"/>
    <x v="0"/>
    <n v="124.9"/>
    <n v="38.83"/>
    <x v="3"/>
    <n v="108"/>
    <s v="102/71"/>
    <n v="7.17"/>
    <x v="2"/>
    <x v="0"/>
    <x v="1"/>
    <n v="102"/>
    <n v="71"/>
    <x v="0"/>
    <x v="3"/>
    <s v="Low"/>
    <x v="1"/>
  </r>
  <r>
    <x v="60"/>
    <x v="0"/>
    <n v="150.94999999999999"/>
    <n v="29.67"/>
    <x v="3"/>
    <n v="289"/>
    <s v="103/89"/>
    <n v="9.3800000000000008"/>
    <x v="0"/>
    <x v="1"/>
    <x v="0"/>
    <n v="103"/>
    <n v="89"/>
    <x v="5"/>
    <x v="1"/>
    <s v="High"/>
    <x v="0"/>
  </r>
  <r>
    <x v="12"/>
    <x v="1"/>
    <n v="215.35"/>
    <n v="33.630000000000003"/>
    <x v="3"/>
    <n v="210"/>
    <s v="90/69"/>
    <n v="9.99"/>
    <x v="7"/>
    <x v="1"/>
    <x v="0"/>
    <n v="90"/>
    <n v="69"/>
    <x v="1"/>
    <x v="1"/>
    <s v="Boarderline"/>
    <x v="1"/>
  </r>
  <r>
    <x v="21"/>
    <x v="0"/>
    <n v="245.02"/>
    <n v="30.38"/>
    <x v="0"/>
    <n v="196"/>
    <s v="104/85"/>
    <n v="6.75"/>
    <x v="0"/>
    <x v="0"/>
    <x v="1"/>
    <n v="104"/>
    <n v="85"/>
    <x v="3"/>
    <x v="3"/>
    <s v="Normal"/>
    <x v="1"/>
  </r>
  <r>
    <x v="35"/>
    <x v="0"/>
    <n v="103.97"/>
    <n v="23.08"/>
    <x v="3"/>
    <n v="180"/>
    <s v="101/77"/>
    <n v="6.61"/>
    <x v="1"/>
    <x v="1"/>
    <x v="0"/>
    <n v="101"/>
    <n v="77"/>
    <x v="1"/>
    <x v="3"/>
    <s v="Normal"/>
    <x v="2"/>
  </r>
  <r>
    <x v="0"/>
    <x v="1"/>
    <n v="108.73"/>
    <n v="23.26"/>
    <x v="0"/>
    <n v="211"/>
    <s v="111/72"/>
    <n v="5.46"/>
    <x v="0"/>
    <x v="0"/>
    <x v="0"/>
    <n v="111"/>
    <n v="72"/>
    <x v="0"/>
    <x v="0"/>
    <s v="Boarderline"/>
    <x v="2"/>
  </r>
  <r>
    <x v="45"/>
    <x v="0"/>
    <n v="80.16"/>
    <n v="38.049999999999997"/>
    <x v="1"/>
    <n v="239"/>
    <s v="113/66"/>
    <n v="5.98"/>
    <x v="1"/>
    <x v="1"/>
    <x v="0"/>
    <n v="113"/>
    <n v="66"/>
    <x v="4"/>
    <x v="2"/>
    <s v="Boarderline"/>
    <x v="1"/>
  </r>
  <r>
    <x v="59"/>
    <x v="0"/>
    <n v="179.93"/>
    <n v="27.69"/>
    <x v="3"/>
    <n v="171"/>
    <s v="91/74"/>
    <n v="9.89"/>
    <x v="5"/>
    <x v="1"/>
    <x v="0"/>
    <n v="91"/>
    <n v="74"/>
    <x v="1"/>
    <x v="1"/>
    <s v="Normal"/>
    <x v="0"/>
  </r>
  <r>
    <x v="36"/>
    <x v="1"/>
    <n v="299.67"/>
    <n v="24.02"/>
    <x v="2"/>
    <n v="291"/>
    <s v="123/87"/>
    <n v="9.33"/>
    <x v="2"/>
    <x v="0"/>
    <x v="1"/>
    <n v="123"/>
    <n v="87"/>
    <x v="0"/>
    <x v="1"/>
    <s v="High"/>
    <x v="2"/>
  </r>
  <r>
    <x v="33"/>
    <x v="1"/>
    <n v="110.95"/>
    <n v="18.41"/>
    <x v="0"/>
    <n v="187"/>
    <s v="116/74"/>
    <n v="6.85"/>
    <x v="7"/>
    <x v="1"/>
    <x v="1"/>
    <n v="116"/>
    <n v="74"/>
    <x v="5"/>
    <x v="3"/>
    <s v="Normal"/>
    <x v="3"/>
  </r>
  <r>
    <x v="6"/>
    <x v="0"/>
    <n v="259.06"/>
    <n v="25.45"/>
    <x v="3"/>
    <n v="298"/>
    <s v="93/74"/>
    <n v="4.99"/>
    <x v="7"/>
    <x v="1"/>
    <x v="0"/>
    <n v="93"/>
    <n v="74"/>
    <x v="3"/>
    <x v="0"/>
    <s v="High"/>
    <x v="0"/>
  </r>
  <r>
    <x v="3"/>
    <x v="0"/>
    <n v="167.7"/>
    <n v="23.53"/>
    <x v="1"/>
    <n v="252"/>
    <s v="126/87"/>
    <n v="6.73"/>
    <x v="7"/>
    <x v="1"/>
    <x v="1"/>
    <n v="126"/>
    <n v="87"/>
    <x v="1"/>
    <x v="3"/>
    <s v="High"/>
    <x v="2"/>
  </r>
  <r>
    <x v="51"/>
    <x v="0"/>
    <n v="201.44"/>
    <n v="22.22"/>
    <x v="1"/>
    <n v="196"/>
    <s v="90/65"/>
    <n v="6.61"/>
    <x v="1"/>
    <x v="1"/>
    <x v="1"/>
    <n v="90"/>
    <n v="65"/>
    <x v="5"/>
    <x v="3"/>
    <s v="Normal"/>
    <x v="2"/>
  </r>
  <r>
    <x v="27"/>
    <x v="1"/>
    <n v="142.9"/>
    <n v="24.73"/>
    <x v="0"/>
    <n v="231"/>
    <s v="112/71"/>
    <n v="9.1"/>
    <x v="0"/>
    <x v="0"/>
    <x v="1"/>
    <n v="112"/>
    <n v="71"/>
    <x v="4"/>
    <x v="1"/>
    <s v="Boarderline"/>
    <x v="2"/>
  </r>
  <r>
    <x v="36"/>
    <x v="0"/>
    <n v="200.14"/>
    <n v="27.5"/>
    <x v="3"/>
    <n v="277"/>
    <s v="99/87"/>
    <n v="7.57"/>
    <x v="3"/>
    <x v="0"/>
    <x v="1"/>
    <n v="99"/>
    <n v="87"/>
    <x v="0"/>
    <x v="1"/>
    <s v="High"/>
    <x v="0"/>
  </r>
  <r>
    <x v="25"/>
    <x v="0"/>
    <n v="158.47999999999999"/>
    <n v="22.55"/>
    <x v="3"/>
    <n v="222"/>
    <s v="119/64"/>
    <n v="7.45"/>
    <x v="0"/>
    <x v="0"/>
    <x v="0"/>
    <n v="119"/>
    <n v="64"/>
    <x v="1"/>
    <x v="3"/>
    <s v="Boarderline"/>
    <x v="2"/>
  </r>
  <r>
    <x v="17"/>
    <x v="1"/>
    <n v="294.89"/>
    <n v="39.619999999999997"/>
    <x v="3"/>
    <n v="238"/>
    <s v="130/70"/>
    <n v="5.17"/>
    <x v="4"/>
    <x v="1"/>
    <x v="0"/>
    <n v="130"/>
    <n v="70"/>
    <x v="0"/>
    <x v="0"/>
    <s v="Boarderline"/>
    <x v="1"/>
  </r>
  <r>
    <x v="61"/>
    <x v="0"/>
    <n v="228.48"/>
    <n v="34.549999999999997"/>
    <x v="2"/>
    <n v="291"/>
    <s v="131/88"/>
    <n v="7.88"/>
    <x v="0"/>
    <x v="1"/>
    <x v="0"/>
    <n v="131"/>
    <n v="88"/>
    <x v="2"/>
    <x v="1"/>
    <s v="High"/>
    <x v="1"/>
  </r>
  <r>
    <x v="60"/>
    <x v="0"/>
    <n v="245.18"/>
    <n v="20.73"/>
    <x v="1"/>
    <n v="165"/>
    <s v="118/62"/>
    <n v="5.56"/>
    <x v="2"/>
    <x v="1"/>
    <x v="0"/>
    <n v="118"/>
    <n v="62"/>
    <x v="5"/>
    <x v="0"/>
    <s v="Normal"/>
    <x v="2"/>
  </r>
  <r>
    <x v="54"/>
    <x v="0"/>
    <n v="158.88"/>
    <n v="21.58"/>
    <x v="3"/>
    <n v="102"/>
    <s v="112/71"/>
    <n v="4.84"/>
    <x v="7"/>
    <x v="1"/>
    <x v="1"/>
    <n v="112"/>
    <n v="71"/>
    <x v="0"/>
    <x v="0"/>
    <s v="Low"/>
    <x v="2"/>
  </r>
  <r>
    <x v="39"/>
    <x v="0"/>
    <n v="91.57"/>
    <n v="35.450000000000003"/>
    <x v="1"/>
    <n v="168"/>
    <s v="98/70"/>
    <n v="4.6900000000000004"/>
    <x v="2"/>
    <x v="0"/>
    <x v="1"/>
    <n v="98"/>
    <n v="70"/>
    <x v="5"/>
    <x v="0"/>
    <s v="Normal"/>
    <x v="1"/>
  </r>
  <r>
    <x v="21"/>
    <x v="0"/>
    <n v="107.5"/>
    <n v="39.4"/>
    <x v="0"/>
    <n v="200"/>
    <s v="118/66"/>
    <n v="9.49"/>
    <x v="1"/>
    <x v="1"/>
    <x v="0"/>
    <n v="118"/>
    <n v="66"/>
    <x v="3"/>
    <x v="1"/>
    <s v="Normal"/>
    <x v="1"/>
  </r>
  <r>
    <x v="20"/>
    <x v="0"/>
    <n v="143.55000000000001"/>
    <n v="31.6"/>
    <x v="1"/>
    <n v="291"/>
    <s v="101/84"/>
    <n v="7.14"/>
    <x v="2"/>
    <x v="0"/>
    <x v="1"/>
    <n v="101"/>
    <n v="84"/>
    <x v="0"/>
    <x v="3"/>
    <s v="High"/>
    <x v="1"/>
  </r>
  <r>
    <x v="53"/>
    <x v="0"/>
    <n v="193.98"/>
    <n v="34.06"/>
    <x v="2"/>
    <n v="108"/>
    <s v="119/89"/>
    <n v="9.4700000000000006"/>
    <x v="2"/>
    <x v="0"/>
    <x v="0"/>
    <n v="119"/>
    <n v="89"/>
    <x v="5"/>
    <x v="1"/>
    <s v="Low"/>
    <x v="1"/>
  </r>
  <r>
    <x v="25"/>
    <x v="0"/>
    <n v="85.11"/>
    <n v="18.03"/>
    <x v="0"/>
    <n v="126"/>
    <s v="119/85"/>
    <n v="5.28"/>
    <x v="1"/>
    <x v="0"/>
    <x v="1"/>
    <n v="119"/>
    <n v="85"/>
    <x v="1"/>
    <x v="0"/>
    <s v="Normal"/>
    <x v="3"/>
  </r>
  <r>
    <x v="3"/>
    <x v="1"/>
    <n v="201.74"/>
    <n v="20.18"/>
    <x v="3"/>
    <n v="215"/>
    <s v="121/70"/>
    <n v="9.56"/>
    <x v="7"/>
    <x v="1"/>
    <x v="0"/>
    <n v="121"/>
    <n v="70"/>
    <x v="1"/>
    <x v="1"/>
    <s v="Boarderline"/>
    <x v="2"/>
  </r>
  <r>
    <x v="25"/>
    <x v="1"/>
    <n v="291.89"/>
    <n v="28.59"/>
    <x v="1"/>
    <n v="187"/>
    <s v="114/75"/>
    <n v="5.29"/>
    <x v="1"/>
    <x v="1"/>
    <x v="0"/>
    <n v="114"/>
    <n v="75"/>
    <x v="1"/>
    <x v="0"/>
    <s v="Normal"/>
    <x v="0"/>
  </r>
  <r>
    <x v="55"/>
    <x v="1"/>
    <n v="208.86"/>
    <n v="25.81"/>
    <x v="1"/>
    <n v="184"/>
    <s v="132/83"/>
    <n v="9.1999999999999993"/>
    <x v="0"/>
    <x v="0"/>
    <x v="1"/>
    <n v="132"/>
    <n v="83"/>
    <x v="3"/>
    <x v="1"/>
    <s v="Normal"/>
    <x v="0"/>
  </r>
  <r>
    <x v="10"/>
    <x v="0"/>
    <n v="115.78"/>
    <n v="24.17"/>
    <x v="2"/>
    <n v="197"/>
    <s v="117/79"/>
    <n v="4.3"/>
    <x v="3"/>
    <x v="1"/>
    <x v="1"/>
    <n v="117"/>
    <n v="79"/>
    <x v="0"/>
    <x v="0"/>
    <s v="Normal"/>
    <x v="2"/>
  </r>
  <r>
    <x v="42"/>
    <x v="0"/>
    <n v="293.45"/>
    <n v="20.27"/>
    <x v="1"/>
    <n v="200"/>
    <s v="126/75"/>
    <n v="9.4600000000000009"/>
    <x v="2"/>
    <x v="0"/>
    <x v="1"/>
    <n v="126"/>
    <n v="75"/>
    <x v="3"/>
    <x v="1"/>
    <s v="Normal"/>
    <x v="2"/>
  </r>
  <r>
    <x v="31"/>
    <x v="1"/>
    <n v="200.54"/>
    <n v="35.130000000000003"/>
    <x v="3"/>
    <n v="163"/>
    <s v="132/69"/>
    <n v="7.36"/>
    <x v="5"/>
    <x v="1"/>
    <x v="0"/>
    <n v="132"/>
    <n v="69"/>
    <x v="2"/>
    <x v="3"/>
    <s v="Normal"/>
    <x v="1"/>
  </r>
  <r>
    <x v="17"/>
    <x v="1"/>
    <n v="108.98"/>
    <n v="39.97"/>
    <x v="0"/>
    <n v="175"/>
    <s v="130/78"/>
    <n v="6.82"/>
    <x v="0"/>
    <x v="1"/>
    <x v="0"/>
    <n v="130"/>
    <n v="78"/>
    <x v="0"/>
    <x v="3"/>
    <s v="Normal"/>
    <x v="1"/>
  </r>
  <r>
    <x v="53"/>
    <x v="0"/>
    <n v="175.21"/>
    <n v="26.37"/>
    <x v="0"/>
    <n v="133"/>
    <s v="125/76"/>
    <n v="5.79"/>
    <x v="6"/>
    <x v="1"/>
    <x v="1"/>
    <n v="125"/>
    <n v="76"/>
    <x v="5"/>
    <x v="2"/>
    <s v="Normal"/>
    <x v="0"/>
  </r>
  <r>
    <x v="17"/>
    <x v="0"/>
    <n v="229.44"/>
    <n v="18.86"/>
    <x v="0"/>
    <n v="264"/>
    <s v="105/77"/>
    <n v="7.8"/>
    <x v="7"/>
    <x v="0"/>
    <x v="1"/>
    <n v="105"/>
    <n v="77"/>
    <x v="0"/>
    <x v="1"/>
    <s v="High"/>
    <x v="2"/>
  </r>
  <r>
    <x v="37"/>
    <x v="1"/>
    <n v="264.63"/>
    <n v="38.119999999999997"/>
    <x v="3"/>
    <n v="191"/>
    <s v="108/72"/>
    <n v="4.74"/>
    <x v="2"/>
    <x v="0"/>
    <x v="0"/>
    <n v="108"/>
    <n v="72"/>
    <x v="3"/>
    <x v="0"/>
    <s v="Normal"/>
    <x v="1"/>
  </r>
  <r>
    <x v="59"/>
    <x v="0"/>
    <n v="130.41999999999999"/>
    <n v="19.64"/>
    <x v="0"/>
    <n v="151"/>
    <s v="108/80"/>
    <n v="7.22"/>
    <x v="6"/>
    <x v="1"/>
    <x v="0"/>
    <n v="108"/>
    <n v="80"/>
    <x v="1"/>
    <x v="3"/>
    <s v="Normal"/>
    <x v="2"/>
  </r>
  <r>
    <x v="50"/>
    <x v="1"/>
    <n v="150.5"/>
    <n v="36.270000000000003"/>
    <x v="3"/>
    <n v="106"/>
    <s v="139/60"/>
    <n v="7.43"/>
    <x v="1"/>
    <x v="0"/>
    <x v="0"/>
    <n v="139"/>
    <n v="60"/>
    <x v="2"/>
    <x v="3"/>
    <s v="Low"/>
    <x v="1"/>
  </r>
  <r>
    <x v="50"/>
    <x v="0"/>
    <n v="129.01"/>
    <n v="20.04"/>
    <x v="0"/>
    <n v="129"/>
    <s v="103/61"/>
    <n v="6.65"/>
    <x v="6"/>
    <x v="1"/>
    <x v="0"/>
    <n v="103"/>
    <n v="61"/>
    <x v="2"/>
    <x v="3"/>
    <s v="Normal"/>
    <x v="2"/>
  </r>
  <r>
    <x v="60"/>
    <x v="0"/>
    <n v="220.29"/>
    <n v="23.65"/>
    <x v="0"/>
    <n v="222"/>
    <s v="140/87"/>
    <n v="9.3699999999999992"/>
    <x v="2"/>
    <x v="1"/>
    <x v="0"/>
    <n v="140"/>
    <n v="87"/>
    <x v="5"/>
    <x v="1"/>
    <s v="Boarderline"/>
    <x v="2"/>
  </r>
  <r>
    <x v="40"/>
    <x v="1"/>
    <n v="289.08999999999997"/>
    <n v="22.68"/>
    <x v="3"/>
    <n v="281"/>
    <s v="126/76"/>
    <n v="9.1"/>
    <x v="1"/>
    <x v="0"/>
    <x v="0"/>
    <n v="126"/>
    <n v="76"/>
    <x v="2"/>
    <x v="1"/>
    <s v="High"/>
    <x v="2"/>
  </r>
  <r>
    <x v="18"/>
    <x v="1"/>
    <n v="219.05"/>
    <n v="23.59"/>
    <x v="3"/>
    <n v="193"/>
    <s v="103/63"/>
    <n v="8.0500000000000007"/>
    <x v="4"/>
    <x v="1"/>
    <x v="1"/>
    <n v="103"/>
    <n v="63"/>
    <x v="4"/>
    <x v="1"/>
    <s v="Normal"/>
    <x v="2"/>
  </r>
  <r>
    <x v="43"/>
    <x v="1"/>
    <n v="258.64"/>
    <n v="27.39"/>
    <x v="2"/>
    <n v="126"/>
    <s v="132/88"/>
    <n v="9.6999999999999993"/>
    <x v="5"/>
    <x v="0"/>
    <x v="1"/>
    <n v="132"/>
    <n v="88"/>
    <x v="2"/>
    <x v="1"/>
    <s v="Normal"/>
    <x v="0"/>
  </r>
  <r>
    <x v="37"/>
    <x v="1"/>
    <n v="83.19"/>
    <n v="21.21"/>
    <x v="2"/>
    <n v="207"/>
    <s v="104/87"/>
    <n v="7.07"/>
    <x v="3"/>
    <x v="1"/>
    <x v="1"/>
    <n v="104"/>
    <n v="87"/>
    <x v="3"/>
    <x v="3"/>
    <s v="Boarderline"/>
    <x v="2"/>
  </r>
  <r>
    <x v="49"/>
    <x v="0"/>
    <n v="232.95"/>
    <n v="37.81"/>
    <x v="1"/>
    <n v="235"/>
    <s v="99/88"/>
    <n v="4.2699999999999996"/>
    <x v="4"/>
    <x v="1"/>
    <x v="0"/>
    <n v="99"/>
    <n v="88"/>
    <x v="4"/>
    <x v="0"/>
    <s v="Boarderline"/>
    <x v="1"/>
  </r>
  <r>
    <x v="35"/>
    <x v="1"/>
    <n v="216.54"/>
    <n v="22.79"/>
    <x v="2"/>
    <n v="110"/>
    <s v="105/62"/>
    <n v="7.94"/>
    <x v="4"/>
    <x v="0"/>
    <x v="0"/>
    <n v="105"/>
    <n v="62"/>
    <x v="1"/>
    <x v="1"/>
    <s v="Low"/>
    <x v="2"/>
  </r>
  <r>
    <x v="39"/>
    <x v="0"/>
    <n v="212.04"/>
    <n v="28.91"/>
    <x v="3"/>
    <n v="222"/>
    <s v="129/82"/>
    <n v="4.51"/>
    <x v="6"/>
    <x v="1"/>
    <x v="1"/>
    <n v="129"/>
    <n v="82"/>
    <x v="5"/>
    <x v="0"/>
    <s v="Boarderline"/>
    <x v="0"/>
  </r>
  <r>
    <x v="21"/>
    <x v="0"/>
    <n v="78.56"/>
    <n v="36.79"/>
    <x v="3"/>
    <n v="175"/>
    <s v="129/83"/>
    <n v="8.35"/>
    <x v="3"/>
    <x v="0"/>
    <x v="1"/>
    <n v="129"/>
    <n v="83"/>
    <x v="3"/>
    <x v="1"/>
    <s v="Normal"/>
    <x v="1"/>
  </r>
  <r>
    <x v="58"/>
    <x v="0"/>
    <n v="123.54"/>
    <n v="31.55"/>
    <x v="0"/>
    <n v="296"/>
    <s v="121/79"/>
    <n v="4.57"/>
    <x v="0"/>
    <x v="1"/>
    <x v="0"/>
    <n v="121"/>
    <n v="79"/>
    <x v="2"/>
    <x v="0"/>
    <s v="High"/>
    <x v="1"/>
  </r>
  <r>
    <x v="55"/>
    <x v="1"/>
    <n v="159.43"/>
    <n v="23.87"/>
    <x v="0"/>
    <n v="267"/>
    <s v="95/83"/>
    <n v="6.28"/>
    <x v="3"/>
    <x v="0"/>
    <x v="0"/>
    <n v="95"/>
    <n v="83"/>
    <x v="3"/>
    <x v="2"/>
    <s v="High"/>
    <x v="2"/>
  </r>
  <r>
    <x v="55"/>
    <x v="0"/>
    <n v="207.27"/>
    <n v="21.75"/>
    <x v="1"/>
    <n v="224"/>
    <s v="100/88"/>
    <n v="4.54"/>
    <x v="0"/>
    <x v="0"/>
    <x v="0"/>
    <n v="100"/>
    <n v="88"/>
    <x v="3"/>
    <x v="0"/>
    <s v="Boarderline"/>
    <x v="2"/>
  </r>
  <r>
    <x v="13"/>
    <x v="1"/>
    <n v="184.78"/>
    <n v="26.59"/>
    <x v="3"/>
    <n v="157"/>
    <s v="110/75"/>
    <n v="5.3"/>
    <x v="6"/>
    <x v="0"/>
    <x v="1"/>
    <n v="110"/>
    <n v="75"/>
    <x v="1"/>
    <x v="0"/>
    <s v="Normal"/>
    <x v="0"/>
  </r>
  <r>
    <x v="41"/>
    <x v="1"/>
    <n v="239.64"/>
    <n v="21.58"/>
    <x v="1"/>
    <n v="246"/>
    <s v="126/77"/>
    <n v="9.52"/>
    <x v="6"/>
    <x v="0"/>
    <x v="0"/>
    <n v="126"/>
    <n v="77"/>
    <x v="5"/>
    <x v="1"/>
    <s v="High"/>
    <x v="2"/>
  </r>
  <r>
    <x v="39"/>
    <x v="0"/>
    <n v="261.06"/>
    <n v="27.51"/>
    <x v="1"/>
    <n v="293"/>
    <s v="134/69"/>
    <n v="9.99"/>
    <x v="2"/>
    <x v="0"/>
    <x v="0"/>
    <n v="134"/>
    <n v="69"/>
    <x v="5"/>
    <x v="1"/>
    <s v="High"/>
    <x v="0"/>
  </r>
  <r>
    <x v="62"/>
    <x v="1"/>
    <n v="211.17"/>
    <n v="32.200000000000003"/>
    <x v="0"/>
    <n v="118"/>
    <s v="112/76"/>
    <n v="6.44"/>
    <x v="4"/>
    <x v="0"/>
    <x v="0"/>
    <n v="112"/>
    <n v="76"/>
    <x v="4"/>
    <x v="3"/>
    <s v="Low"/>
    <x v="1"/>
  </r>
  <r>
    <x v="34"/>
    <x v="1"/>
    <n v="113.86"/>
    <n v="29.17"/>
    <x v="3"/>
    <n v="184"/>
    <s v="124/74"/>
    <n v="7.63"/>
    <x v="6"/>
    <x v="0"/>
    <x v="0"/>
    <n v="124"/>
    <n v="74"/>
    <x v="5"/>
    <x v="1"/>
    <s v="Normal"/>
    <x v="0"/>
  </r>
  <r>
    <x v="22"/>
    <x v="0"/>
    <n v="230.61"/>
    <n v="33.729999999999997"/>
    <x v="1"/>
    <n v="239"/>
    <s v="108/72"/>
    <n v="5.38"/>
    <x v="0"/>
    <x v="0"/>
    <x v="0"/>
    <n v="108"/>
    <n v="72"/>
    <x v="5"/>
    <x v="0"/>
    <s v="Boarderline"/>
    <x v="1"/>
  </r>
  <r>
    <x v="52"/>
    <x v="1"/>
    <n v="238.49"/>
    <n v="26.37"/>
    <x v="3"/>
    <n v="175"/>
    <s v="116/83"/>
    <n v="4.08"/>
    <x v="5"/>
    <x v="0"/>
    <x v="1"/>
    <n v="116"/>
    <n v="83"/>
    <x v="3"/>
    <x v="0"/>
    <s v="Normal"/>
    <x v="0"/>
  </r>
  <r>
    <x v="11"/>
    <x v="1"/>
    <n v="246.88"/>
    <n v="19.46"/>
    <x v="1"/>
    <n v="295"/>
    <s v="120/85"/>
    <n v="9.64"/>
    <x v="1"/>
    <x v="1"/>
    <x v="0"/>
    <n v="120"/>
    <n v="85"/>
    <x v="1"/>
    <x v="1"/>
    <s v="High"/>
    <x v="2"/>
  </r>
  <r>
    <x v="51"/>
    <x v="0"/>
    <n v="186.93"/>
    <n v="22.89"/>
    <x v="2"/>
    <n v="227"/>
    <s v="110/64"/>
    <n v="4.5199999999999996"/>
    <x v="0"/>
    <x v="0"/>
    <x v="0"/>
    <n v="110"/>
    <n v="64"/>
    <x v="5"/>
    <x v="0"/>
    <s v="Boarderline"/>
    <x v="2"/>
  </r>
  <r>
    <x v="13"/>
    <x v="0"/>
    <n v="254.08"/>
    <n v="21"/>
    <x v="0"/>
    <n v="121"/>
    <s v="110/67"/>
    <n v="5.12"/>
    <x v="1"/>
    <x v="1"/>
    <x v="0"/>
    <n v="110"/>
    <n v="67"/>
    <x v="1"/>
    <x v="0"/>
    <s v="Normal"/>
    <x v="2"/>
  </r>
  <r>
    <x v="1"/>
    <x v="0"/>
    <n v="135.13999999999999"/>
    <n v="36.24"/>
    <x v="1"/>
    <n v="185"/>
    <s v="105/74"/>
    <n v="9.84"/>
    <x v="7"/>
    <x v="1"/>
    <x v="1"/>
    <n v="105"/>
    <n v="74"/>
    <x v="1"/>
    <x v="1"/>
    <s v="Normal"/>
    <x v="1"/>
  </r>
  <r>
    <x v="60"/>
    <x v="1"/>
    <n v="130.18"/>
    <n v="30.37"/>
    <x v="2"/>
    <n v="174"/>
    <s v="133/89"/>
    <n v="8.39"/>
    <x v="5"/>
    <x v="0"/>
    <x v="0"/>
    <n v="133"/>
    <n v="89"/>
    <x v="5"/>
    <x v="1"/>
    <s v="Normal"/>
    <x v="1"/>
  </r>
  <r>
    <x v="9"/>
    <x v="0"/>
    <n v="218.27"/>
    <n v="29.52"/>
    <x v="2"/>
    <n v="206"/>
    <s v="108/78"/>
    <n v="8.33"/>
    <x v="5"/>
    <x v="0"/>
    <x v="1"/>
    <n v="108"/>
    <n v="78"/>
    <x v="5"/>
    <x v="1"/>
    <s v="Boarderline"/>
    <x v="0"/>
  </r>
  <r>
    <x v="39"/>
    <x v="0"/>
    <n v="180.67"/>
    <n v="23.12"/>
    <x v="3"/>
    <n v="100"/>
    <s v="95/79"/>
    <n v="7.01"/>
    <x v="1"/>
    <x v="1"/>
    <x v="0"/>
    <n v="95"/>
    <n v="79"/>
    <x v="5"/>
    <x v="3"/>
    <s v="Low"/>
    <x v="2"/>
  </r>
  <r>
    <x v="16"/>
    <x v="1"/>
    <n v="108.65"/>
    <n v="35.44"/>
    <x v="0"/>
    <n v="130"/>
    <s v="108/71"/>
    <n v="9.0399999999999991"/>
    <x v="0"/>
    <x v="0"/>
    <x v="1"/>
    <n v="108"/>
    <n v="71"/>
    <x v="4"/>
    <x v="1"/>
    <s v="Normal"/>
    <x v="1"/>
  </r>
  <r>
    <x v="3"/>
    <x v="0"/>
    <n v="278.87"/>
    <n v="33.659999999999997"/>
    <x v="2"/>
    <n v="179"/>
    <s v="106/78"/>
    <n v="7.18"/>
    <x v="7"/>
    <x v="0"/>
    <x v="1"/>
    <n v="106"/>
    <n v="78"/>
    <x v="1"/>
    <x v="3"/>
    <s v="Normal"/>
    <x v="1"/>
  </r>
  <r>
    <x v="54"/>
    <x v="1"/>
    <n v="82.18"/>
    <n v="19.3"/>
    <x v="0"/>
    <n v="204"/>
    <s v="96/77"/>
    <n v="9.91"/>
    <x v="0"/>
    <x v="1"/>
    <x v="1"/>
    <n v="96"/>
    <n v="77"/>
    <x v="0"/>
    <x v="1"/>
    <s v="Boarderline"/>
    <x v="2"/>
  </r>
  <r>
    <x v="0"/>
    <x v="0"/>
    <n v="80.75"/>
    <n v="23.2"/>
    <x v="0"/>
    <n v="171"/>
    <s v="111/73"/>
    <n v="7.66"/>
    <x v="0"/>
    <x v="0"/>
    <x v="1"/>
    <n v="111"/>
    <n v="73"/>
    <x v="0"/>
    <x v="1"/>
    <s v="Normal"/>
    <x v="2"/>
  </r>
  <r>
    <x v="62"/>
    <x v="0"/>
    <n v="142.1"/>
    <n v="35.47"/>
    <x v="0"/>
    <n v="259"/>
    <s v="126/70"/>
    <n v="9.57"/>
    <x v="7"/>
    <x v="1"/>
    <x v="1"/>
    <n v="126"/>
    <n v="70"/>
    <x v="4"/>
    <x v="1"/>
    <s v="High"/>
    <x v="1"/>
  </r>
  <r>
    <x v="44"/>
    <x v="0"/>
    <n v="227.14"/>
    <n v="21.99"/>
    <x v="2"/>
    <n v="276"/>
    <s v="102/90"/>
    <n v="5.46"/>
    <x v="2"/>
    <x v="0"/>
    <x v="1"/>
    <n v="102"/>
    <n v="90"/>
    <x v="4"/>
    <x v="0"/>
    <s v="High"/>
    <x v="2"/>
  </r>
  <r>
    <x v="24"/>
    <x v="0"/>
    <n v="197.59"/>
    <n v="29"/>
    <x v="3"/>
    <n v="187"/>
    <s v="140/61"/>
    <n v="6.61"/>
    <x v="5"/>
    <x v="1"/>
    <x v="0"/>
    <n v="140"/>
    <n v="61"/>
    <x v="4"/>
    <x v="3"/>
    <s v="Normal"/>
    <x v="0"/>
  </r>
  <r>
    <x v="50"/>
    <x v="0"/>
    <n v="136.35"/>
    <n v="24.21"/>
    <x v="1"/>
    <n v="149"/>
    <s v="105/88"/>
    <n v="4.53"/>
    <x v="3"/>
    <x v="0"/>
    <x v="1"/>
    <n v="105"/>
    <n v="88"/>
    <x v="2"/>
    <x v="0"/>
    <s v="Normal"/>
    <x v="2"/>
  </r>
  <r>
    <x v="14"/>
    <x v="1"/>
    <n v="168.5"/>
    <n v="26.48"/>
    <x v="2"/>
    <n v="103"/>
    <s v="95/88"/>
    <n v="4.8"/>
    <x v="6"/>
    <x v="1"/>
    <x v="0"/>
    <n v="95"/>
    <n v="88"/>
    <x v="3"/>
    <x v="0"/>
    <s v="Low"/>
    <x v="0"/>
  </r>
  <r>
    <x v="5"/>
    <x v="1"/>
    <n v="253.7"/>
    <n v="25.2"/>
    <x v="0"/>
    <n v="295"/>
    <s v="121/70"/>
    <n v="4.57"/>
    <x v="2"/>
    <x v="0"/>
    <x v="1"/>
    <n v="121"/>
    <n v="70"/>
    <x v="3"/>
    <x v="0"/>
    <s v="High"/>
    <x v="0"/>
  </r>
  <r>
    <x v="49"/>
    <x v="0"/>
    <n v="176.82"/>
    <n v="21.78"/>
    <x v="1"/>
    <n v="146"/>
    <s v="104/79"/>
    <n v="9.48"/>
    <x v="4"/>
    <x v="0"/>
    <x v="0"/>
    <n v="104"/>
    <n v="79"/>
    <x v="4"/>
    <x v="1"/>
    <s v="Normal"/>
    <x v="2"/>
  </r>
  <r>
    <x v="17"/>
    <x v="0"/>
    <n v="79.099999999999994"/>
    <n v="28.77"/>
    <x v="2"/>
    <n v="265"/>
    <s v="122/68"/>
    <n v="9.9"/>
    <x v="0"/>
    <x v="1"/>
    <x v="1"/>
    <n v="122"/>
    <n v="68"/>
    <x v="0"/>
    <x v="1"/>
    <s v="High"/>
    <x v="0"/>
  </r>
  <r>
    <x v="33"/>
    <x v="1"/>
    <n v="225.29"/>
    <n v="30.33"/>
    <x v="2"/>
    <n v="243"/>
    <s v="111/77"/>
    <n v="7.02"/>
    <x v="4"/>
    <x v="0"/>
    <x v="1"/>
    <n v="111"/>
    <n v="77"/>
    <x v="5"/>
    <x v="3"/>
    <s v="High"/>
    <x v="1"/>
  </r>
  <r>
    <x v="53"/>
    <x v="1"/>
    <n v="201.41"/>
    <n v="28.21"/>
    <x v="1"/>
    <n v="132"/>
    <s v="110/74"/>
    <n v="9.5500000000000007"/>
    <x v="0"/>
    <x v="1"/>
    <x v="1"/>
    <n v="110"/>
    <n v="74"/>
    <x v="5"/>
    <x v="1"/>
    <s v="Normal"/>
    <x v="0"/>
  </r>
  <r>
    <x v="13"/>
    <x v="1"/>
    <n v="230.36"/>
    <n v="18.940000000000001"/>
    <x v="3"/>
    <n v="223"/>
    <s v="134/83"/>
    <n v="5.78"/>
    <x v="1"/>
    <x v="0"/>
    <x v="0"/>
    <n v="134"/>
    <n v="83"/>
    <x v="1"/>
    <x v="2"/>
    <s v="Boarderline"/>
    <x v="2"/>
  </r>
  <r>
    <x v="46"/>
    <x v="0"/>
    <n v="108.96"/>
    <n v="30"/>
    <x v="1"/>
    <n v="128"/>
    <s v="91/64"/>
    <n v="6.96"/>
    <x v="6"/>
    <x v="0"/>
    <x v="1"/>
    <n v="91"/>
    <n v="64"/>
    <x v="0"/>
    <x v="3"/>
    <s v="Normal"/>
    <x v="1"/>
  </r>
  <r>
    <x v="39"/>
    <x v="0"/>
    <n v="121.7"/>
    <n v="19.809999999999999"/>
    <x v="3"/>
    <n v="102"/>
    <s v="119/60"/>
    <n v="9.26"/>
    <x v="2"/>
    <x v="1"/>
    <x v="1"/>
    <n v="119"/>
    <n v="60"/>
    <x v="5"/>
    <x v="1"/>
    <s v="Low"/>
    <x v="2"/>
  </r>
  <r>
    <x v="28"/>
    <x v="1"/>
    <n v="275.54000000000002"/>
    <n v="29.32"/>
    <x v="0"/>
    <n v="251"/>
    <s v="94/82"/>
    <n v="4.71"/>
    <x v="0"/>
    <x v="1"/>
    <x v="0"/>
    <n v="94"/>
    <n v="82"/>
    <x v="3"/>
    <x v="0"/>
    <s v="High"/>
    <x v="0"/>
  </r>
  <r>
    <x v="57"/>
    <x v="0"/>
    <n v="199.34"/>
    <n v="22.84"/>
    <x v="1"/>
    <n v="207"/>
    <s v="116/72"/>
    <n v="5.62"/>
    <x v="0"/>
    <x v="0"/>
    <x v="0"/>
    <n v="116"/>
    <n v="72"/>
    <x v="3"/>
    <x v="0"/>
    <s v="Boarderline"/>
    <x v="2"/>
  </r>
  <r>
    <x v="36"/>
    <x v="1"/>
    <n v="281.94"/>
    <n v="36.06"/>
    <x v="3"/>
    <n v="274"/>
    <s v="105/85"/>
    <n v="4.08"/>
    <x v="1"/>
    <x v="0"/>
    <x v="1"/>
    <n v="105"/>
    <n v="85"/>
    <x v="0"/>
    <x v="0"/>
    <s v="High"/>
    <x v="1"/>
  </r>
  <r>
    <x v="6"/>
    <x v="1"/>
    <n v="112.47"/>
    <n v="39.43"/>
    <x v="2"/>
    <n v="189"/>
    <s v="121/80"/>
    <n v="7.48"/>
    <x v="1"/>
    <x v="0"/>
    <x v="0"/>
    <n v="121"/>
    <n v="80"/>
    <x v="3"/>
    <x v="3"/>
    <s v="Normal"/>
    <x v="1"/>
  </r>
  <r>
    <x v="11"/>
    <x v="0"/>
    <n v="199.89"/>
    <n v="27.79"/>
    <x v="3"/>
    <n v="298"/>
    <s v="116/67"/>
    <n v="8.01"/>
    <x v="4"/>
    <x v="1"/>
    <x v="0"/>
    <n v="116"/>
    <n v="67"/>
    <x v="1"/>
    <x v="1"/>
    <s v="High"/>
    <x v="0"/>
  </r>
  <r>
    <x v="51"/>
    <x v="0"/>
    <n v="223.13"/>
    <n v="32.409999999999997"/>
    <x v="0"/>
    <n v="173"/>
    <s v="108/80"/>
    <n v="7.56"/>
    <x v="4"/>
    <x v="1"/>
    <x v="1"/>
    <n v="108"/>
    <n v="80"/>
    <x v="5"/>
    <x v="1"/>
    <s v="Normal"/>
    <x v="1"/>
  </r>
  <r>
    <x v="62"/>
    <x v="0"/>
    <n v="186.73"/>
    <n v="23.68"/>
    <x v="2"/>
    <n v="100"/>
    <s v="127/85"/>
    <n v="5.3"/>
    <x v="4"/>
    <x v="0"/>
    <x v="0"/>
    <n v="127"/>
    <n v="85"/>
    <x v="4"/>
    <x v="0"/>
    <s v="Low"/>
    <x v="2"/>
  </r>
  <r>
    <x v="25"/>
    <x v="0"/>
    <n v="162.4"/>
    <n v="37.01"/>
    <x v="2"/>
    <n v="210"/>
    <s v="127/70"/>
    <n v="8.18"/>
    <x v="2"/>
    <x v="0"/>
    <x v="1"/>
    <n v="127"/>
    <n v="70"/>
    <x v="1"/>
    <x v="1"/>
    <s v="Boarderline"/>
    <x v="1"/>
  </r>
  <r>
    <x v="12"/>
    <x v="1"/>
    <n v="271.45999999999998"/>
    <n v="33.07"/>
    <x v="1"/>
    <n v="186"/>
    <s v="92/64"/>
    <n v="7.7"/>
    <x v="1"/>
    <x v="1"/>
    <x v="0"/>
    <n v="92"/>
    <n v="64"/>
    <x v="1"/>
    <x v="1"/>
    <s v="Normal"/>
    <x v="1"/>
  </r>
  <r>
    <x v="42"/>
    <x v="0"/>
    <n v="70.56"/>
    <n v="19.670000000000002"/>
    <x v="2"/>
    <n v="148"/>
    <s v="105/87"/>
    <n v="5.05"/>
    <x v="3"/>
    <x v="1"/>
    <x v="0"/>
    <n v="105"/>
    <n v="87"/>
    <x v="3"/>
    <x v="0"/>
    <s v="Normal"/>
    <x v="2"/>
  </r>
  <r>
    <x v="42"/>
    <x v="0"/>
    <n v="277.38"/>
    <n v="29.36"/>
    <x v="1"/>
    <n v="166"/>
    <s v="92/78"/>
    <n v="8.65"/>
    <x v="6"/>
    <x v="0"/>
    <x v="0"/>
    <n v="92"/>
    <n v="78"/>
    <x v="3"/>
    <x v="1"/>
    <s v="Normal"/>
    <x v="0"/>
  </r>
  <r>
    <x v="56"/>
    <x v="1"/>
    <n v="273.82"/>
    <n v="20.73"/>
    <x v="2"/>
    <n v="269"/>
    <s v="98/67"/>
    <n v="9.42"/>
    <x v="6"/>
    <x v="1"/>
    <x v="0"/>
    <n v="98"/>
    <n v="67"/>
    <x v="5"/>
    <x v="1"/>
    <s v="High"/>
    <x v="2"/>
  </r>
  <r>
    <x v="34"/>
    <x v="0"/>
    <n v="294.33999999999997"/>
    <n v="25.25"/>
    <x v="1"/>
    <n v="276"/>
    <s v="109/88"/>
    <n v="7.35"/>
    <x v="2"/>
    <x v="1"/>
    <x v="1"/>
    <n v="109"/>
    <n v="88"/>
    <x v="5"/>
    <x v="3"/>
    <s v="High"/>
    <x v="0"/>
  </r>
  <r>
    <x v="35"/>
    <x v="0"/>
    <n v="188.46"/>
    <n v="35.51"/>
    <x v="3"/>
    <n v="259"/>
    <s v="128/68"/>
    <n v="7.84"/>
    <x v="6"/>
    <x v="0"/>
    <x v="1"/>
    <n v="128"/>
    <n v="68"/>
    <x v="1"/>
    <x v="1"/>
    <s v="High"/>
    <x v="1"/>
  </r>
  <r>
    <x v="52"/>
    <x v="0"/>
    <n v="154.75"/>
    <n v="31.79"/>
    <x v="3"/>
    <n v="292"/>
    <s v="93/88"/>
    <n v="8.82"/>
    <x v="0"/>
    <x v="1"/>
    <x v="0"/>
    <n v="93"/>
    <n v="88"/>
    <x v="3"/>
    <x v="1"/>
    <s v="High"/>
    <x v="1"/>
  </r>
  <r>
    <x v="17"/>
    <x v="1"/>
    <n v="232.7"/>
    <n v="26.61"/>
    <x v="0"/>
    <n v="274"/>
    <s v="132/85"/>
    <n v="5.22"/>
    <x v="1"/>
    <x v="0"/>
    <x v="0"/>
    <n v="132"/>
    <n v="85"/>
    <x v="0"/>
    <x v="0"/>
    <s v="High"/>
    <x v="0"/>
  </r>
  <r>
    <x v="41"/>
    <x v="1"/>
    <n v="74.17"/>
    <n v="18.28"/>
    <x v="3"/>
    <n v="300"/>
    <s v="105/80"/>
    <n v="8.1999999999999993"/>
    <x v="5"/>
    <x v="1"/>
    <x v="1"/>
    <n v="105"/>
    <n v="80"/>
    <x v="5"/>
    <x v="1"/>
    <s v="High"/>
    <x v="3"/>
  </r>
  <r>
    <x v="43"/>
    <x v="0"/>
    <n v="191.57"/>
    <n v="25.13"/>
    <x v="3"/>
    <n v="248"/>
    <s v="133/87"/>
    <n v="6.99"/>
    <x v="4"/>
    <x v="0"/>
    <x v="0"/>
    <n v="133"/>
    <n v="87"/>
    <x v="2"/>
    <x v="3"/>
    <s v="High"/>
    <x v="0"/>
  </r>
  <r>
    <x v="35"/>
    <x v="0"/>
    <n v="104.13"/>
    <n v="26.33"/>
    <x v="0"/>
    <n v="290"/>
    <s v="123/62"/>
    <n v="6.87"/>
    <x v="6"/>
    <x v="0"/>
    <x v="0"/>
    <n v="123"/>
    <n v="62"/>
    <x v="1"/>
    <x v="3"/>
    <s v="High"/>
    <x v="0"/>
  </r>
  <r>
    <x v="30"/>
    <x v="0"/>
    <n v="120.54"/>
    <n v="31.65"/>
    <x v="3"/>
    <n v="107"/>
    <s v="137/86"/>
    <n v="7.24"/>
    <x v="3"/>
    <x v="1"/>
    <x v="0"/>
    <n v="137"/>
    <n v="86"/>
    <x v="3"/>
    <x v="3"/>
    <s v="Low"/>
    <x v="1"/>
  </r>
  <r>
    <x v="36"/>
    <x v="0"/>
    <n v="111.68"/>
    <n v="22.26"/>
    <x v="0"/>
    <n v="291"/>
    <s v="119/80"/>
    <n v="8.01"/>
    <x v="6"/>
    <x v="0"/>
    <x v="1"/>
    <n v="119"/>
    <n v="80"/>
    <x v="0"/>
    <x v="1"/>
    <s v="High"/>
    <x v="2"/>
  </r>
  <r>
    <x v="47"/>
    <x v="1"/>
    <n v="286.39"/>
    <n v="32.46"/>
    <x v="0"/>
    <n v="182"/>
    <s v="117/79"/>
    <n v="7.62"/>
    <x v="2"/>
    <x v="0"/>
    <x v="1"/>
    <n v="117"/>
    <n v="79"/>
    <x v="3"/>
    <x v="1"/>
    <s v="Normal"/>
    <x v="1"/>
  </r>
  <r>
    <x v="41"/>
    <x v="1"/>
    <n v="95.46"/>
    <n v="18.61"/>
    <x v="1"/>
    <n v="293"/>
    <s v="123/86"/>
    <n v="6.43"/>
    <x v="3"/>
    <x v="1"/>
    <x v="1"/>
    <n v="123"/>
    <n v="86"/>
    <x v="5"/>
    <x v="3"/>
    <s v="High"/>
    <x v="2"/>
  </r>
  <r>
    <x v="22"/>
    <x v="1"/>
    <n v="83.45"/>
    <n v="37.75"/>
    <x v="3"/>
    <n v="260"/>
    <s v="90/85"/>
    <n v="5.45"/>
    <x v="6"/>
    <x v="1"/>
    <x v="0"/>
    <n v="90"/>
    <n v="85"/>
    <x v="5"/>
    <x v="0"/>
    <s v="High"/>
    <x v="1"/>
  </r>
  <r>
    <x v="34"/>
    <x v="0"/>
    <n v="155.26"/>
    <n v="19.95"/>
    <x v="0"/>
    <n v="275"/>
    <s v="117/72"/>
    <n v="4.46"/>
    <x v="1"/>
    <x v="1"/>
    <x v="0"/>
    <n v="117"/>
    <n v="72"/>
    <x v="5"/>
    <x v="0"/>
    <s v="High"/>
    <x v="2"/>
  </r>
  <r>
    <x v="54"/>
    <x v="1"/>
    <n v="284.88"/>
    <n v="26.27"/>
    <x v="0"/>
    <n v="296"/>
    <s v="95/87"/>
    <n v="4.76"/>
    <x v="0"/>
    <x v="0"/>
    <x v="0"/>
    <n v="95"/>
    <n v="87"/>
    <x v="0"/>
    <x v="0"/>
    <s v="High"/>
    <x v="0"/>
  </r>
  <r>
    <x v="14"/>
    <x v="1"/>
    <n v="109.75"/>
    <n v="38.53"/>
    <x v="3"/>
    <n v="173"/>
    <s v="139/66"/>
    <n v="9.76"/>
    <x v="1"/>
    <x v="1"/>
    <x v="1"/>
    <n v="139"/>
    <n v="66"/>
    <x v="3"/>
    <x v="1"/>
    <s v="Normal"/>
    <x v="1"/>
  </r>
  <r>
    <x v="30"/>
    <x v="1"/>
    <n v="131.31"/>
    <n v="36.32"/>
    <x v="0"/>
    <n v="175"/>
    <s v="95/83"/>
    <n v="7.35"/>
    <x v="5"/>
    <x v="1"/>
    <x v="1"/>
    <n v="95"/>
    <n v="83"/>
    <x v="3"/>
    <x v="3"/>
    <s v="Normal"/>
    <x v="1"/>
  </r>
  <r>
    <x v="34"/>
    <x v="0"/>
    <n v="217.82"/>
    <n v="38.08"/>
    <x v="1"/>
    <n v="240"/>
    <s v="93/73"/>
    <n v="8.7100000000000009"/>
    <x v="1"/>
    <x v="0"/>
    <x v="1"/>
    <n v="93"/>
    <n v="73"/>
    <x v="5"/>
    <x v="1"/>
    <s v="Boarderline"/>
    <x v="1"/>
  </r>
  <r>
    <x v="8"/>
    <x v="0"/>
    <n v="97.76"/>
    <n v="28.17"/>
    <x v="2"/>
    <n v="183"/>
    <s v="110/61"/>
    <n v="5.86"/>
    <x v="5"/>
    <x v="1"/>
    <x v="1"/>
    <n v="110"/>
    <n v="61"/>
    <x v="4"/>
    <x v="2"/>
    <s v="Normal"/>
    <x v="0"/>
  </r>
  <r>
    <x v="26"/>
    <x v="0"/>
    <n v="217.5"/>
    <n v="38.39"/>
    <x v="1"/>
    <n v="154"/>
    <s v="132/79"/>
    <n v="5.51"/>
    <x v="7"/>
    <x v="0"/>
    <x v="1"/>
    <n v="132"/>
    <n v="79"/>
    <x v="2"/>
    <x v="0"/>
    <s v="Normal"/>
    <x v="1"/>
  </r>
  <r>
    <x v="29"/>
    <x v="1"/>
    <n v="193.1"/>
    <n v="22.93"/>
    <x v="1"/>
    <n v="120"/>
    <s v="126/68"/>
    <n v="6.23"/>
    <x v="0"/>
    <x v="0"/>
    <x v="1"/>
    <n v="126"/>
    <n v="68"/>
    <x v="1"/>
    <x v="2"/>
    <s v="Normal"/>
    <x v="2"/>
  </r>
  <r>
    <x v="13"/>
    <x v="0"/>
    <n v="260.56"/>
    <n v="29.56"/>
    <x v="1"/>
    <n v="127"/>
    <s v="139/80"/>
    <n v="8.48"/>
    <x v="2"/>
    <x v="0"/>
    <x v="0"/>
    <n v="139"/>
    <n v="80"/>
    <x v="1"/>
    <x v="1"/>
    <s v="Normal"/>
    <x v="0"/>
  </r>
  <r>
    <x v="25"/>
    <x v="1"/>
    <n v="200.27"/>
    <n v="26.96"/>
    <x v="2"/>
    <n v="218"/>
    <s v="124/82"/>
    <n v="6.15"/>
    <x v="0"/>
    <x v="1"/>
    <x v="1"/>
    <n v="124"/>
    <n v="82"/>
    <x v="1"/>
    <x v="2"/>
    <s v="Boarderline"/>
    <x v="0"/>
  </r>
  <r>
    <x v="39"/>
    <x v="0"/>
    <n v="260.02999999999997"/>
    <n v="29.37"/>
    <x v="3"/>
    <n v="224"/>
    <s v="112/89"/>
    <n v="8.25"/>
    <x v="6"/>
    <x v="1"/>
    <x v="1"/>
    <n v="112"/>
    <n v="89"/>
    <x v="5"/>
    <x v="1"/>
    <s v="Boarderline"/>
    <x v="0"/>
  </r>
  <r>
    <x v="33"/>
    <x v="1"/>
    <n v="238.64"/>
    <n v="24.01"/>
    <x v="0"/>
    <n v="296"/>
    <s v="90/71"/>
    <n v="4.7300000000000004"/>
    <x v="0"/>
    <x v="0"/>
    <x v="1"/>
    <n v="90"/>
    <n v="71"/>
    <x v="5"/>
    <x v="0"/>
    <s v="High"/>
    <x v="2"/>
  </r>
  <r>
    <x v="27"/>
    <x v="0"/>
    <n v="83.6"/>
    <n v="35.72"/>
    <x v="3"/>
    <n v="262"/>
    <s v="119/86"/>
    <n v="9.99"/>
    <x v="2"/>
    <x v="1"/>
    <x v="0"/>
    <n v="119"/>
    <n v="86"/>
    <x v="4"/>
    <x v="1"/>
    <s v="High"/>
    <x v="1"/>
  </r>
  <r>
    <x v="59"/>
    <x v="0"/>
    <n v="153.4"/>
    <n v="35.090000000000003"/>
    <x v="2"/>
    <n v="267"/>
    <s v="103/85"/>
    <n v="4.95"/>
    <x v="2"/>
    <x v="0"/>
    <x v="1"/>
    <n v="103"/>
    <n v="85"/>
    <x v="1"/>
    <x v="0"/>
    <s v="High"/>
    <x v="1"/>
  </r>
  <r>
    <x v="38"/>
    <x v="0"/>
    <n v="175.65"/>
    <n v="26.05"/>
    <x v="3"/>
    <n v="127"/>
    <s v="120/65"/>
    <n v="6.85"/>
    <x v="4"/>
    <x v="0"/>
    <x v="1"/>
    <n v="120"/>
    <n v="65"/>
    <x v="4"/>
    <x v="3"/>
    <s v="Normal"/>
    <x v="0"/>
  </r>
  <r>
    <x v="24"/>
    <x v="1"/>
    <n v="244.32"/>
    <n v="30.63"/>
    <x v="1"/>
    <n v="141"/>
    <s v="92/77"/>
    <n v="6.49"/>
    <x v="1"/>
    <x v="1"/>
    <x v="0"/>
    <n v="92"/>
    <n v="77"/>
    <x v="4"/>
    <x v="3"/>
    <s v="Normal"/>
    <x v="1"/>
  </r>
  <r>
    <x v="43"/>
    <x v="1"/>
    <n v="189.45"/>
    <n v="27.48"/>
    <x v="0"/>
    <n v="281"/>
    <s v="111/74"/>
    <n v="9.42"/>
    <x v="6"/>
    <x v="1"/>
    <x v="1"/>
    <n v="111"/>
    <n v="74"/>
    <x v="2"/>
    <x v="1"/>
    <s v="High"/>
    <x v="0"/>
  </r>
  <r>
    <x v="13"/>
    <x v="0"/>
    <n v="70.7"/>
    <n v="20.49"/>
    <x v="3"/>
    <n v="115"/>
    <s v="114/61"/>
    <n v="8.3000000000000007"/>
    <x v="3"/>
    <x v="0"/>
    <x v="1"/>
    <n v="114"/>
    <n v="61"/>
    <x v="1"/>
    <x v="1"/>
    <s v="Low"/>
    <x v="2"/>
  </r>
  <r>
    <x v="29"/>
    <x v="0"/>
    <n v="219.29"/>
    <n v="22.97"/>
    <x v="3"/>
    <n v="180"/>
    <s v="134/70"/>
    <n v="9.59"/>
    <x v="0"/>
    <x v="0"/>
    <x v="0"/>
    <n v="134"/>
    <n v="70"/>
    <x v="1"/>
    <x v="1"/>
    <s v="Normal"/>
    <x v="2"/>
  </r>
  <r>
    <x v="22"/>
    <x v="0"/>
    <n v="297.89999999999998"/>
    <n v="33.9"/>
    <x v="3"/>
    <n v="215"/>
    <s v="102/89"/>
    <n v="4.03"/>
    <x v="5"/>
    <x v="1"/>
    <x v="1"/>
    <n v="102"/>
    <n v="89"/>
    <x v="5"/>
    <x v="0"/>
    <s v="Boarderline"/>
    <x v="1"/>
  </r>
  <r>
    <x v="12"/>
    <x v="1"/>
    <n v="157"/>
    <n v="25.32"/>
    <x v="1"/>
    <n v="204"/>
    <s v="122/66"/>
    <n v="9.43"/>
    <x v="4"/>
    <x v="0"/>
    <x v="0"/>
    <n v="122"/>
    <n v="66"/>
    <x v="1"/>
    <x v="1"/>
    <s v="Boarderline"/>
    <x v="0"/>
  </r>
  <r>
    <x v="17"/>
    <x v="0"/>
    <n v="150.12"/>
    <n v="24.59"/>
    <x v="3"/>
    <n v="246"/>
    <s v="97/64"/>
    <n v="7.87"/>
    <x v="1"/>
    <x v="1"/>
    <x v="1"/>
    <n v="97"/>
    <n v="64"/>
    <x v="0"/>
    <x v="1"/>
    <s v="High"/>
    <x v="2"/>
  </r>
  <r>
    <x v="4"/>
    <x v="0"/>
    <n v="75.069999999999993"/>
    <n v="23.54"/>
    <x v="3"/>
    <n v="229"/>
    <s v="126/66"/>
    <n v="4.16"/>
    <x v="3"/>
    <x v="0"/>
    <x v="1"/>
    <n v="126"/>
    <n v="66"/>
    <x v="0"/>
    <x v="0"/>
    <s v="Boarderline"/>
    <x v="2"/>
  </r>
  <r>
    <x v="49"/>
    <x v="1"/>
    <n v="176.85"/>
    <n v="32.909999999999997"/>
    <x v="1"/>
    <n v="231"/>
    <s v="102/65"/>
    <n v="7.95"/>
    <x v="4"/>
    <x v="1"/>
    <x v="1"/>
    <n v="102"/>
    <n v="65"/>
    <x v="4"/>
    <x v="1"/>
    <s v="Boarderline"/>
    <x v="1"/>
  </r>
  <r>
    <x v="47"/>
    <x v="0"/>
    <n v="106.55"/>
    <n v="31.33"/>
    <x v="0"/>
    <n v="292"/>
    <s v="126/61"/>
    <n v="6.85"/>
    <x v="7"/>
    <x v="0"/>
    <x v="1"/>
    <n v="126"/>
    <n v="61"/>
    <x v="3"/>
    <x v="3"/>
    <s v="High"/>
    <x v="1"/>
  </r>
  <r>
    <x v="45"/>
    <x v="1"/>
    <n v="228.35"/>
    <n v="30.47"/>
    <x v="1"/>
    <n v="116"/>
    <s v="113/69"/>
    <n v="8.7799999999999994"/>
    <x v="5"/>
    <x v="1"/>
    <x v="1"/>
    <n v="113"/>
    <n v="69"/>
    <x v="4"/>
    <x v="1"/>
    <s v="Low"/>
    <x v="1"/>
  </r>
  <r>
    <x v="6"/>
    <x v="1"/>
    <n v="227.67"/>
    <n v="39.770000000000003"/>
    <x v="3"/>
    <n v="145"/>
    <s v="138/90"/>
    <n v="8.74"/>
    <x v="0"/>
    <x v="1"/>
    <x v="1"/>
    <n v="138"/>
    <n v="90"/>
    <x v="3"/>
    <x v="1"/>
    <s v="Normal"/>
    <x v="1"/>
  </r>
  <r>
    <x v="20"/>
    <x v="1"/>
    <n v="258.08"/>
    <n v="24.51"/>
    <x v="2"/>
    <n v="188"/>
    <s v="110/60"/>
    <n v="4.1399999999999997"/>
    <x v="4"/>
    <x v="0"/>
    <x v="1"/>
    <n v="110"/>
    <n v="60"/>
    <x v="0"/>
    <x v="0"/>
    <s v="Normal"/>
    <x v="2"/>
  </r>
  <r>
    <x v="36"/>
    <x v="0"/>
    <n v="139.43"/>
    <n v="19.5"/>
    <x v="1"/>
    <n v="219"/>
    <s v="102/72"/>
    <n v="7.26"/>
    <x v="0"/>
    <x v="0"/>
    <x v="1"/>
    <n v="102"/>
    <n v="72"/>
    <x v="0"/>
    <x v="3"/>
    <s v="Boarderline"/>
    <x v="2"/>
  </r>
  <r>
    <x v="52"/>
    <x v="0"/>
    <n v="297.67"/>
    <n v="32.659999999999997"/>
    <x v="1"/>
    <n v="223"/>
    <s v="118/84"/>
    <n v="9.23"/>
    <x v="7"/>
    <x v="1"/>
    <x v="1"/>
    <n v="118"/>
    <n v="84"/>
    <x v="3"/>
    <x v="1"/>
    <s v="Boarderline"/>
    <x v="1"/>
  </r>
  <r>
    <x v="4"/>
    <x v="1"/>
    <n v="99.1"/>
    <n v="25.57"/>
    <x v="0"/>
    <n v="127"/>
    <s v="131/63"/>
    <n v="9.51"/>
    <x v="4"/>
    <x v="1"/>
    <x v="0"/>
    <n v="131"/>
    <n v="63"/>
    <x v="0"/>
    <x v="1"/>
    <s v="Normal"/>
    <x v="0"/>
  </r>
  <r>
    <x v="48"/>
    <x v="1"/>
    <n v="242.58"/>
    <n v="20.420000000000002"/>
    <x v="3"/>
    <n v="186"/>
    <s v="92/85"/>
    <n v="4.17"/>
    <x v="7"/>
    <x v="1"/>
    <x v="1"/>
    <n v="92"/>
    <n v="85"/>
    <x v="1"/>
    <x v="0"/>
    <s v="Normal"/>
    <x v="2"/>
  </r>
  <r>
    <x v="9"/>
    <x v="1"/>
    <n v="171.5"/>
    <n v="39.49"/>
    <x v="3"/>
    <n v="241"/>
    <s v="123/82"/>
    <n v="9.7200000000000006"/>
    <x v="1"/>
    <x v="0"/>
    <x v="1"/>
    <n v="123"/>
    <n v="82"/>
    <x v="5"/>
    <x v="1"/>
    <s v="High"/>
    <x v="1"/>
  </r>
  <r>
    <x v="56"/>
    <x v="1"/>
    <n v="103.21"/>
    <n v="19.66"/>
    <x v="0"/>
    <n v="128"/>
    <s v="106/62"/>
    <n v="7.67"/>
    <x v="1"/>
    <x v="1"/>
    <x v="0"/>
    <n v="106"/>
    <n v="62"/>
    <x v="5"/>
    <x v="1"/>
    <s v="Normal"/>
    <x v="2"/>
  </r>
  <r>
    <x v="27"/>
    <x v="1"/>
    <n v="133.02000000000001"/>
    <n v="23.02"/>
    <x v="3"/>
    <n v="161"/>
    <s v="137/75"/>
    <n v="6.71"/>
    <x v="3"/>
    <x v="1"/>
    <x v="0"/>
    <n v="137"/>
    <n v="75"/>
    <x v="4"/>
    <x v="3"/>
    <s v="Normal"/>
    <x v="2"/>
  </r>
  <r>
    <x v="10"/>
    <x v="1"/>
    <n v="87.66"/>
    <n v="29.69"/>
    <x v="1"/>
    <n v="244"/>
    <s v="120/78"/>
    <n v="6.59"/>
    <x v="3"/>
    <x v="0"/>
    <x v="0"/>
    <n v="120"/>
    <n v="78"/>
    <x v="0"/>
    <x v="3"/>
    <s v="High"/>
    <x v="0"/>
  </r>
  <r>
    <x v="42"/>
    <x v="1"/>
    <n v="219.1"/>
    <n v="18.440000000000001"/>
    <x v="1"/>
    <n v="247"/>
    <s v="109/72"/>
    <n v="8.31"/>
    <x v="7"/>
    <x v="1"/>
    <x v="1"/>
    <n v="109"/>
    <n v="72"/>
    <x v="3"/>
    <x v="1"/>
    <s v="High"/>
    <x v="3"/>
  </r>
  <r>
    <x v="37"/>
    <x v="1"/>
    <n v="187.29"/>
    <n v="29.03"/>
    <x v="3"/>
    <n v="276"/>
    <s v="126/65"/>
    <n v="4.47"/>
    <x v="4"/>
    <x v="1"/>
    <x v="1"/>
    <n v="126"/>
    <n v="65"/>
    <x v="3"/>
    <x v="0"/>
    <s v="High"/>
    <x v="0"/>
  </r>
  <r>
    <x v="4"/>
    <x v="0"/>
    <n v="172.75"/>
    <n v="39.4"/>
    <x v="3"/>
    <n v="125"/>
    <s v="91/65"/>
    <n v="7.29"/>
    <x v="0"/>
    <x v="0"/>
    <x v="1"/>
    <n v="91"/>
    <n v="65"/>
    <x v="0"/>
    <x v="3"/>
    <s v="Normal"/>
    <x v="1"/>
  </r>
  <r>
    <x v="55"/>
    <x v="0"/>
    <n v="81.489999999999995"/>
    <n v="38.64"/>
    <x v="0"/>
    <n v="149"/>
    <s v="136/74"/>
    <n v="5.41"/>
    <x v="0"/>
    <x v="1"/>
    <x v="0"/>
    <n v="136"/>
    <n v="74"/>
    <x v="3"/>
    <x v="0"/>
    <s v="Normal"/>
    <x v="1"/>
  </r>
  <r>
    <x v="37"/>
    <x v="1"/>
    <n v="267.62"/>
    <n v="34.18"/>
    <x v="3"/>
    <n v="121"/>
    <s v="103/85"/>
    <n v="8.08"/>
    <x v="1"/>
    <x v="0"/>
    <x v="1"/>
    <n v="103"/>
    <n v="85"/>
    <x v="3"/>
    <x v="1"/>
    <s v="Normal"/>
    <x v="1"/>
  </r>
  <r>
    <x v="29"/>
    <x v="0"/>
    <n v="116.68"/>
    <n v="39.42"/>
    <x v="2"/>
    <n v="220"/>
    <s v="130/67"/>
    <n v="4.99"/>
    <x v="5"/>
    <x v="0"/>
    <x v="1"/>
    <n v="130"/>
    <n v="67"/>
    <x v="1"/>
    <x v="0"/>
    <s v="Boarderline"/>
    <x v="1"/>
  </r>
  <r>
    <x v="8"/>
    <x v="1"/>
    <n v="239.02"/>
    <n v="25.02"/>
    <x v="0"/>
    <n v="244"/>
    <s v="101/72"/>
    <n v="8.32"/>
    <x v="7"/>
    <x v="0"/>
    <x v="0"/>
    <n v="101"/>
    <n v="72"/>
    <x v="4"/>
    <x v="1"/>
    <s v="High"/>
    <x v="0"/>
  </r>
  <r>
    <x v="27"/>
    <x v="1"/>
    <n v="257.37"/>
    <n v="34.24"/>
    <x v="2"/>
    <n v="291"/>
    <s v="135/66"/>
    <n v="6.88"/>
    <x v="2"/>
    <x v="0"/>
    <x v="0"/>
    <n v="135"/>
    <n v="66"/>
    <x v="4"/>
    <x v="3"/>
    <s v="High"/>
    <x v="1"/>
  </r>
  <r>
    <x v="38"/>
    <x v="1"/>
    <n v="228.2"/>
    <n v="34.24"/>
    <x v="0"/>
    <n v="239"/>
    <s v="114/61"/>
    <n v="4.66"/>
    <x v="2"/>
    <x v="0"/>
    <x v="0"/>
    <n v="114"/>
    <n v="61"/>
    <x v="4"/>
    <x v="0"/>
    <s v="Boarderline"/>
    <x v="1"/>
  </r>
  <r>
    <x v="9"/>
    <x v="0"/>
    <n v="187.28"/>
    <n v="28.91"/>
    <x v="0"/>
    <n v="169"/>
    <s v="103/74"/>
    <n v="9.3699999999999992"/>
    <x v="1"/>
    <x v="1"/>
    <x v="0"/>
    <n v="103"/>
    <n v="74"/>
    <x v="5"/>
    <x v="1"/>
    <s v="Normal"/>
    <x v="0"/>
  </r>
  <r>
    <x v="14"/>
    <x v="1"/>
    <n v="157.72"/>
    <n v="28.5"/>
    <x v="1"/>
    <n v="195"/>
    <s v="116/62"/>
    <n v="6.17"/>
    <x v="4"/>
    <x v="0"/>
    <x v="0"/>
    <n v="116"/>
    <n v="62"/>
    <x v="3"/>
    <x v="2"/>
    <s v="Normal"/>
    <x v="0"/>
  </r>
  <r>
    <x v="27"/>
    <x v="0"/>
    <n v="126.28"/>
    <n v="25.45"/>
    <x v="0"/>
    <n v="287"/>
    <s v="137/75"/>
    <n v="9.11"/>
    <x v="7"/>
    <x v="1"/>
    <x v="0"/>
    <n v="137"/>
    <n v="75"/>
    <x v="4"/>
    <x v="1"/>
    <s v="High"/>
    <x v="0"/>
  </r>
  <r>
    <x v="5"/>
    <x v="1"/>
    <n v="113.59"/>
    <n v="38.04"/>
    <x v="3"/>
    <n v="261"/>
    <s v="108/85"/>
    <n v="9.06"/>
    <x v="5"/>
    <x v="1"/>
    <x v="0"/>
    <n v="108"/>
    <n v="85"/>
    <x v="3"/>
    <x v="1"/>
    <s v="High"/>
    <x v="1"/>
  </r>
  <r>
    <x v="16"/>
    <x v="1"/>
    <n v="145.38999999999999"/>
    <n v="35.89"/>
    <x v="1"/>
    <n v="251"/>
    <s v="121/65"/>
    <n v="6.89"/>
    <x v="0"/>
    <x v="1"/>
    <x v="1"/>
    <n v="121"/>
    <n v="65"/>
    <x v="4"/>
    <x v="3"/>
    <s v="High"/>
    <x v="1"/>
  </r>
  <r>
    <x v="52"/>
    <x v="1"/>
    <n v="153.51"/>
    <n v="28.65"/>
    <x v="2"/>
    <n v="104"/>
    <s v="135/83"/>
    <n v="9.4"/>
    <x v="6"/>
    <x v="0"/>
    <x v="0"/>
    <n v="135"/>
    <n v="83"/>
    <x v="3"/>
    <x v="1"/>
    <s v="Low"/>
    <x v="0"/>
  </r>
  <r>
    <x v="3"/>
    <x v="0"/>
    <n v="139.96"/>
    <n v="21.33"/>
    <x v="0"/>
    <n v="253"/>
    <s v="106/68"/>
    <n v="8.51"/>
    <x v="1"/>
    <x v="0"/>
    <x v="0"/>
    <n v="106"/>
    <n v="68"/>
    <x v="1"/>
    <x v="1"/>
    <s v="High"/>
    <x v="2"/>
  </r>
  <r>
    <x v="11"/>
    <x v="1"/>
    <n v="138.09"/>
    <n v="30.25"/>
    <x v="2"/>
    <n v="110"/>
    <s v="136/68"/>
    <n v="4.5999999999999996"/>
    <x v="5"/>
    <x v="1"/>
    <x v="0"/>
    <n v="136"/>
    <n v="68"/>
    <x v="1"/>
    <x v="0"/>
    <s v="Low"/>
    <x v="1"/>
  </r>
  <r>
    <x v="51"/>
    <x v="0"/>
    <n v="74.66"/>
    <n v="38.590000000000003"/>
    <x v="3"/>
    <n v="101"/>
    <s v="113/86"/>
    <n v="4.84"/>
    <x v="6"/>
    <x v="0"/>
    <x v="1"/>
    <n v="113"/>
    <n v="86"/>
    <x v="5"/>
    <x v="0"/>
    <s v="Low"/>
    <x v="1"/>
  </r>
  <r>
    <x v="30"/>
    <x v="1"/>
    <n v="299.36"/>
    <n v="38.75"/>
    <x v="2"/>
    <n v="298"/>
    <s v="106/82"/>
    <n v="7.34"/>
    <x v="0"/>
    <x v="1"/>
    <x v="0"/>
    <n v="106"/>
    <n v="82"/>
    <x v="3"/>
    <x v="3"/>
    <s v="High"/>
    <x v="1"/>
  </r>
  <r>
    <x v="31"/>
    <x v="0"/>
    <n v="249.34"/>
    <n v="23.57"/>
    <x v="2"/>
    <n v="218"/>
    <s v="124/85"/>
    <n v="4.3600000000000003"/>
    <x v="5"/>
    <x v="1"/>
    <x v="1"/>
    <n v="124"/>
    <n v="85"/>
    <x v="2"/>
    <x v="0"/>
    <s v="Boarderline"/>
    <x v="2"/>
  </r>
  <r>
    <x v="15"/>
    <x v="0"/>
    <n v="280.52999999999997"/>
    <n v="29.42"/>
    <x v="1"/>
    <n v="117"/>
    <s v="105/78"/>
    <n v="8.11"/>
    <x v="3"/>
    <x v="0"/>
    <x v="0"/>
    <n v="105"/>
    <n v="78"/>
    <x v="0"/>
    <x v="1"/>
    <s v="Low"/>
    <x v="0"/>
  </r>
  <r>
    <x v="32"/>
    <x v="0"/>
    <n v="196.18"/>
    <n v="20.02"/>
    <x v="3"/>
    <n v="230"/>
    <s v="91/61"/>
    <n v="4.9400000000000004"/>
    <x v="3"/>
    <x v="0"/>
    <x v="1"/>
    <n v="91"/>
    <n v="61"/>
    <x v="2"/>
    <x v="0"/>
    <s v="Boarderline"/>
    <x v="2"/>
  </r>
  <r>
    <x v="24"/>
    <x v="0"/>
    <n v="103.77"/>
    <n v="25.57"/>
    <x v="2"/>
    <n v="162"/>
    <s v="112/66"/>
    <n v="7.54"/>
    <x v="2"/>
    <x v="1"/>
    <x v="1"/>
    <n v="112"/>
    <n v="66"/>
    <x v="4"/>
    <x v="1"/>
    <s v="Normal"/>
    <x v="0"/>
  </r>
  <r>
    <x v="61"/>
    <x v="0"/>
    <n v="285.63"/>
    <n v="28.97"/>
    <x v="0"/>
    <n v="104"/>
    <s v="136/86"/>
    <n v="8.2899999999999991"/>
    <x v="1"/>
    <x v="0"/>
    <x v="0"/>
    <n v="136"/>
    <n v="86"/>
    <x v="2"/>
    <x v="1"/>
    <s v="Low"/>
    <x v="0"/>
  </r>
  <r>
    <x v="50"/>
    <x v="0"/>
    <n v="214.6"/>
    <n v="37.85"/>
    <x v="1"/>
    <n v="196"/>
    <s v="100/78"/>
    <n v="9.84"/>
    <x v="1"/>
    <x v="0"/>
    <x v="1"/>
    <n v="100"/>
    <n v="78"/>
    <x v="2"/>
    <x v="1"/>
    <s v="Normal"/>
    <x v="1"/>
  </r>
  <r>
    <x v="49"/>
    <x v="1"/>
    <n v="226.11"/>
    <n v="35.08"/>
    <x v="2"/>
    <n v="208"/>
    <s v="108/62"/>
    <n v="5.23"/>
    <x v="4"/>
    <x v="1"/>
    <x v="0"/>
    <n v="108"/>
    <n v="62"/>
    <x v="4"/>
    <x v="0"/>
    <s v="Boarderline"/>
    <x v="1"/>
  </r>
  <r>
    <x v="7"/>
    <x v="1"/>
    <n v="261.64"/>
    <n v="37.549999999999997"/>
    <x v="1"/>
    <n v="266"/>
    <s v="116/74"/>
    <n v="9.41"/>
    <x v="3"/>
    <x v="0"/>
    <x v="0"/>
    <n v="116"/>
    <n v="74"/>
    <x v="3"/>
    <x v="1"/>
    <s v="High"/>
    <x v="1"/>
  </r>
  <r>
    <x v="44"/>
    <x v="1"/>
    <n v="115.19"/>
    <n v="38.22"/>
    <x v="1"/>
    <n v="269"/>
    <s v="100/89"/>
    <n v="9.5"/>
    <x v="0"/>
    <x v="0"/>
    <x v="0"/>
    <n v="100"/>
    <n v="89"/>
    <x v="4"/>
    <x v="1"/>
    <s v="High"/>
    <x v="1"/>
  </r>
  <r>
    <x v="57"/>
    <x v="0"/>
    <n v="260.85000000000002"/>
    <n v="38.43"/>
    <x v="2"/>
    <n v="275"/>
    <s v="136/87"/>
    <n v="4.57"/>
    <x v="4"/>
    <x v="0"/>
    <x v="0"/>
    <n v="136"/>
    <n v="87"/>
    <x v="3"/>
    <x v="0"/>
    <s v="High"/>
    <x v="1"/>
  </r>
  <r>
    <x v="0"/>
    <x v="1"/>
    <n v="100.4"/>
    <n v="27.41"/>
    <x v="2"/>
    <n v="261"/>
    <s v="121/83"/>
    <n v="9.9700000000000006"/>
    <x v="1"/>
    <x v="1"/>
    <x v="1"/>
    <n v="121"/>
    <n v="83"/>
    <x v="0"/>
    <x v="1"/>
    <s v="High"/>
    <x v="0"/>
  </r>
  <r>
    <x v="24"/>
    <x v="1"/>
    <n v="97.69"/>
    <n v="36.33"/>
    <x v="0"/>
    <n v="274"/>
    <s v="127/70"/>
    <n v="7.46"/>
    <x v="0"/>
    <x v="1"/>
    <x v="1"/>
    <n v="127"/>
    <n v="70"/>
    <x v="4"/>
    <x v="3"/>
    <s v="High"/>
    <x v="1"/>
  </r>
  <r>
    <x v="25"/>
    <x v="0"/>
    <n v="144.15"/>
    <n v="18.579999999999998"/>
    <x v="2"/>
    <n v="233"/>
    <s v="137/80"/>
    <n v="4.25"/>
    <x v="3"/>
    <x v="1"/>
    <x v="0"/>
    <n v="137"/>
    <n v="80"/>
    <x v="1"/>
    <x v="0"/>
    <s v="Boarderline"/>
    <x v="2"/>
  </r>
  <r>
    <x v="54"/>
    <x v="1"/>
    <n v="95.65"/>
    <n v="22.01"/>
    <x v="0"/>
    <n v="130"/>
    <s v="92/84"/>
    <n v="9.08"/>
    <x v="6"/>
    <x v="1"/>
    <x v="0"/>
    <n v="92"/>
    <n v="84"/>
    <x v="0"/>
    <x v="1"/>
    <s v="Normal"/>
    <x v="2"/>
  </r>
  <r>
    <x v="8"/>
    <x v="1"/>
    <n v="268.56"/>
    <n v="38.770000000000003"/>
    <x v="1"/>
    <n v="150"/>
    <s v="138/64"/>
    <n v="8.92"/>
    <x v="5"/>
    <x v="1"/>
    <x v="0"/>
    <n v="138"/>
    <n v="64"/>
    <x v="4"/>
    <x v="1"/>
    <s v="Normal"/>
    <x v="1"/>
  </r>
  <r>
    <x v="40"/>
    <x v="0"/>
    <n v="121.08"/>
    <n v="27.11"/>
    <x v="3"/>
    <n v="280"/>
    <s v="98/83"/>
    <n v="8.85"/>
    <x v="1"/>
    <x v="1"/>
    <x v="0"/>
    <n v="98"/>
    <n v="83"/>
    <x v="2"/>
    <x v="1"/>
    <s v="High"/>
    <x v="0"/>
  </r>
  <r>
    <x v="31"/>
    <x v="1"/>
    <n v="172.6"/>
    <n v="31.95"/>
    <x v="2"/>
    <n v="255"/>
    <s v="103/60"/>
    <n v="8.09"/>
    <x v="7"/>
    <x v="0"/>
    <x v="1"/>
    <n v="103"/>
    <n v="60"/>
    <x v="2"/>
    <x v="1"/>
    <s v="High"/>
    <x v="1"/>
  </r>
  <r>
    <x v="26"/>
    <x v="1"/>
    <n v="195.05"/>
    <n v="32.61"/>
    <x v="3"/>
    <n v="168"/>
    <s v="100/88"/>
    <n v="6.16"/>
    <x v="2"/>
    <x v="0"/>
    <x v="1"/>
    <n v="100"/>
    <n v="88"/>
    <x v="2"/>
    <x v="2"/>
    <s v="Normal"/>
    <x v="1"/>
  </r>
  <r>
    <x v="16"/>
    <x v="0"/>
    <n v="231.19"/>
    <n v="26.33"/>
    <x v="3"/>
    <n v="289"/>
    <s v="104/61"/>
    <n v="4.49"/>
    <x v="2"/>
    <x v="0"/>
    <x v="1"/>
    <n v="104"/>
    <n v="61"/>
    <x v="4"/>
    <x v="0"/>
    <s v="High"/>
    <x v="0"/>
  </r>
  <r>
    <x v="8"/>
    <x v="0"/>
    <n v="97.86"/>
    <n v="39.630000000000003"/>
    <x v="2"/>
    <n v="182"/>
    <s v="112/62"/>
    <n v="8.6300000000000008"/>
    <x v="0"/>
    <x v="1"/>
    <x v="0"/>
    <n v="112"/>
    <n v="62"/>
    <x v="4"/>
    <x v="1"/>
    <s v="Normal"/>
    <x v="1"/>
  </r>
  <r>
    <x v="23"/>
    <x v="1"/>
    <n v="243.91"/>
    <n v="33.979999999999997"/>
    <x v="3"/>
    <n v="299"/>
    <s v="126/67"/>
    <n v="4.32"/>
    <x v="5"/>
    <x v="1"/>
    <x v="1"/>
    <n v="126"/>
    <n v="67"/>
    <x v="0"/>
    <x v="0"/>
    <s v="High"/>
    <x v="1"/>
  </r>
  <r>
    <x v="47"/>
    <x v="1"/>
    <n v="160.62"/>
    <n v="28.98"/>
    <x v="0"/>
    <n v="281"/>
    <s v="134/73"/>
    <n v="8.2200000000000006"/>
    <x v="4"/>
    <x v="1"/>
    <x v="0"/>
    <n v="134"/>
    <n v="73"/>
    <x v="3"/>
    <x v="1"/>
    <s v="High"/>
    <x v="0"/>
  </r>
  <r>
    <x v="12"/>
    <x v="1"/>
    <n v="89.17"/>
    <n v="27.04"/>
    <x v="2"/>
    <n v="266"/>
    <s v="103/71"/>
    <n v="8.08"/>
    <x v="5"/>
    <x v="0"/>
    <x v="1"/>
    <n v="103"/>
    <n v="71"/>
    <x v="1"/>
    <x v="1"/>
    <s v="High"/>
    <x v="0"/>
  </r>
  <r>
    <x v="10"/>
    <x v="0"/>
    <n v="215.83"/>
    <n v="21.54"/>
    <x v="1"/>
    <n v="187"/>
    <s v="96/78"/>
    <n v="4.82"/>
    <x v="2"/>
    <x v="0"/>
    <x v="1"/>
    <n v="96"/>
    <n v="78"/>
    <x v="0"/>
    <x v="0"/>
    <s v="Normal"/>
    <x v="2"/>
  </r>
  <r>
    <x v="3"/>
    <x v="1"/>
    <n v="256.33999999999997"/>
    <n v="32.880000000000003"/>
    <x v="3"/>
    <n v="202"/>
    <s v="107/65"/>
    <n v="7.98"/>
    <x v="0"/>
    <x v="1"/>
    <x v="1"/>
    <n v="107"/>
    <n v="65"/>
    <x v="1"/>
    <x v="1"/>
    <s v="Boarderline"/>
    <x v="1"/>
  </r>
  <r>
    <x v="22"/>
    <x v="1"/>
    <n v="101.59"/>
    <n v="35.700000000000003"/>
    <x v="2"/>
    <n v="299"/>
    <s v="111/61"/>
    <n v="4.88"/>
    <x v="0"/>
    <x v="0"/>
    <x v="1"/>
    <n v="111"/>
    <n v="61"/>
    <x v="5"/>
    <x v="0"/>
    <s v="High"/>
    <x v="1"/>
  </r>
  <r>
    <x v="2"/>
    <x v="0"/>
    <n v="233.99"/>
    <n v="38.549999999999997"/>
    <x v="2"/>
    <n v="232"/>
    <s v="99/73"/>
    <n v="7.6"/>
    <x v="5"/>
    <x v="0"/>
    <x v="0"/>
    <n v="99"/>
    <n v="73"/>
    <x v="2"/>
    <x v="1"/>
    <s v="Boarderline"/>
    <x v="1"/>
  </r>
  <r>
    <x v="23"/>
    <x v="1"/>
    <n v="197.18"/>
    <n v="32.6"/>
    <x v="2"/>
    <n v="201"/>
    <s v="125/62"/>
    <n v="5.42"/>
    <x v="6"/>
    <x v="0"/>
    <x v="0"/>
    <n v="125"/>
    <n v="62"/>
    <x v="0"/>
    <x v="0"/>
    <s v="Boarderline"/>
    <x v="1"/>
  </r>
  <r>
    <x v="31"/>
    <x v="1"/>
    <n v="71.69"/>
    <n v="38.92"/>
    <x v="1"/>
    <n v="296"/>
    <s v="108/77"/>
    <n v="6.48"/>
    <x v="4"/>
    <x v="1"/>
    <x v="1"/>
    <n v="108"/>
    <n v="77"/>
    <x v="2"/>
    <x v="3"/>
    <s v="High"/>
    <x v="1"/>
  </r>
  <r>
    <x v="39"/>
    <x v="0"/>
    <n v="208.89"/>
    <n v="23.21"/>
    <x v="1"/>
    <n v="115"/>
    <s v="122/77"/>
    <n v="6.85"/>
    <x v="2"/>
    <x v="0"/>
    <x v="1"/>
    <n v="122"/>
    <n v="77"/>
    <x v="5"/>
    <x v="3"/>
    <s v="Low"/>
    <x v="2"/>
  </r>
  <r>
    <x v="4"/>
    <x v="1"/>
    <n v="136.82"/>
    <n v="28.62"/>
    <x v="2"/>
    <n v="238"/>
    <s v="116/75"/>
    <n v="6.14"/>
    <x v="6"/>
    <x v="0"/>
    <x v="1"/>
    <n v="116"/>
    <n v="75"/>
    <x v="0"/>
    <x v="2"/>
    <s v="Boarderline"/>
    <x v="0"/>
  </r>
  <r>
    <x v="18"/>
    <x v="1"/>
    <n v="97.47"/>
    <n v="18.25"/>
    <x v="0"/>
    <n v="188"/>
    <s v="114/61"/>
    <n v="8.23"/>
    <x v="1"/>
    <x v="1"/>
    <x v="1"/>
    <n v="114"/>
    <n v="61"/>
    <x v="4"/>
    <x v="1"/>
    <s v="Normal"/>
    <x v="3"/>
  </r>
  <r>
    <x v="28"/>
    <x v="0"/>
    <n v="188.97"/>
    <n v="23.69"/>
    <x v="3"/>
    <n v="157"/>
    <s v="104/64"/>
    <n v="6.46"/>
    <x v="5"/>
    <x v="1"/>
    <x v="1"/>
    <n v="104"/>
    <n v="64"/>
    <x v="3"/>
    <x v="3"/>
    <s v="Normal"/>
    <x v="2"/>
  </r>
  <r>
    <x v="56"/>
    <x v="0"/>
    <n v="296.7"/>
    <n v="39.15"/>
    <x v="3"/>
    <n v="112"/>
    <s v="125/72"/>
    <n v="8.43"/>
    <x v="4"/>
    <x v="1"/>
    <x v="0"/>
    <n v="125"/>
    <n v="72"/>
    <x v="5"/>
    <x v="1"/>
    <s v="Low"/>
    <x v="1"/>
  </r>
  <r>
    <x v="9"/>
    <x v="1"/>
    <n v="204.23"/>
    <n v="29.12"/>
    <x v="1"/>
    <n v="165"/>
    <s v="104/66"/>
    <n v="4.04"/>
    <x v="5"/>
    <x v="0"/>
    <x v="1"/>
    <n v="104"/>
    <n v="66"/>
    <x v="5"/>
    <x v="0"/>
    <s v="Normal"/>
    <x v="0"/>
  </r>
  <r>
    <x v="26"/>
    <x v="0"/>
    <n v="221.71"/>
    <n v="26.32"/>
    <x v="0"/>
    <n v="244"/>
    <s v="136/60"/>
    <n v="6.58"/>
    <x v="2"/>
    <x v="0"/>
    <x v="0"/>
    <n v="136"/>
    <n v="60"/>
    <x v="2"/>
    <x v="3"/>
    <s v="High"/>
    <x v="0"/>
  </r>
  <r>
    <x v="26"/>
    <x v="1"/>
    <n v="282.45999999999998"/>
    <n v="23.12"/>
    <x v="0"/>
    <n v="276"/>
    <s v="122/86"/>
    <n v="6.46"/>
    <x v="1"/>
    <x v="0"/>
    <x v="1"/>
    <n v="122"/>
    <n v="86"/>
    <x v="2"/>
    <x v="3"/>
    <s v="High"/>
    <x v="2"/>
  </r>
  <r>
    <x v="50"/>
    <x v="0"/>
    <n v="274.16000000000003"/>
    <n v="26.32"/>
    <x v="0"/>
    <n v="297"/>
    <s v="90/72"/>
    <n v="6.91"/>
    <x v="6"/>
    <x v="0"/>
    <x v="0"/>
    <n v="90"/>
    <n v="72"/>
    <x v="2"/>
    <x v="3"/>
    <s v="High"/>
    <x v="0"/>
  </r>
  <r>
    <x v="59"/>
    <x v="0"/>
    <n v="265.02999999999997"/>
    <n v="34.22"/>
    <x v="2"/>
    <n v="267"/>
    <s v="125/71"/>
    <n v="4.1100000000000003"/>
    <x v="7"/>
    <x v="1"/>
    <x v="1"/>
    <n v="125"/>
    <n v="71"/>
    <x v="1"/>
    <x v="0"/>
    <s v="High"/>
    <x v="1"/>
  </r>
  <r>
    <x v="34"/>
    <x v="1"/>
    <n v="142.03"/>
    <n v="19.440000000000001"/>
    <x v="2"/>
    <n v="271"/>
    <s v="111/87"/>
    <n v="9.9499999999999993"/>
    <x v="2"/>
    <x v="1"/>
    <x v="0"/>
    <n v="111"/>
    <n v="87"/>
    <x v="5"/>
    <x v="1"/>
    <s v="High"/>
    <x v="2"/>
  </r>
  <r>
    <x v="15"/>
    <x v="1"/>
    <n v="154.13"/>
    <n v="22"/>
    <x v="1"/>
    <n v="273"/>
    <s v="117/89"/>
    <n v="8.9"/>
    <x v="4"/>
    <x v="0"/>
    <x v="0"/>
    <n v="117"/>
    <n v="89"/>
    <x v="0"/>
    <x v="1"/>
    <s v="High"/>
    <x v="2"/>
  </r>
  <r>
    <x v="24"/>
    <x v="0"/>
    <n v="120.24"/>
    <n v="37.24"/>
    <x v="2"/>
    <n v="285"/>
    <s v="95/77"/>
    <n v="8.6199999999999992"/>
    <x v="3"/>
    <x v="0"/>
    <x v="1"/>
    <n v="95"/>
    <n v="77"/>
    <x v="4"/>
    <x v="1"/>
    <s v="High"/>
    <x v="1"/>
  </r>
  <r>
    <x v="20"/>
    <x v="0"/>
    <n v="98.48"/>
    <n v="39.520000000000003"/>
    <x v="1"/>
    <n v="264"/>
    <s v="130/66"/>
    <n v="5.38"/>
    <x v="2"/>
    <x v="1"/>
    <x v="0"/>
    <n v="130"/>
    <n v="66"/>
    <x v="0"/>
    <x v="0"/>
    <s v="High"/>
    <x v="1"/>
  </r>
  <r>
    <x v="20"/>
    <x v="0"/>
    <n v="231.98"/>
    <n v="37.39"/>
    <x v="1"/>
    <n v="130"/>
    <s v="107/62"/>
    <n v="7.39"/>
    <x v="3"/>
    <x v="1"/>
    <x v="0"/>
    <n v="107"/>
    <n v="62"/>
    <x v="0"/>
    <x v="3"/>
    <s v="Normal"/>
    <x v="1"/>
  </r>
  <r>
    <x v="33"/>
    <x v="1"/>
    <n v="109.41"/>
    <n v="30.49"/>
    <x v="2"/>
    <n v="188"/>
    <s v="133/69"/>
    <n v="6.54"/>
    <x v="7"/>
    <x v="1"/>
    <x v="0"/>
    <n v="133"/>
    <n v="69"/>
    <x v="5"/>
    <x v="3"/>
    <s v="Normal"/>
    <x v="1"/>
  </r>
  <r>
    <x v="24"/>
    <x v="1"/>
    <n v="84.36"/>
    <n v="24.14"/>
    <x v="0"/>
    <n v="164"/>
    <s v="140/62"/>
    <n v="6.66"/>
    <x v="1"/>
    <x v="1"/>
    <x v="1"/>
    <n v="140"/>
    <n v="62"/>
    <x v="4"/>
    <x v="3"/>
    <s v="Normal"/>
    <x v="2"/>
  </r>
  <r>
    <x v="48"/>
    <x v="0"/>
    <n v="271.54000000000002"/>
    <n v="18.309999999999999"/>
    <x v="3"/>
    <n v="218"/>
    <s v="95/62"/>
    <n v="9.2799999999999994"/>
    <x v="0"/>
    <x v="0"/>
    <x v="1"/>
    <n v="95"/>
    <n v="62"/>
    <x v="1"/>
    <x v="1"/>
    <s v="Boarderline"/>
    <x v="3"/>
  </r>
  <r>
    <x v="18"/>
    <x v="1"/>
    <n v="97.29"/>
    <n v="34.25"/>
    <x v="3"/>
    <n v="185"/>
    <s v="135/82"/>
    <n v="7.59"/>
    <x v="3"/>
    <x v="0"/>
    <x v="0"/>
    <n v="135"/>
    <n v="82"/>
    <x v="4"/>
    <x v="1"/>
    <s v="Normal"/>
    <x v="1"/>
  </r>
  <r>
    <x v="30"/>
    <x v="1"/>
    <n v="120.96"/>
    <n v="39.15"/>
    <x v="0"/>
    <n v="149"/>
    <s v="132/74"/>
    <n v="8.8699999999999992"/>
    <x v="5"/>
    <x v="1"/>
    <x v="1"/>
    <n v="132"/>
    <n v="74"/>
    <x v="3"/>
    <x v="1"/>
    <s v="Normal"/>
    <x v="1"/>
  </r>
  <r>
    <x v="17"/>
    <x v="1"/>
    <n v="196"/>
    <n v="30.36"/>
    <x v="3"/>
    <n v="166"/>
    <s v="115/89"/>
    <n v="7.96"/>
    <x v="0"/>
    <x v="0"/>
    <x v="0"/>
    <n v="115"/>
    <n v="89"/>
    <x v="0"/>
    <x v="1"/>
    <s v="Normal"/>
    <x v="1"/>
  </r>
  <r>
    <x v="60"/>
    <x v="0"/>
    <n v="99.03"/>
    <n v="18.559999999999999"/>
    <x v="0"/>
    <n v="197"/>
    <s v="99/89"/>
    <n v="7.39"/>
    <x v="6"/>
    <x v="1"/>
    <x v="0"/>
    <n v="99"/>
    <n v="89"/>
    <x v="5"/>
    <x v="3"/>
    <s v="Normal"/>
    <x v="2"/>
  </r>
  <r>
    <x v="13"/>
    <x v="0"/>
    <n v="138.65"/>
    <n v="18.3"/>
    <x v="1"/>
    <n v="124"/>
    <s v="92/74"/>
    <n v="9.2200000000000006"/>
    <x v="1"/>
    <x v="0"/>
    <x v="1"/>
    <n v="92"/>
    <n v="74"/>
    <x v="1"/>
    <x v="1"/>
    <s v="Normal"/>
    <x v="3"/>
  </r>
  <r>
    <x v="38"/>
    <x v="1"/>
    <n v="205.51"/>
    <n v="35.74"/>
    <x v="3"/>
    <n v="275"/>
    <s v="104/65"/>
    <n v="4.1399999999999997"/>
    <x v="6"/>
    <x v="0"/>
    <x v="1"/>
    <n v="104"/>
    <n v="65"/>
    <x v="4"/>
    <x v="0"/>
    <s v="High"/>
    <x v="1"/>
  </r>
  <r>
    <x v="26"/>
    <x v="0"/>
    <n v="237.69"/>
    <n v="28.69"/>
    <x v="2"/>
    <n v="243"/>
    <s v="135/76"/>
    <n v="9.14"/>
    <x v="0"/>
    <x v="0"/>
    <x v="0"/>
    <n v="135"/>
    <n v="76"/>
    <x v="2"/>
    <x v="1"/>
    <s v="High"/>
    <x v="0"/>
  </r>
  <r>
    <x v="16"/>
    <x v="1"/>
    <n v="248.09"/>
    <n v="20.97"/>
    <x v="0"/>
    <n v="230"/>
    <s v="125/75"/>
    <n v="4.6900000000000004"/>
    <x v="5"/>
    <x v="0"/>
    <x v="0"/>
    <n v="125"/>
    <n v="75"/>
    <x v="4"/>
    <x v="0"/>
    <s v="Boarderline"/>
    <x v="2"/>
  </r>
  <r>
    <x v="32"/>
    <x v="1"/>
    <n v="282.35000000000002"/>
    <n v="20.14"/>
    <x v="0"/>
    <n v="209"/>
    <s v="90/81"/>
    <n v="4.66"/>
    <x v="2"/>
    <x v="1"/>
    <x v="1"/>
    <n v="90"/>
    <n v="81"/>
    <x v="2"/>
    <x v="0"/>
    <s v="Boarderline"/>
    <x v="2"/>
  </r>
  <r>
    <x v="37"/>
    <x v="1"/>
    <n v="242.29"/>
    <n v="36.51"/>
    <x v="3"/>
    <n v="221"/>
    <s v="119/87"/>
    <n v="4.17"/>
    <x v="4"/>
    <x v="1"/>
    <x v="1"/>
    <n v="119"/>
    <n v="87"/>
    <x v="3"/>
    <x v="0"/>
    <s v="Boarderline"/>
    <x v="1"/>
  </r>
  <r>
    <x v="27"/>
    <x v="0"/>
    <n v="241.67"/>
    <n v="31.75"/>
    <x v="0"/>
    <n v="214"/>
    <s v="130/87"/>
    <n v="9.2200000000000006"/>
    <x v="4"/>
    <x v="1"/>
    <x v="0"/>
    <n v="130"/>
    <n v="87"/>
    <x v="4"/>
    <x v="1"/>
    <s v="Boarderline"/>
    <x v="1"/>
  </r>
  <r>
    <x v="41"/>
    <x v="1"/>
    <n v="229.81"/>
    <n v="30.46"/>
    <x v="3"/>
    <n v="249"/>
    <s v="105/73"/>
    <n v="5.73"/>
    <x v="7"/>
    <x v="0"/>
    <x v="1"/>
    <n v="105"/>
    <n v="73"/>
    <x v="5"/>
    <x v="2"/>
    <s v="High"/>
    <x v="1"/>
  </r>
  <r>
    <x v="60"/>
    <x v="1"/>
    <n v="268.37"/>
    <n v="21.79"/>
    <x v="0"/>
    <n v="291"/>
    <s v="94/90"/>
    <n v="7.65"/>
    <x v="0"/>
    <x v="1"/>
    <x v="0"/>
    <n v="94"/>
    <n v="90"/>
    <x v="5"/>
    <x v="1"/>
    <s v="High"/>
    <x v="2"/>
  </r>
  <r>
    <x v="35"/>
    <x v="0"/>
    <n v="235.35"/>
    <n v="22.12"/>
    <x v="3"/>
    <n v="268"/>
    <s v="105/84"/>
    <n v="8.6199999999999992"/>
    <x v="6"/>
    <x v="1"/>
    <x v="1"/>
    <n v="105"/>
    <n v="84"/>
    <x v="1"/>
    <x v="1"/>
    <s v="High"/>
    <x v="2"/>
  </r>
  <r>
    <x v="6"/>
    <x v="1"/>
    <n v="230.71"/>
    <n v="28.55"/>
    <x v="2"/>
    <n v="279"/>
    <s v="110/65"/>
    <n v="7.31"/>
    <x v="1"/>
    <x v="0"/>
    <x v="1"/>
    <n v="110"/>
    <n v="65"/>
    <x v="3"/>
    <x v="3"/>
    <s v="High"/>
    <x v="0"/>
  </r>
  <r>
    <x v="62"/>
    <x v="0"/>
    <n v="215.79"/>
    <n v="30.32"/>
    <x v="0"/>
    <n v="195"/>
    <s v="113/62"/>
    <n v="8.31"/>
    <x v="4"/>
    <x v="1"/>
    <x v="0"/>
    <n v="113"/>
    <n v="62"/>
    <x v="4"/>
    <x v="1"/>
    <s v="Normal"/>
    <x v="1"/>
  </r>
  <r>
    <x v="22"/>
    <x v="1"/>
    <n v="188.2"/>
    <n v="22.74"/>
    <x v="3"/>
    <n v="205"/>
    <s v="114/62"/>
    <n v="9.5299999999999994"/>
    <x v="6"/>
    <x v="1"/>
    <x v="1"/>
    <n v="114"/>
    <n v="62"/>
    <x v="5"/>
    <x v="1"/>
    <s v="Boarderline"/>
    <x v="2"/>
  </r>
  <r>
    <x v="36"/>
    <x v="1"/>
    <n v="174.34"/>
    <n v="30.78"/>
    <x v="3"/>
    <n v="108"/>
    <s v="97/75"/>
    <n v="5.0599999999999996"/>
    <x v="6"/>
    <x v="0"/>
    <x v="0"/>
    <n v="97"/>
    <n v="75"/>
    <x v="0"/>
    <x v="0"/>
    <s v="Low"/>
    <x v="1"/>
  </r>
  <r>
    <x v="0"/>
    <x v="0"/>
    <n v="102.06"/>
    <n v="37.43"/>
    <x v="3"/>
    <n v="166"/>
    <s v="91/81"/>
    <n v="9.92"/>
    <x v="4"/>
    <x v="1"/>
    <x v="1"/>
    <n v="91"/>
    <n v="81"/>
    <x v="0"/>
    <x v="1"/>
    <s v="Normal"/>
    <x v="1"/>
  </r>
  <r>
    <x v="17"/>
    <x v="1"/>
    <n v="122.22"/>
    <n v="22.37"/>
    <x v="3"/>
    <n v="122"/>
    <s v="101/87"/>
    <n v="6.82"/>
    <x v="6"/>
    <x v="1"/>
    <x v="1"/>
    <n v="101"/>
    <n v="87"/>
    <x v="0"/>
    <x v="3"/>
    <s v="Normal"/>
    <x v="2"/>
  </r>
  <r>
    <x v="1"/>
    <x v="0"/>
    <n v="96.72"/>
    <n v="25.53"/>
    <x v="3"/>
    <n v="137"/>
    <s v="109/71"/>
    <n v="4.75"/>
    <x v="2"/>
    <x v="1"/>
    <x v="1"/>
    <n v="109"/>
    <n v="71"/>
    <x v="1"/>
    <x v="0"/>
    <s v="Normal"/>
    <x v="0"/>
  </r>
  <r>
    <x v="36"/>
    <x v="1"/>
    <n v="217.5"/>
    <n v="29.01"/>
    <x v="2"/>
    <n v="220"/>
    <s v="129/64"/>
    <n v="9.26"/>
    <x v="4"/>
    <x v="1"/>
    <x v="0"/>
    <n v="129"/>
    <n v="64"/>
    <x v="0"/>
    <x v="1"/>
    <s v="Boarderline"/>
    <x v="0"/>
  </r>
  <r>
    <x v="26"/>
    <x v="0"/>
    <n v="88.91"/>
    <n v="37.42"/>
    <x v="1"/>
    <n v="297"/>
    <s v="126/62"/>
    <n v="4.42"/>
    <x v="5"/>
    <x v="1"/>
    <x v="0"/>
    <n v="126"/>
    <n v="62"/>
    <x v="2"/>
    <x v="0"/>
    <s v="High"/>
    <x v="1"/>
  </r>
  <r>
    <x v="12"/>
    <x v="0"/>
    <n v="183.39"/>
    <n v="35.5"/>
    <x v="1"/>
    <n v="250"/>
    <s v="92/82"/>
    <n v="5.82"/>
    <x v="7"/>
    <x v="0"/>
    <x v="0"/>
    <n v="92"/>
    <n v="82"/>
    <x v="1"/>
    <x v="2"/>
    <s v="High"/>
    <x v="1"/>
  </r>
  <r>
    <x v="36"/>
    <x v="0"/>
    <n v="276.33999999999997"/>
    <n v="36.97"/>
    <x v="2"/>
    <n v="188"/>
    <s v="97/77"/>
    <n v="5.97"/>
    <x v="0"/>
    <x v="0"/>
    <x v="1"/>
    <n v="97"/>
    <n v="77"/>
    <x v="0"/>
    <x v="2"/>
    <s v="Normal"/>
    <x v="1"/>
  </r>
  <r>
    <x v="20"/>
    <x v="1"/>
    <n v="293.99"/>
    <n v="31.6"/>
    <x v="3"/>
    <n v="146"/>
    <s v="126/90"/>
    <n v="9.01"/>
    <x v="0"/>
    <x v="0"/>
    <x v="1"/>
    <n v="126"/>
    <n v="90"/>
    <x v="0"/>
    <x v="1"/>
    <s v="Normal"/>
    <x v="1"/>
  </r>
  <r>
    <x v="4"/>
    <x v="1"/>
    <n v="203.63"/>
    <n v="39.43"/>
    <x v="3"/>
    <n v="215"/>
    <s v="110/66"/>
    <n v="6.21"/>
    <x v="1"/>
    <x v="0"/>
    <x v="1"/>
    <n v="110"/>
    <n v="66"/>
    <x v="0"/>
    <x v="2"/>
    <s v="Boarderline"/>
    <x v="1"/>
  </r>
  <r>
    <x v="59"/>
    <x v="0"/>
    <n v="91.23"/>
    <n v="21.54"/>
    <x v="2"/>
    <n v="101"/>
    <s v="103/81"/>
    <n v="8.25"/>
    <x v="4"/>
    <x v="0"/>
    <x v="0"/>
    <n v="103"/>
    <n v="81"/>
    <x v="1"/>
    <x v="1"/>
    <s v="Low"/>
    <x v="2"/>
  </r>
  <r>
    <x v="40"/>
    <x v="1"/>
    <n v="269.89"/>
    <n v="27.45"/>
    <x v="0"/>
    <n v="212"/>
    <s v="111/75"/>
    <n v="5.17"/>
    <x v="7"/>
    <x v="0"/>
    <x v="1"/>
    <n v="111"/>
    <n v="75"/>
    <x v="2"/>
    <x v="0"/>
    <s v="Boarderline"/>
    <x v="0"/>
  </r>
  <r>
    <x v="58"/>
    <x v="0"/>
    <n v="279.33"/>
    <n v="28.75"/>
    <x v="1"/>
    <n v="250"/>
    <s v="103/84"/>
    <n v="9.32"/>
    <x v="0"/>
    <x v="1"/>
    <x v="0"/>
    <n v="103"/>
    <n v="84"/>
    <x v="2"/>
    <x v="1"/>
    <s v="High"/>
    <x v="0"/>
  </r>
  <r>
    <x v="34"/>
    <x v="0"/>
    <n v="118.62"/>
    <n v="38.700000000000003"/>
    <x v="2"/>
    <n v="197"/>
    <s v="130/85"/>
    <n v="7.96"/>
    <x v="5"/>
    <x v="0"/>
    <x v="1"/>
    <n v="130"/>
    <n v="85"/>
    <x v="5"/>
    <x v="1"/>
    <s v="Normal"/>
    <x v="1"/>
  </r>
  <r>
    <x v="10"/>
    <x v="1"/>
    <n v="275.39999999999998"/>
    <n v="34.799999999999997"/>
    <x v="3"/>
    <n v="179"/>
    <s v="111/61"/>
    <n v="9.69"/>
    <x v="2"/>
    <x v="1"/>
    <x v="1"/>
    <n v="111"/>
    <n v="61"/>
    <x v="0"/>
    <x v="1"/>
    <s v="Normal"/>
    <x v="1"/>
  </r>
  <r>
    <x v="25"/>
    <x v="1"/>
    <n v="183.72"/>
    <n v="19.34"/>
    <x v="1"/>
    <n v="182"/>
    <s v="139/76"/>
    <n v="5.13"/>
    <x v="4"/>
    <x v="1"/>
    <x v="1"/>
    <n v="139"/>
    <n v="76"/>
    <x v="1"/>
    <x v="0"/>
    <s v="Normal"/>
    <x v="2"/>
  </r>
  <r>
    <x v="4"/>
    <x v="1"/>
    <n v="289.61"/>
    <n v="18.96"/>
    <x v="0"/>
    <n v="264"/>
    <s v="118/68"/>
    <n v="6.91"/>
    <x v="3"/>
    <x v="1"/>
    <x v="0"/>
    <n v="118"/>
    <n v="68"/>
    <x v="0"/>
    <x v="3"/>
    <s v="High"/>
    <x v="2"/>
  </r>
  <r>
    <x v="30"/>
    <x v="1"/>
    <n v="158.72"/>
    <n v="20.05"/>
    <x v="1"/>
    <n v="127"/>
    <s v="90/80"/>
    <n v="9.69"/>
    <x v="0"/>
    <x v="0"/>
    <x v="1"/>
    <n v="90"/>
    <n v="80"/>
    <x v="3"/>
    <x v="1"/>
    <s v="Normal"/>
    <x v="2"/>
  </r>
  <r>
    <x v="60"/>
    <x v="0"/>
    <n v="206.2"/>
    <n v="27.7"/>
    <x v="1"/>
    <n v="174"/>
    <s v="92/86"/>
    <n v="9.9600000000000009"/>
    <x v="6"/>
    <x v="1"/>
    <x v="1"/>
    <n v="92"/>
    <n v="86"/>
    <x v="5"/>
    <x v="1"/>
    <s v="Normal"/>
    <x v="0"/>
  </r>
  <r>
    <x v="16"/>
    <x v="1"/>
    <n v="236.05"/>
    <n v="30.55"/>
    <x v="3"/>
    <n v="260"/>
    <s v="102/76"/>
    <n v="9.3000000000000007"/>
    <x v="3"/>
    <x v="0"/>
    <x v="1"/>
    <n v="102"/>
    <n v="76"/>
    <x v="4"/>
    <x v="1"/>
    <s v="High"/>
    <x v="1"/>
  </r>
  <r>
    <x v="16"/>
    <x v="1"/>
    <n v="149.29"/>
    <n v="19.37"/>
    <x v="2"/>
    <n v="103"/>
    <s v="139/68"/>
    <n v="5.93"/>
    <x v="7"/>
    <x v="1"/>
    <x v="1"/>
    <n v="139"/>
    <n v="68"/>
    <x v="4"/>
    <x v="2"/>
    <s v="Low"/>
    <x v="2"/>
  </r>
  <r>
    <x v="37"/>
    <x v="0"/>
    <n v="90.64"/>
    <n v="34.85"/>
    <x v="2"/>
    <n v="247"/>
    <s v="93/72"/>
    <n v="6.78"/>
    <x v="7"/>
    <x v="1"/>
    <x v="1"/>
    <n v="93"/>
    <n v="72"/>
    <x v="3"/>
    <x v="3"/>
    <s v="High"/>
    <x v="1"/>
  </r>
  <r>
    <x v="39"/>
    <x v="0"/>
    <n v="114.49"/>
    <n v="38.729999999999997"/>
    <x v="2"/>
    <n v="151"/>
    <s v="139/85"/>
    <n v="5.5"/>
    <x v="4"/>
    <x v="1"/>
    <x v="1"/>
    <n v="139"/>
    <n v="85"/>
    <x v="5"/>
    <x v="0"/>
    <s v="Normal"/>
    <x v="1"/>
  </r>
  <r>
    <x v="49"/>
    <x v="0"/>
    <n v="166.92"/>
    <n v="35.51"/>
    <x v="2"/>
    <n v="181"/>
    <s v="126/87"/>
    <n v="5.3"/>
    <x v="3"/>
    <x v="1"/>
    <x v="1"/>
    <n v="126"/>
    <n v="87"/>
    <x v="4"/>
    <x v="0"/>
    <s v="Normal"/>
    <x v="1"/>
  </r>
  <r>
    <x v="31"/>
    <x v="0"/>
    <n v="266.58999999999997"/>
    <n v="39.020000000000003"/>
    <x v="3"/>
    <n v="297"/>
    <s v="134/89"/>
    <n v="7.97"/>
    <x v="1"/>
    <x v="0"/>
    <x v="1"/>
    <n v="134"/>
    <n v="89"/>
    <x v="2"/>
    <x v="1"/>
    <s v="High"/>
    <x v="1"/>
  </r>
  <r>
    <x v="24"/>
    <x v="1"/>
    <n v="178.55"/>
    <n v="20.62"/>
    <x v="3"/>
    <n v="201"/>
    <s v="137/86"/>
    <n v="9.9499999999999993"/>
    <x v="3"/>
    <x v="0"/>
    <x v="1"/>
    <n v="137"/>
    <n v="86"/>
    <x v="4"/>
    <x v="1"/>
    <s v="Boarderline"/>
    <x v="2"/>
  </r>
  <r>
    <x v="30"/>
    <x v="0"/>
    <n v="227.75"/>
    <n v="35.36"/>
    <x v="0"/>
    <n v="119"/>
    <s v="127/60"/>
    <n v="4.26"/>
    <x v="4"/>
    <x v="0"/>
    <x v="1"/>
    <n v="127"/>
    <n v="60"/>
    <x v="3"/>
    <x v="0"/>
    <s v="Low"/>
    <x v="1"/>
  </r>
  <r>
    <x v="0"/>
    <x v="0"/>
    <n v="206.29"/>
    <n v="39.32"/>
    <x v="1"/>
    <n v="298"/>
    <s v="111/88"/>
    <n v="4.71"/>
    <x v="2"/>
    <x v="0"/>
    <x v="0"/>
    <n v="111"/>
    <n v="88"/>
    <x v="0"/>
    <x v="0"/>
    <s v="High"/>
    <x v="1"/>
  </r>
  <r>
    <x v="41"/>
    <x v="0"/>
    <n v="103.67"/>
    <n v="32.97"/>
    <x v="2"/>
    <n v="261"/>
    <s v="113/80"/>
    <n v="8.93"/>
    <x v="6"/>
    <x v="0"/>
    <x v="0"/>
    <n v="113"/>
    <n v="80"/>
    <x v="5"/>
    <x v="1"/>
    <s v="High"/>
    <x v="1"/>
  </r>
  <r>
    <x v="11"/>
    <x v="1"/>
    <n v="170.5"/>
    <n v="21.66"/>
    <x v="1"/>
    <n v="168"/>
    <s v="99/88"/>
    <n v="8.2899999999999991"/>
    <x v="3"/>
    <x v="0"/>
    <x v="0"/>
    <n v="99"/>
    <n v="88"/>
    <x v="1"/>
    <x v="1"/>
    <s v="Normal"/>
    <x v="2"/>
  </r>
  <r>
    <x v="11"/>
    <x v="0"/>
    <n v="89.89"/>
    <n v="18.690000000000001"/>
    <x v="2"/>
    <n v="140"/>
    <s v="111/71"/>
    <n v="8.7200000000000006"/>
    <x v="6"/>
    <x v="0"/>
    <x v="0"/>
    <n v="111"/>
    <n v="71"/>
    <x v="1"/>
    <x v="1"/>
    <s v="Normal"/>
    <x v="2"/>
  </r>
  <r>
    <x v="26"/>
    <x v="1"/>
    <n v="254.56"/>
    <n v="23.31"/>
    <x v="1"/>
    <n v="270"/>
    <s v="90/64"/>
    <n v="6.97"/>
    <x v="0"/>
    <x v="1"/>
    <x v="1"/>
    <n v="90"/>
    <n v="64"/>
    <x v="2"/>
    <x v="3"/>
    <s v="High"/>
    <x v="2"/>
  </r>
  <r>
    <x v="28"/>
    <x v="1"/>
    <n v="130.6"/>
    <n v="34.65"/>
    <x v="3"/>
    <n v="276"/>
    <s v="118/62"/>
    <n v="6.92"/>
    <x v="4"/>
    <x v="1"/>
    <x v="1"/>
    <n v="118"/>
    <n v="62"/>
    <x v="3"/>
    <x v="3"/>
    <s v="High"/>
    <x v="1"/>
  </r>
  <r>
    <x v="5"/>
    <x v="0"/>
    <n v="297.02999999999997"/>
    <n v="26.95"/>
    <x v="3"/>
    <n v="294"/>
    <s v="117/77"/>
    <n v="4.2699999999999996"/>
    <x v="6"/>
    <x v="1"/>
    <x v="0"/>
    <n v="117"/>
    <n v="77"/>
    <x v="3"/>
    <x v="0"/>
    <s v="High"/>
    <x v="0"/>
  </r>
  <r>
    <x v="50"/>
    <x v="1"/>
    <n v="134.57"/>
    <n v="22.62"/>
    <x v="1"/>
    <n v="290"/>
    <s v="118/71"/>
    <n v="4.6399999999999997"/>
    <x v="3"/>
    <x v="0"/>
    <x v="0"/>
    <n v="118"/>
    <n v="71"/>
    <x v="2"/>
    <x v="0"/>
    <s v="High"/>
    <x v="2"/>
  </r>
  <r>
    <x v="57"/>
    <x v="0"/>
    <n v="297.37"/>
    <n v="27.49"/>
    <x v="3"/>
    <n v="295"/>
    <s v="118/89"/>
    <n v="5.0599999999999996"/>
    <x v="7"/>
    <x v="1"/>
    <x v="0"/>
    <n v="118"/>
    <n v="89"/>
    <x v="3"/>
    <x v="0"/>
    <s v="High"/>
    <x v="0"/>
  </r>
  <r>
    <x v="44"/>
    <x v="1"/>
    <n v="271.02"/>
    <n v="24.04"/>
    <x v="0"/>
    <n v="232"/>
    <s v="111/82"/>
    <n v="6.82"/>
    <x v="3"/>
    <x v="0"/>
    <x v="1"/>
    <n v="111"/>
    <n v="82"/>
    <x v="4"/>
    <x v="3"/>
    <s v="Boarderline"/>
    <x v="2"/>
  </r>
  <r>
    <x v="8"/>
    <x v="0"/>
    <n v="279.94"/>
    <n v="19.21"/>
    <x v="0"/>
    <n v="135"/>
    <s v="139/70"/>
    <n v="8.34"/>
    <x v="2"/>
    <x v="1"/>
    <x v="0"/>
    <n v="139"/>
    <n v="70"/>
    <x v="4"/>
    <x v="1"/>
    <s v="Normal"/>
    <x v="2"/>
  </r>
  <r>
    <x v="49"/>
    <x v="0"/>
    <n v="118.18"/>
    <n v="33.020000000000003"/>
    <x v="3"/>
    <n v="295"/>
    <s v="104/73"/>
    <n v="4.9800000000000004"/>
    <x v="7"/>
    <x v="1"/>
    <x v="1"/>
    <n v="104"/>
    <n v="73"/>
    <x v="4"/>
    <x v="0"/>
    <s v="High"/>
    <x v="1"/>
  </r>
  <r>
    <x v="38"/>
    <x v="1"/>
    <n v="206.8"/>
    <n v="33.42"/>
    <x v="1"/>
    <n v="280"/>
    <s v="92/75"/>
    <n v="7.06"/>
    <x v="5"/>
    <x v="1"/>
    <x v="1"/>
    <n v="92"/>
    <n v="75"/>
    <x v="4"/>
    <x v="3"/>
    <s v="High"/>
    <x v="1"/>
  </r>
  <r>
    <x v="1"/>
    <x v="1"/>
    <n v="96.35"/>
    <n v="30.7"/>
    <x v="0"/>
    <n v="231"/>
    <s v="98/69"/>
    <n v="9.7100000000000009"/>
    <x v="7"/>
    <x v="1"/>
    <x v="1"/>
    <n v="98"/>
    <n v="69"/>
    <x v="1"/>
    <x v="1"/>
    <s v="Boarderline"/>
    <x v="1"/>
  </r>
  <r>
    <x v="45"/>
    <x v="1"/>
    <n v="115.18"/>
    <n v="20.47"/>
    <x v="3"/>
    <n v="128"/>
    <s v="110/81"/>
    <n v="8.93"/>
    <x v="3"/>
    <x v="1"/>
    <x v="0"/>
    <n v="110"/>
    <n v="81"/>
    <x v="4"/>
    <x v="1"/>
    <s v="Normal"/>
    <x v="2"/>
  </r>
  <r>
    <x v="1"/>
    <x v="1"/>
    <n v="193.47"/>
    <n v="19.39"/>
    <x v="3"/>
    <n v="249"/>
    <s v="137/84"/>
    <n v="4.84"/>
    <x v="0"/>
    <x v="0"/>
    <x v="1"/>
    <n v="137"/>
    <n v="84"/>
    <x v="1"/>
    <x v="0"/>
    <s v="High"/>
    <x v="2"/>
  </r>
  <r>
    <x v="9"/>
    <x v="0"/>
    <n v="291.97000000000003"/>
    <n v="22.3"/>
    <x v="0"/>
    <n v="196"/>
    <s v="124/82"/>
    <n v="7.6"/>
    <x v="3"/>
    <x v="1"/>
    <x v="0"/>
    <n v="124"/>
    <n v="82"/>
    <x v="5"/>
    <x v="1"/>
    <s v="Normal"/>
    <x v="2"/>
  </r>
  <r>
    <x v="20"/>
    <x v="1"/>
    <n v="167.89"/>
    <n v="34.450000000000003"/>
    <x v="0"/>
    <n v="221"/>
    <s v="117/76"/>
    <n v="6.31"/>
    <x v="4"/>
    <x v="1"/>
    <x v="1"/>
    <n v="117"/>
    <n v="76"/>
    <x v="0"/>
    <x v="2"/>
    <s v="Boarderline"/>
    <x v="1"/>
  </r>
  <r>
    <x v="19"/>
    <x v="1"/>
    <n v="75.77"/>
    <n v="18.98"/>
    <x v="0"/>
    <n v="118"/>
    <s v="110/79"/>
    <n v="8.25"/>
    <x v="7"/>
    <x v="0"/>
    <x v="1"/>
    <n v="110"/>
    <n v="79"/>
    <x v="2"/>
    <x v="1"/>
    <s v="Low"/>
    <x v="2"/>
  </r>
  <r>
    <x v="60"/>
    <x v="0"/>
    <n v="114.94"/>
    <n v="31.93"/>
    <x v="2"/>
    <n v="106"/>
    <s v="138/64"/>
    <n v="9.24"/>
    <x v="6"/>
    <x v="1"/>
    <x v="1"/>
    <n v="138"/>
    <n v="64"/>
    <x v="5"/>
    <x v="1"/>
    <s v="Low"/>
    <x v="1"/>
  </r>
  <r>
    <x v="47"/>
    <x v="0"/>
    <n v="250.05"/>
    <n v="35.29"/>
    <x v="1"/>
    <n v="185"/>
    <s v="122/65"/>
    <n v="8.84"/>
    <x v="5"/>
    <x v="0"/>
    <x v="1"/>
    <n v="122"/>
    <n v="65"/>
    <x v="3"/>
    <x v="1"/>
    <s v="Normal"/>
    <x v="1"/>
  </r>
  <r>
    <x v="42"/>
    <x v="0"/>
    <n v="290.75"/>
    <n v="18.7"/>
    <x v="2"/>
    <n v="168"/>
    <s v="122/65"/>
    <n v="7.32"/>
    <x v="4"/>
    <x v="0"/>
    <x v="1"/>
    <n v="122"/>
    <n v="65"/>
    <x v="3"/>
    <x v="3"/>
    <s v="Normal"/>
    <x v="2"/>
  </r>
  <r>
    <x v="22"/>
    <x v="0"/>
    <n v="222.49"/>
    <n v="21.96"/>
    <x v="1"/>
    <n v="272"/>
    <s v="95/78"/>
    <n v="9.85"/>
    <x v="4"/>
    <x v="0"/>
    <x v="1"/>
    <n v="95"/>
    <n v="78"/>
    <x v="5"/>
    <x v="1"/>
    <s v="High"/>
    <x v="2"/>
  </r>
  <r>
    <x v="7"/>
    <x v="1"/>
    <n v="137.34"/>
    <n v="31.78"/>
    <x v="2"/>
    <n v="165"/>
    <s v="120/75"/>
    <n v="4.1100000000000003"/>
    <x v="5"/>
    <x v="1"/>
    <x v="0"/>
    <n v="120"/>
    <n v="75"/>
    <x v="3"/>
    <x v="0"/>
    <s v="Normal"/>
    <x v="1"/>
  </r>
  <r>
    <x v="2"/>
    <x v="0"/>
    <n v="139.46"/>
    <n v="32.21"/>
    <x v="2"/>
    <n v="239"/>
    <s v="103/72"/>
    <n v="4.6900000000000004"/>
    <x v="7"/>
    <x v="1"/>
    <x v="1"/>
    <n v="103"/>
    <n v="72"/>
    <x v="2"/>
    <x v="0"/>
    <s v="Boarderline"/>
    <x v="1"/>
  </r>
  <r>
    <x v="55"/>
    <x v="1"/>
    <n v="95.21"/>
    <n v="30.93"/>
    <x v="1"/>
    <n v="104"/>
    <s v="130/74"/>
    <n v="4.0999999999999996"/>
    <x v="7"/>
    <x v="1"/>
    <x v="0"/>
    <n v="130"/>
    <n v="74"/>
    <x v="3"/>
    <x v="0"/>
    <s v="Low"/>
    <x v="1"/>
  </r>
  <r>
    <x v="52"/>
    <x v="1"/>
    <n v="290.54000000000002"/>
    <n v="20.2"/>
    <x v="0"/>
    <n v="188"/>
    <s v="113/60"/>
    <n v="6.5"/>
    <x v="5"/>
    <x v="1"/>
    <x v="1"/>
    <n v="113"/>
    <n v="60"/>
    <x v="3"/>
    <x v="3"/>
    <s v="Normal"/>
    <x v="2"/>
  </r>
  <r>
    <x v="20"/>
    <x v="1"/>
    <n v="275.76"/>
    <n v="25.63"/>
    <x v="1"/>
    <n v="239"/>
    <s v="102/80"/>
    <n v="7.17"/>
    <x v="5"/>
    <x v="1"/>
    <x v="1"/>
    <n v="102"/>
    <n v="80"/>
    <x v="0"/>
    <x v="3"/>
    <s v="Boarderline"/>
    <x v="0"/>
  </r>
  <r>
    <x v="58"/>
    <x v="1"/>
    <n v="168.54"/>
    <n v="38.35"/>
    <x v="1"/>
    <n v="231"/>
    <s v="139/60"/>
    <n v="6.57"/>
    <x v="0"/>
    <x v="1"/>
    <x v="1"/>
    <n v="139"/>
    <n v="60"/>
    <x v="2"/>
    <x v="3"/>
    <s v="Boarderline"/>
    <x v="1"/>
  </r>
  <r>
    <x v="60"/>
    <x v="1"/>
    <n v="190.61"/>
    <n v="35.700000000000003"/>
    <x v="2"/>
    <n v="296"/>
    <s v="135/73"/>
    <n v="7.98"/>
    <x v="3"/>
    <x v="0"/>
    <x v="1"/>
    <n v="135"/>
    <n v="73"/>
    <x v="5"/>
    <x v="1"/>
    <s v="High"/>
    <x v="1"/>
  </r>
  <r>
    <x v="59"/>
    <x v="0"/>
    <n v="295.55"/>
    <n v="35.21"/>
    <x v="1"/>
    <n v="231"/>
    <s v="96/63"/>
    <n v="8.42"/>
    <x v="5"/>
    <x v="1"/>
    <x v="1"/>
    <n v="96"/>
    <n v="63"/>
    <x v="1"/>
    <x v="1"/>
    <s v="Boarderline"/>
    <x v="1"/>
  </r>
  <r>
    <x v="13"/>
    <x v="1"/>
    <n v="117.39"/>
    <n v="27"/>
    <x v="2"/>
    <n v="255"/>
    <s v="122/72"/>
    <n v="5.33"/>
    <x v="5"/>
    <x v="0"/>
    <x v="0"/>
    <n v="122"/>
    <n v="72"/>
    <x v="1"/>
    <x v="0"/>
    <s v="High"/>
    <x v="0"/>
  </r>
  <r>
    <x v="46"/>
    <x v="0"/>
    <n v="288.74"/>
    <n v="31.15"/>
    <x v="0"/>
    <n v="240"/>
    <s v="139/68"/>
    <n v="9.35"/>
    <x v="1"/>
    <x v="0"/>
    <x v="1"/>
    <n v="139"/>
    <n v="68"/>
    <x v="0"/>
    <x v="1"/>
    <s v="Boarderline"/>
    <x v="1"/>
  </r>
  <r>
    <x v="14"/>
    <x v="0"/>
    <n v="126.51"/>
    <n v="39.18"/>
    <x v="2"/>
    <n v="243"/>
    <s v="132/87"/>
    <n v="8.43"/>
    <x v="5"/>
    <x v="0"/>
    <x v="0"/>
    <n v="132"/>
    <n v="87"/>
    <x v="3"/>
    <x v="1"/>
    <s v="High"/>
    <x v="1"/>
  </r>
  <r>
    <x v="41"/>
    <x v="0"/>
    <n v="232.68"/>
    <n v="25.54"/>
    <x v="1"/>
    <n v="165"/>
    <s v="138/66"/>
    <n v="7.66"/>
    <x v="1"/>
    <x v="0"/>
    <x v="1"/>
    <n v="138"/>
    <n v="66"/>
    <x v="5"/>
    <x v="1"/>
    <s v="Normal"/>
    <x v="0"/>
  </r>
  <r>
    <x v="40"/>
    <x v="0"/>
    <n v="192.64"/>
    <n v="26.67"/>
    <x v="3"/>
    <n v="236"/>
    <s v="138/90"/>
    <n v="7.28"/>
    <x v="4"/>
    <x v="1"/>
    <x v="0"/>
    <n v="138"/>
    <n v="90"/>
    <x v="2"/>
    <x v="3"/>
    <s v="Boarderline"/>
    <x v="0"/>
  </r>
  <r>
    <x v="6"/>
    <x v="1"/>
    <n v="187.95"/>
    <n v="18.309999999999999"/>
    <x v="1"/>
    <n v="190"/>
    <s v="126/73"/>
    <n v="9.4499999999999993"/>
    <x v="1"/>
    <x v="0"/>
    <x v="1"/>
    <n v="126"/>
    <n v="73"/>
    <x v="3"/>
    <x v="1"/>
    <s v="Normal"/>
    <x v="3"/>
  </r>
  <r>
    <x v="39"/>
    <x v="1"/>
    <n v="267.58999999999997"/>
    <n v="25.73"/>
    <x v="2"/>
    <n v="225"/>
    <s v="115/90"/>
    <n v="8.8699999999999992"/>
    <x v="6"/>
    <x v="0"/>
    <x v="0"/>
    <n v="115"/>
    <n v="90"/>
    <x v="5"/>
    <x v="1"/>
    <s v="Boarderline"/>
    <x v="0"/>
  </r>
  <r>
    <x v="1"/>
    <x v="1"/>
    <n v="106.8"/>
    <n v="34.020000000000003"/>
    <x v="0"/>
    <n v="300"/>
    <s v="90/67"/>
    <n v="5.94"/>
    <x v="2"/>
    <x v="1"/>
    <x v="1"/>
    <n v="90"/>
    <n v="67"/>
    <x v="1"/>
    <x v="2"/>
    <s v="High"/>
    <x v="1"/>
  </r>
  <r>
    <x v="56"/>
    <x v="0"/>
    <n v="158.16999999999999"/>
    <n v="28.17"/>
    <x v="1"/>
    <n v="122"/>
    <s v="110/88"/>
    <n v="7.18"/>
    <x v="4"/>
    <x v="0"/>
    <x v="0"/>
    <n v="110"/>
    <n v="88"/>
    <x v="5"/>
    <x v="3"/>
    <s v="Normal"/>
    <x v="0"/>
  </r>
  <r>
    <x v="33"/>
    <x v="1"/>
    <n v="128.63999999999999"/>
    <n v="23"/>
    <x v="3"/>
    <n v="242"/>
    <s v="90/69"/>
    <n v="6.89"/>
    <x v="3"/>
    <x v="1"/>
    <x v="0"/>
    <n v="90"/>
    <n v="69"/>
    <x v="5"/>
    <x v="3"/>
    <s v="High"/>
    <x v="2"/>
  </r>
  <r>
    <x v="60"/>
    <x v="1"/>
    <n v="129.33000000000001"/>
    <n v="25.91"/>
    <x v="3"/>
    <n v="208"/>
    <s v="126/61"/>
    <n v="7.35"/>
    <x v="0"/>
    <x v="1"/>
    <x v="0"/>
    <n v="126"/>
    <n v="61"/>
    <x v="5"/>
    <x v="3"/>
    <s v="Boarderline"/>
    <x v="0"/>
  </r>
  <r>
    <x v="52"/>
    <x v="0"/>
    <n v="189.45"/>
    <n v="35.11"/>
    <x v="3"/>
    <n v="203"/>
    <s v="132/79"/>
    <n v="6.61"/>
    <x v="6"/>
    <x v="0"/>
    <x v="0"/>
    <n v="132"/>
    <n v="79"/>
    <x v="3"/>
    <x v="3"/>
    <s v="Boarderline"/>
    <x v="1"/>
  </r>
  <r>
    <x v="25"/>
    <x v="0"/>
    <n v="244.78"/>
    <n v="25.59"/>
    <x v="1"/>
    <n v="222"/>
    <s v="99/88"/>
    <n v="7.57"/>
    <x v="7"/>
    <x v="1"/>
    <x v="1"/>
    <n v="99"/>
    <n v="88"/>
    <x v="1"/>
    <x v="1"/>
    <s v="Boarderline"/>
    <x v="0"/>
  </r>
  <r>
    <x v="61"/>
    <x v="0"/>
    <n v="272.08"/>
    <n v="21.12"/>
    <x v="1"/>
    <n v="194"/>
    <s v="108/75"/>
    <n v="8.7200000000000006"/>
    <x v="2"/>
    <x v="0"/>
    <x v="0"/>
    <n v="108"/>
    <n v="75"/>
    <x v="2"/>
    <x v="1"/>
    <s v="Normal"/>
    <x v="2"/>
  </r>
  <r>
    <x v="42"/>
    <x v="0"/>
    <n v="82.73"/>
    <n v="33.36"/>
    <x v="0"/>
    <n v="224"/>
    <s v="128/70"/>
    <n v="7.36"/>
    <x v="1"/>
    <x v="0"/>
    <x v="0"/>
    <n v="128"/>
    <n v="70"/>
    <x v="3"/>
    <x v="3"/>
    <s v="Boarderline"/>
    <x v="1"/>
  </r>
  <r>
    <x v="31"/>
    <x v="1"/>
    <n v="213.16"/>
    <n v="31.43"/>
    <x v="2"/>
    <n v="129"/>
    <s v="138/72"/>
    <n v="6.42"/>
    <x v="3"/>
    <x v="0"/>
    <x v="0"/>
    <n v="138"/>
    <n v="72"/>
    <x v="2"/>
    <x v="3"/>
    <s v="Normal"/>
    <x v="1"/>
  </r>
  <r>
    <x v="15"/>
    <x v="0"/>
    <n v="146.1"/>
    <n v="21.1"/>
    <x v="1"/>
    <n v="297"/>
    <s v="118/84"/>
    <n v="4.43"/>
    <x v="2"/>
    <x v="0"/>
    <x v="1"/>
    <n v="118"/>
    <n v="84"/>
    <x v="0"/>
    <x v="0"/>
    <s v="High"/>
    <x v="2"/>
  </r>
  <r>
    <x v="25"/>
    <x v="1"/>
    <n v="112.31"/>
    <n v="39.590000000000003"/>
    <x v="0"/>
    <n v="288"/>
    <s v="131/77"/>
    <n v="7.61"/>
    <x v="0"/>
    <x v="0"/>
    <x v="1"/>
    <n v="131"/>
    <n v="77"/>
    <x v="1"/>
    <x v="1"/>
    <s v="High"/>
    <x v="1"/>
  </r>
  <r>
    <x v="7"/>
    <x v="1"/>
    <n v="132.34"/>
    <n v="18.18"/>
    <x v="3"/>
    <n v="269"/>
    <s v="134/82"/>
    <n v="6.57"/>
    <x v="3"/>
    <x v="1"/>
    <x v="0"/>
    <n v="134"/>
    <n v="82"/>
    <x v="3"/>
    <x v="3"/>
    <s v="High"/>
    <x v="3"/>
  </r>
  <r>
    <x v="16"/>
    <x v="0"/>
    <n v="155.88999999999999"/>
    <n v="39.979999999999997"/>
    <x v="0"/>
    <n v="159"/>
    <s v="139/69"/>
    <n v="4.67"/>
    <x v="4"/>
    <x v="0"/>
    <x v="0"/>
    <n v="139"/>
    <n v="69"/>
    <x v="4"/>
    <x v="0"/>
    <s v="Normal"/>
    <x v="1"/>
  </r>
  <r>
    <x v="57"/>
    <x v="1"/>
    <n v="176.91"/>
    <n v="29.98"/>
    <x v="1"/>
    <n v="250"/>
    <s v="91/83"/>
    <n v="5.24"/>
    <x v="6"/>
    <x v="0"/>
    <x v="1"/>
    <n v="91"/>
    <n v="83"/>
    <x v="3"/>
    <x v="0"/>
    <s v="High"/>
    <x v="1"/>
  </r>
  <r>
    <x v="25"/>
    <x v="0"/>
    <n v="161.29"/>
    <n v="20"/>
    <x v="2"/>
    <n v="211"/>
    <s v="107/86"/>
    <n v="4.25"/>
    <x v="5"/>
    <x v="1"/>
    <x v="1"/>
    <n v="107"/>
    <n v="86"/>
    <x v="1"/>
    <x v="0"/>
    <s v="Boarderline"/>
    <x v="2"/>
  </r>
  <r>
    <x v="23"/>
    <x v="1"/>
    <n v="189.26"/>
    <n v="36.340000000000003"/>
    <x v="0"/>
    <n v="241"/>
    <s v="129/80"/>
    <n v="7.94"/>
    <x v="2"/>
    <x v="0"/>
    <x v="1"/>
    <n v="129"/>
    <n v="80"/>
    <x v="0"/>
    <x v="1"/>
    <s v="High"/>
    <x v="1"/>
  </r>
  <r>
    <x v="60"/>
    <x v="1"/>
    <n v="153.59"/>
    <n v="30.41"/>
    <x v="3"/>
    <n v="111"/>
    <s v="132/85"/>
    <n v="9.7799999999999994"/>
    <x v="2"/>
    <x v="1"/>
    <x v="1"/>
    <n v="132"/>
    <n v="85"/>
    <x v="5"/>
    <x v="1"/>
    <s v="Low"/>
    <x v="1"/>
  </r>
  <r>
    <x v="62"/>
    <x v="0"/>
    <n v="215.03"/>
    <n v="22.79"/>
    <x v="0"/>
    <n v="144"/>
    <s v="114/63"/>
    <n v="5.22"/>
    <x v="3"/>
    <x v="1"/>
    <x v="0"/>
    <n v="114"/>
    <n v="63"/>
    <x v="4"/>
    <x v="0"/>
    <s v="Normal"/>
    <x v="2"/>
  </r>
  <r>
    <x v="25"/>
    <x v="0"/>
    <n v="235.75"/>
    <n v="25.73"/>
    <x v="1"/>
    <n v="135"/>
    <s v="129/77"/>
    <n v="8.82"/>
    <x v="5"/>
    <x v="0"/>
    <x v="1"/>
    <n v="129"/>
    <n v="77"/>
    <x v="1"/>
    <x v="1"/>
    <s v="Normal"/>
    <x v="0"/>
  </r>
  <r>
    <x v="39"/>
    <x v="0"/>
    <n v="91.06"/>
    <n v="24.13"/>
    <x v="0"/>
    <n v="213"/>
    <s v="137/82"/>
    <n v="9.34"/>
    <x v="1"/>
    <x v="1"/>
    <x v="1"/>
    <n v="137"/>
    <n v="82"/>
    <x v="5"/>
    <x v="1"/>
    <s v="Boarderline"/>
    <x v="2"/>
  </r>
  <r>
    <x v="27"/>
    <x v="1"/>
    <n v="192.41"/>
    <n v="24.94"/>
    <x v="1"/>
    <n v="216"/>
    <s v="126/75"/>
    <n v="6.52"/>
    <x v="4"/>
    <x v="1"/>
    <x v="1"/>
    <n v="126"/>
    <n v="75"/>
    <x v="4"/>
    <x v="3"/>
    <s v="Boarderline"/>
    <x v="0"/>
  </r>
  <r>
    <x v="31"/>
    <x v="1"/>
    <n v="173.47"/>
    <n v="26.41"/>
    <x v="1"/>
    <n v="252"/>
    <s v="138/64"/>
    <n v="7.41"/>
    <x v="5"/>
    <x v="0"/>
    <x v="0"/>
    <n v="138"/>
    <n v="64"/>
    <x v="2"/>
    <x v="3"/>
    <s v="High"/>
    <x v="0"/>
  </r>
  <r>
    <x v="18"/>
    <x v="0"/>
    <n v="294.01"/>
    <n v="35.270000000000003"/>
    <x v="0"/>
    <n v="248"/>
    <s v="131/76"/>
    <n v="4.1100000000000003"/>
    <x v="1"/>
    <x v="1"/>
    <x v="0"/>
    <n v="131"/>
    <n v="76"/>
    <x v="4"/>
    <x v="0"/>
    <s v="High"/>
    <x v="1"/>
  </r>
  <r>
    <x v="3"/>
    <x v="1"/>
    <n v="227.69"/>
    <n v="35.130000000000003"/>
    <x v="1"/>
    <n v="210"/>
    <s v="102/60"/>
    <n v="7.74"/>
    <x v="5"/>
    <x v="0"/>
    <x v="0"/>
    <n v="102"/>
    <n v="60"/>
    <x v="1"/>
    <x v="1"/>
    <s v="Boarderline"/>
    <x v="1"/>
  </r>
  <r>
    <x v="6"/>
    <x v="0"/>
    <n v="80.84"/>
    <n v="34.869999999999997"/>
    <x v="0"/>
    <n v="264"/>
    <s v="96/76"/>
    <n v="7.79"/>
    <x v="6"/>
    <x v="1"/>
    <x v="0"/>
    <n v="96"/>
    <n v="76"/>
    <x v="3"/>
    <x v="1"/>
    <s v="High"/>
    <x v="1"/>
  </r>
  <r>
    <x v="18"/>
    <x v="1"/>
    <n v="284.62"/>
    <n v="37.630000000000003"/>
    <x v="1"/>
    <n v="276"/>
    <s v="95/84"/>
    <n v="6.18"/>
    <x v="0"/>
    <x v="0"/>
    <x v="1"/>
    <n v="95"/>
    <n v="84"/>
    <x v="4"/>
    <x v="2"/>
    <s v="High"/>
    <x v="1"/>
  </r>
  <r>
    <x v="5"/>
    <x v="1"/>
    <n v="99.62"/>
    <n v="25.75"/>
    <x v="0"/>
    <n v="117"/>
    <s v="99/88"/>
    <n v="5.54"/>
    <x v="2"/>
    <x v="0"/>
    <x v="1"/>
    <n v="99"/>
    <n v="88"/>
    <x v="3"/>
    <x v="0"/>
    <s v="Low"/>
    <x v="0"/>
  </r>
  <r>
    <x v="2"/>
    <x v="1"/>
    <n v="290.02999999999997"/>
    <n v="18.850000000000001"/>
    <x v="0"/>
    <n v="248"/>
    <s v="97/72"/>
    <n v="8.9700000000000006"/>
    <x v="6"/>
    <x v="0"/>
    <x v="1"/>
    <n v="97"/>
    <n v="72"/>
    <x v="2"/>
    <x v="1"/>
    <s v="High"/>
    <x v="2"/>
  </r>
  <r>
    <x v="43"/>
    <x v="0"/>
    <n v="223.11"/>
    <n v="22.91"/>
    <x v="1"/>
    <n v="266"/>
    <s v="126/74"/>
    <n v="4.82"/>
    <x v="6"/>
    <x v="1"/>
    <x v="0"/>
    <n v="126"/>
    <n v="74"/>
    <x v="2"/>
    <x v="0"/>
    <s v="High"/>
    <x v="2"/>
  </r>
  <r>
    <x v="28"/>
    <x v="0"/>
    <n v="268.61"/>
    <n v="39.6"/>
    <x v="0"/>
    <n v="245"/>
    <s v="95/62"/>
    <n v="6.92"/>
    <x v="1"/>
    <x v="0"/>
    <x v="1"/>
    <n v="95"/>
    <n v="62"/>
    <x v="3"/>
    <x v="3"/>
    <s v="High"/>
    <x v="1"/>
  </r>
  <r>
    <x v="25"/>
    <x v="1"/>
    <n v="198.57"/>
    <n v="27.31"/>
    <x v="3"/>
    <n v="279"/>
    <s v="108/71"/>
    <n v="8.07"/>
    <x v="6"/>
    <x v="1"/>
    <x v="0"/>
    <n v="108"/>
    <n v="71"/>
    <x v="1"/>
    <x v="1"/>
    <s v="High"/>
    <x v="0"/>
  </r>
  <r>
    <x v="56"/>
    <x v="0"/>
    <n v="182.55"/>
    <n v="39.74"/>
    <x v="0"/>
    <n v="244"/>
    <s v="114/89"/>
    <n v="8.73"/>
    <x v="4"/>
    <x v="0"/>
    <x v="1"/>
    <n v="114"/>
    <n v="89"/>
    <x v="5"/>
    <x v="1"/>
    <s v="High"/>
    <x v="1"/>
  </r>
  <r>
    <x v="53"/>
    <x v="0"/>
    <n v="100.06"/>
    <n v="38.020000000000003"/>
    <x v="2"/>
    <n v="173"/>
    <s v="127/65"/>
    <n v="9.76"/>
    <x v="6"/>
    <x v="1"/>
    <x v="0"/>
    <n v="127"/>
    <n v="65"/>
    <x v="5"/>
    <x v="1"/>
    <s v="Normal"/>
    <x v="1"/>
  </r>
  <r>
    <x v="30"/>
    <x v="0"/>
    <n v="108.56"/>
    <n v="35.020000000000003"/>
    <x v="1"/>
    <n v="296"/>
    <s v="126/67"/>
    <n v="5.34"/>
    <x v="7"/>
    <x v="1"/>
    <x v="0"/>
    <n v="126"/>
    <n v="67"/>
    <x v="3"/>
    <x v="0"/>
    <s v="High"/>
    <x v="1"/>
  </r>
  <r>
    <x v="54"/>
    <x v="1"/>
    <n v="256.22000000000003"/>
    <n v="32.409999999999997"/>
    <x v="3"/>
    <n v="101"/>
    <s v="96/60"/>
    <n v="5.49"/>
    <x v="5"/>
    <x v="1"/>
    <x v="0"/>
    <n v="96"/>
    <n v="60"/>
    <x v="0"/>
    <x v="0"/>
    <s v="Low"/>
    <x v="1"/>
  </r>
  <r>
    <x v="59"/>
    <x v="1"/>
    <n v="258.81"/>
    <n v="30.59"/>
    <x v="3"/>
    <n v="260"/>
    <s v="136/84"/>
    <n v="5.0599999999999996"/>
    <x v="1"/>
    <x v="0"/>
    <x v="1"/>
    <n v="136"/>
    <n v="84"/>
    <x v="1"/>
    <x v="0"/>
    <s v="High"/>
    <x v="1"/>
  </r>
  <r>
    <x v="7"/>
    <x v="1"/>
    <n v="210.99"/>
    <n v="36.450000000000003"/>
    <x v="0"/>
    <n v="161"/>
    <s v="140/71"/>
    <n v="8.94"/>
    <x v="6"/>
    <x v="1"/>
    <x v="0"/>
    <n v="140"/>
    <n v="71"/>
    <x v="3"/>
    <x v="1"/>
    <s v="Normal"/>
    <x v="1"/>
  </r>
  <r>
    <x v="30"/>
    <x v="1"/>
    <n v="203.08"/>
    <n v="37.270000000000003"/>
    <x v="2"/>
    <n v="261"/>
    <s v="131/76"/>
    <n v="9.06"/>
    <x v="7"/>
    <x v="1"/>
    <x v="1"/>
    <n v="131"/>
    <n v="76"/>
    <x v="3"/>
    <x v="1"/>
    <s v="High"/>
    <x v="1"/>
  </r>
  <r>
    <x v="43"/>
    <x v="0"/>
    <n v="120.82"/>
    <n v="25.46"/>
    <x v="0"/>
    <n v="260"/>
    <s v="95/86"/>
    <n v="9.4499999999999993"/>
    <x v="1"/>
    <x v="1"/>
    <x v="0"/>
    <n v="95"/>
    <n v="86"/>
    <x v="2"/>
    <x v="1"/>
    <s v="High"/>
    <x v="0"/>
  </r>
  <r>
    <x v="42"/>
    <x v="0"/>
    <n v="168.35"/>
    <n v="18.190000000000001"/>
    <x v="3"/>
    <n v="264"/>
    <s v="122/77"/>
    <n v="8.18"/>
    <x v="4"/>
    <x v="0"/>
    <x v="0"/>
    <n v="122"/>
    <n v="77"/>
    <x v="3"/>
    <x v="1"/>
    <s v="High"/>
    <x v="3"/>
  </r>
  <r>
    <x v="26"/>
    <x v="0"/>
    <n v="96.99"/>
    <n v="22.89"/>
    <x v="3"/>
    <n v="255"/>
    <s v="93/73"/>
    <n v="7.8"/>
    <x v="5"/>
    <x v="1"/>
    <x v="1"/>
    <n v="93"/>
    <n v="73"/>
    <x v="2"/>
    <x v="1"/>
    <s v="High"/>
    <x v="2"/>
  </r>
  <r>
    <x v="19"/>
    <x v="0"/>
    <n v="177.53"/>
    <n v="29.24"/>
    <x v="2"/>
    <n v="252"/>
    <s v="134/80"/>
    <n v="8.92"/>
    <x v="2"/>
    <x v="1"/>
    <x v="1"/>
    <n v="134"/>
    <n v="80"/>
    <x v="2"/>
    <x v="1"/>
    <s v="High"/>
    <x v="0"/>
  </r>
  <r>
    <x v="1"/>
    <x v="0"/>
    <n v="264.44"/>
    <n v="27.22"/>
    <x v="0"/>
    <n v="133"/>
    <s v="117/77"/>
    <n v="9.75"/>
    <x v="2"/>
    <x v="0"/>
    <x v="1"/>
    <n v="117"/>
    <n v="77"/>
    <x v="1"/>
    <x v="1"/>
    <s v="Normal"/>
    <x v="0"/>
  </r>
  <r>
    <x v="7"/>
    <x v="0"/>
    <n v="128.25"/>
    <n v="31.72"/>
    <x v="2"/>
    <n v="298"/>
    <s v="124/63"/>
    <n v="5.0999999999999996"/>
    <x v="5"/>
    <x v="1"/>
    <x v="0"/>
    <n v="124"/>
    <n v="63"/>
    <x v="3"/>
    <x v="0"/>
    <s v="High"/>
    <x v="1"/>
  </r>
  <r>
    <x v="30"/>
    <x v="1"/>
    <n v="114.78"/>
    <n v="18.38"/>
    <x v="1"/>
    <n v="248"/>
    <s v="99/72"/>
    <n v="8.34"/>
    <x v="5"/>
    <x v="1"/>
    <x v="1"/>
    <n v="99"/>
    <n v="72"/>
    <x v="3"/>
    <x v="1"/>
    <s v="High"/>
    <x v="3"/>
  </r>
  <r>
    <x v="46"/>
    <x v="1"/>
    <n v="269.43"/>
    <n v="37.14"/>
    <x v="1"/>
    <n v="207"/>
    <s v="124/83"/>
    <n v="5.05"/>
    <x v="0"/>
    <x v="0"/>
    <x v="1"/>
    <n v="124"/>
    <n v="83"/>
    <x v="0"/>
    <x v="0"/>
    <s v="Boarderline"/>
    <x v="1"/>
  </r>
  <r>
    <x v="54"/>
    <x v="0"/>
    <n v="182.86"/>
    <n v="36.4"/>
    <x v="2"/>
    <n v="246"/>
    <s v="132/65"/>
    <n v="6.39"/>
    <x v="4"/>
    <x v="0"/>
    <x v="0"/>
    <n v="132"/>
    <n v="65"/>
    <x v="0"/>
    <x v="2"/>
    <s v="High"/>
    <x v="1"/>
  </r>
  <r>
    <x v="25"/>
    <x v="0"/>
    <n v="157.76"/>
    <n v="29.69"/>
    <x v="0"/>
    <n v="186"/>
    <s v="102/75"/>
    <n v="4.28"/>
    <x v="3"/>
    <x v="1"/>
    <x v="0"/>
    <n v="102"/>
    <n v="75"/>
    <x v="1"/>
    <x v="0"/>
    <s v="Normal"/>
    <x v="0"/>
  </r>
  <r>
    <x v="23"/>
    <x v="0"/>
    <n v="190.65"/>
    <n v="21.77"/>
    <x v="3"/>
    <n v="170"/>
    <s v="111/89"/>
    <n v="9.44"/>
    <x v="7"/>
    <x v="1"/>
    <x v="0"/>
    <n v="111"/>
    <n v="89"/>
    <x v="0"/>
    <x v="1"/>
    <s v="Normal"/>
    <x v="2"/>
  </r>
  <r>
    <x v="11"/>
    <x v="0"/>
    <n v="205.41"/>
    <n v="25.13"/>
    <x v="2"/>
    <n v="117"/>
    <s v="129/87"/>
    <n v="6.48"/>
    <x v="1"/>
    <x v="1"/>
    <x v="0"/>
    <n v="129"/>
    <n v="87"/>
    <x v="1"/>
    <x v="3"/>
    <s v="Low"/>
    <x v="0"/>
  </r>
  <r>
    <x v="1"/>
    <x v="0"/>
    <n v="207.31"/>
    <n v="33.840000000000003"/>
    <x v="1"/>
    <n v="204"/>
    <s v="140/60"/>
    <n v="4.26"/>
    <x v="0"/>
    <x v="0"/>
    <x v="0"/>
    <n v="140"/>
    <n v="60"/>
    <x v="1"/>
    <x v="0"/>
    <s v="Boarderline"/>
    <x v="1"/>
  </r>
  <r>
    <x v="31"/>
    <x v="0"/>
    <n v="215.76"/>
    <n v="19.46"/>
    <x v="2"/>
    <n v="286"/>
    <s v="137/67"/>
    <n v="9.19"/>
    <x v="6"/>
    <x v="0"/>
    <x v="0"/>
    <n v="137"/>
    <n v="67"/>
    <x v="2"/>
    <x v="1"/>
    <s v="High"/>
    <x v="2"/>
  </r>
  <r>
    <x v="18"/>
    <x v="0"/>
    <n v="262.89999999999998"/>
    <n v="18.100000000000001"/>
    <x v="2"/>
    <n v="144"/>
    <s v="90/80"/>
    <n v="4.2"/>
    <x v="6"/>
    <x v="0"/>
    <x v="1"/>
    <n v="90"/>
    <n v="80"/>
    <x v="4"/>
    <x v="0"/>
    <s v="Normal"/>
    <x v="3"/>
  </r>
  <r>
    <x v="21"/>
    <x v="1"/>
    <n v="222.59"/>
    <n v="35.11"/>
    <x v="3"/>
    <n v="192"/>
    <s v="90/89"/>
    <n v="4.9800000000000004"/>
    <x v="7"/>
    <x v="1"/>
    <x v="1"/>
    <n v="90"/>
    <n v="89"/>
    <x v="3"/>
    <x v="0"/>
    <s v="Normal"/>
    <x v="1"/>
  </r>
  <r>
    <x v="31"/>
    <x v="1"/>
    <n v="214.73"/>
    <n v="28.63"/>
    <x v="1"/>
    <n v="277"/>
    <s v="102/60"/>
    <n v="5.33"/>
    <x v="3"/>
    <x v="0"/>
    <x v="1"/>
    <n v="102"/>
    <n v="60"/>
    <x v="2"/>
    <x v="0"/>
    <s v="High"/>
    <x v="0"/>
  </r>
  <r>
    <x v="28"/>
    <x v="1"/>
    <n v="248"/>
    <n v="34.72"/>
    <x v="2"/>
    <n v="156"/>
    <s v="137/67"/>
    <n v="4.07"/>
    <x v="2"/>
    <x v="1"/>
    <x v="0"/>
    <n v="137"/>
    <n v="67"/>
    <x v="3"/>
    <x v="0"/>
    <s v="Normal"/>
    <x v="1"/>
  </r>
  <r>
    <x v="27"/>
    <x v="0"/>
    <n v="261.61"/>
    <n v="25.26"/>
    <x v="2"/>
    <n v="255"/>
    <s v="113/88"/>
    <n v="5.97"/>
    <x v="0"/>
    <x v="1"/>
    <x v="0"/>
    <n v="113"/>
    <n v="88"/>
    <x v="4"/>
    <x v="2"/>
    <s v="High"/>
    <x v="0"/>
  </r>
  <r>
    <x v="13"/>
    <x v="0"/>
    <n v="173.46"/>
    <n v="25.38"/>
    <x v="0"/>
    <n v="277"/>
    <s v="140/64"/>
    <n v="5.15"/>
    <x v="4"/>
    <x v="0"/>
    <x v="1"/>
    <n v="140"/>
    <n v="64"/>
    <x v="1"/>
    <x v="0"/>
    <s v="High"/>
    <x v="0"/>
  </r>
  <r>
    <x v="31"/>
    <x v="1"/>
    <n v="209.84"/>
    <n v="19.41"/>
    <x v="1"/>
    <n v="269"/>
    <s v="94/67"/>
    <n v="4.8600000000000003"/>
    <x v="5"/>
    <x v="0"/>
    <x v="1"/>
    <n v="94"/>
    <n v="67"/>
    <x v="2"/>
    <x v="0"/>
    <s v="High"/>
    <x v="2"/>
  </r>
  <r>
    <x v="50"/>
    <x v="1"/>
    <n v="183.98"/>
    <n v="35.950000000000003"/>
    <x v="1"/>
    <n v="231"/>
    <s v="115/72"/>
    <n v="8.24"/>
    <x v="7"/>
    <x v="0"/>
    <x v="0"/>
    <n v="115"/>
    <n v="72"/>
    <x v="2"/>
    <x v="1"/>
    <s v="Boarderline"/>
    <x v="1"/>
  </r>
  <r>
    <x v="34"/>
    <x v="0"/>
    <n v="204.2"/>
    <n v="37"/>
    <x v="0"/>
    <n v="286"/>
    <s v="137/78"/>
    <n v="9.8699999999999992"/>
    <x v="5"/>
    <x v="0"/>
    <x v="1"/>
    <n v="137"/>
    <n v="78"/>
    <x v="5"/>
    <x v="1"/>
    <s v="High"/>
    <x v="1"/>
  </r>
  <r>
    <x v="43"/>
    <x v="1"/>
    <n v="92.99"/>
    <n v="33.15"/>
    <x v="0"/>
    <n v="239"/>
    <s v="132/65"/>
    <n v="4.01"/>
    <x v="0"/>
    <x v="1"/>
    <x v="0"/>
    <n v="132"/>
    <n v="65"/>
    <x v="2"/>
    <x v="0"/>
    <s v="Boarderline"/>
    <x v="1"/>
  </r>
  <r>
    <x v="43"/>
    <x v="1"/>
    <n v="210.25"/>
    <n v="19.52"/>
    <x v="2"/>
    <n v="263"/>
    <s v="92/81"/>
    <n v="8.16"/>
    <x v="0"/>
    <x v="1"/>
    <x v="1"/>
    <n v="92"/>
    <n v="81"/>
    <x v="2"/>
    <x v="1"/>
    <s v="High"/>
    <x v="2"/>
  </r>
  <r>
    <x v="31"/>
    <x v="0"/>
    <n v="198.82"/>
    <n v="24.23"/>
    <x v="2"/>
    <n v="189"/>
    <s v="95/70"/>
    <n v="5.36"/>
    <x v="2"/>
    <x v="1"/>
    <x v="1"/>
    <n v="95"/>
    <n v="70"/>
    <x v="2"/>
    <x v="0"/>
    <s v="Normal"/>
    <x v="2"/>
  </r>
  <r>
    <x v="43"/>
    <x v="0"/>
    <n v="209.72"/>
    <n v="22.05"/>
    <x v="1"/>
    <n v="140"/>
    <s v="115/64"/>
    <n v="9.91"/>
    <x v="6"/>
    <x v="0"/>
    <x v="1"/>
    <n v="115"/>
    <n v="64"/>
    <x v="2"/>
    <x v="1"/>
    <s v="Normal"/>
    <x v="2"/>
  </r>
  <r>
    <x v="18"/>
    <x v="1"/>
    <n v="210.34"/>
    <n v="22.99"/>
    <x v="3"/>
    <n v="234"/>
    <s v="136/86"/>
    <n v="6.41"/>
    <x v="7"/>
    <x v="1"/>
    <x v="0"/>
    <n v="136"/>
    <n v="86"/>
    <x v="4"/>
    <x v="3"/>
    <s v="Boarderline"/>
    <x v="2"/>
  </r>
  <r>
    <x v="53"/>
    <x v="0"/>
    <n v="259.57"/>
    <n v="27.22"/>
    <x v="3"/>
    <n v="264"/>
    <s v="94/62"/>
    <n v="4.05"/>
    <x v="2"/>
    <x v="1"/>
    <x v="1"/>
    <n v="94"/>
    <n v="62"/>
    <x v="5"/>
    <x v="0"/>
    <s v="High"/>
    <x v="0"/>
  </r>
  <r>
    <x v="29"/>
    <x v="0"/>
    <n v="211.1"/>
    <n v="29.1"/>
    <x v="2"/>
    <n v="115"/>
    <s v="132/75"/>
    <n v="7.48"/>
    <x v="5"/>
    <x v="0"/>
    <x v="1"/>
    <n v="132"/>
    <n v="75"/>
    <x v="1"/>
    <x v="3"/>
    <s v="Low"/>
    <x v="0"/>
  </r>
  <r>
    <x v="57"/>
    <x v="0"/>
    <n v="207.69"/>
    <n v="35.72"/>
    <x v="0"/>
    <n v="218"/>
    <s v="134/66"/>
    <n v="9.82"/>
    <x v="5"/>
    <x v="0"/>
    <x v="0"/>
    <n v="134"/>
    <n v="66"/>
    <x v="3"/>
    <x v="1"/>
    <s v="Boarderline"/>
    <x v="1"/>
  </r>
  <r>
    <x v="49"/>
    <x v="1"/>
    <n v="89.42"/>
    <n v="20.89"/>
    <x v="0"/>
    <n v="121"/>
    <s v="100/60"/>
    <n v="7.3"/>
    <x v="5"/>
    <x v="0"/>
    <x v="0"/>
    <n v="100"/>
    <n v="60"/>
    <x v="4"/>
    <x v="3"/>
    <s v="Normal"/>
    <x v="2"/>
  </r>
  <r>
    <x v="13"/>
    <x v="0"/>
    <n v="104.33"/>
    <n v="28.06"/>
    <x v="2"/>
    <n v="288"/>
    <s v="111/67"/>
    <n v="9.77"/>
    <x v="7"/>
    <x v="0"/>
    <x v="0"/>
    <n v="111"/>
    <n v="67"/>
    <x v="1"/>
    <x v="1"/>
    <s v="High"/>
    <x v="0"/>
  </r>
  <r>
    <x v="30"/>
    <x v="1"/>
    <n v="127.02"/>
    <n v="38.96"/>
    <x v="0"/>
    <n v="160"/>
    <s v="120/81"/>
    <n v="6.64"/>
    <x v="5"/>
    <x v="1"/>
    <x v="1"/>
    <n v="120"/>
    <n v="81"/>
    <x v="3"/>
    <x v="3"/>
    <s v="Normal"/>
    <x v="1"/>
  </r>
  <r>
    <x v="22"/>
    <x v="1"/>
    <n v="297.68"/>
    <n v="30.46"/>
    <x v="2"/>
    <n v="255"/>
    <s v="105/68"/>
    <n v="5.21"/>
    <x v="0"/>
    <x v="1"/>
    <x v="0"/>
    <n v="105"/>
    <n v="68"/>
    <x v="5"/>
    <x v="0"/>
    <s v="High"/>
    <x v="1"/>
  </r>
  <r>
    <x v="55"/>
    <x v="1"/>
    <n v="143.5"/>
    <n v="33.28"/>
    <x v="1"/>
    <n v="129"/>
    <s v="96/88"/>
    <n v="9.8800000000000008"/>
    <x v="5"/>
    <x v="1"/>
    <x v="0"/>
    <n v="96"/>
    <n v="88"/>
    <x v="3"/>
    <x v="1"/>
    <s v="Normal"/>
    <x v="1"/>
  </r>
  <r>
    <x v="42"/>
    <x v="0"/>
    <n v="195.25"/>
    <n v="26.79"/>
    <x v="3"/>
    <n v="173"/>
    <s v="110/65"/>
    <n v="6.75"/>
    <x v="6"/>
    <x v="1"/>
    <x v="0"/>
    <n v="110"/>
    <n v="65"/>
    <x v="3"/>
    <x v="3"/>
    <s v="Normal"/>
    <x v="0"/>
  </r>
  <r>
    <x v="53"/>
    <x v="1"/>
    <n v="114.23"/>
    <n v="21.12"/>
    <x v="3"/>
    <n v="286"/>
    <s v="103/71"/>
    <n v="4.25"/>
    <x v="4"/>
    <x v="0"/>
    <x v="1"/>
    <n v="103"/>
    <n v="71"/>
    <x v="5"/>
    <x v="0"/>
    <s v="High"/>
    <x v="2"/>
  </r>
  <r>
    <x v="60"/>
    <x v="1"/>
    <n v="278.42"/>
    <n v="28.81"/>
    <x v="2"/>
    <n v="139"/>
    <s v="114/76"/>
    <n v="6.14"/>
    <x v="3"/>
    <x v="1"/>
    <x v="0"/>
    <n v="114"/>
    <n v="76"/>
    <x v="5"/>
    <x v="2"/>
    <s v="Normal"/>
    <x v="0"/>
  </r>
  <r>
    <x v="46"/>
    <x v="0"/>
    <n v="114.88"/>
    <n v="33.880000000000003"/>
    <x v="3"/>
    <n v="268"/>
    <s v="95/68"/>
    <n v="5.46"/>
    <x v="7"/>
    <x v="0"/>
    <x v="1"/>
    <n v="95"/>
    <n v="68"/>
    <x v="0"/>
    <x v="0"/>
    <s v="High"/>
    <x v="1"/>
  </r>
  <r>
    <x v="18"/>
    <x v="0"/>
    <n v="223.91"/>
    <n v="21.36"/>
    <x v="1"/>
    <n v="215"/>
    <s v="137/70"/>
    <n v="5.15"/>
    <x v="3"/>
    <x v="0"/>
    <x v="1"/>
    <n v="137"/>
    <n v="70"/>
    <x v="4"/>
    <x v="0"/>
    <s v="Boarderline"/>
    <x v="2"/>
  </r>
  <r>
    <x v="35"/>
    <x v="1"/>
    <n v="271.55"/>
    <n v="21.25"/>
    <x v="1"/>
    <n v="103"/>
    <s v="129/63"/>
    <n v="5.79"/>
    <x v="1"/>
    <x v="0"/>
    <x v="0"/>
    <n v="129"/>
    <n v="63"/>
    <x v="1"/>
    <x v="2"/>
    <s v="Low"/>
    <x v="2"/>
  </r>
  <r>
    <x v="20"/>
    <x v="0"/>
    <n v="186.7"/>
    <n v="26.53"/>
    <x v="2"/>
    <n v="191"/>
    <s v="114/78"/>
    <n v="4.7699999999999996"/>
    <x v="7"/>
    <x v="0"/>
    <x v="1"/>
    <n v="114"/>
    <n v="78"/>
    <x v="0"/>
    <x v="0"/>
    <s v="Normal"/>
    <x v="0"/>
  </r>
  <r>
    <x v="57"/>
    <x v="1"/>
    <n v="152.33000000000001"/>
    <n v="24.72"/>
    <x v="2"/>
    <n v="124"/>
    <s v="99/90"/>
    <n v="5.53"/>
    <x v="7"/>
    <x v="0"/>
    <x v="0"/>
    <n v="99"/>
    <n v="90"/>
    <x v="3"/>
    <x v="0"/>
    <s v="Normal"/>
    <x v="2"/>
  </r>
  <r>
    <x v="61"/>
    <x v="0"/>
    <n v="217.16"/>
    <n v="34.75"/>
    <x v="1"/>
    <n v="159"/>
    <s v="104/84"/>
    <n v="5.38"/>
    <x v="5"/>
    <x v="0"/>
    <x v="0"/>
    <n v="104"/>
    <n v="84"/>
    <x v="2"/>
    <x v="0"/>
    <s v="Normal"/>
    <x v="1"/>
  </r>
  <r>
    <x v="22"/>
    <x v="1"/>
    <n v="109.29"/>
    <n v="26.85"/>
    <x v="0"/>
    <n v="167"/>
    <s v="103/88"/>
    <n v="9.07"/>
    <x v="2"/>
    <x v="1"/>
    <x v="0"/>
    <n v="103"/>
    <n v="88"/>
    <x v="5"/>
    <x v="1"/>
    <s v="Normal"/>
    <x v="0"/>
  </r>
  <r>
    <x v="47"/>
    <x v="0"/>
    <n v="276.81"/>
    <n v="18.18"/>
    <x v="2"/>
    <n v="223"/>
    <s v="137/75"/>
    <n v="4.97"/>
    <x v="0"/>
    <x v="0"/>
    <x v="1"/>
    <n v="137"/>
    <n v="75"/>
    <x v="3"/>
    <x v="0"/>
    <s v="Boarderline"/>
    <x v="3"/>
  </r>
  <r>
    <x v="58"/>
    <x v="1"/>
    <n v="120.88"/>
    <n v="31.05"/>
    <x v="2"/>
    <n v="208"/>
    <s v="127/78"/>
    <n v="8.83"/>
    <x v="1"/>
    <x v="1"/>
    <x v="1"/>
    <n v="127"/>
    <n v="78"/>
    <x v="2"/>
    <x v="1"/>
    <s v="Boarderline"/>
    <x v="1"/>
  </r>
  <r>
    <x v="13"/>
    <x v="0"/>
    <n v="296.83999999999997"/>
    <n v="28.29"/>
    <x v="3"/>
    <n v="270"/>
    <s v="131/60"/>
    <n v="4.67"/>
    <x v="1"/>
    <x v="0"/>
    <x v="0"/>
    <n v="131"/>
    <n v="60"/>
    <x v="1"/>
    <x v="0"/>
    <s v="High"/>
    <x v="0"/>
  </r>
  <r>
    <x v="43"/>
    <x v="0"/>
    <n v="208.15"/>
    <n v="31.03"/>
    <x v="2"/>
    <n v="151"/>
    <s v="110/77"/>
    <n v="7.06"/>
    <x v="6"/>
    <x v="1"/>
    <x v="0"/>
    <n v="110"/>
    <n v="77"/>
    <x v="2"/>
    <x v="3"/>
    <s v="Normal"/>
    <x v="1"/>
  </r>
  <r>
    <x v="62"/>
    <x v="0"/>
    <n v="151.19"/>
    <n v="31.09"/>
    <x v="2"/>
    <n v="138"/>
    <s v="120/65"/>
    <n v="8.19"/>
    <x v="4"/>
    <x v="1"/>
    <x v="0"/>
    <n v="120"/>
    <n v="65"/>
    <x v="4"/>
    <x v="1"/>
    <s v="Normal"/>
    <x v="1"/>
  </r>
  <r>
    <x v="15"/>
    <x v="0"/>
    <n v="121.36"/>
    <n v="18.68"/>
    <x v="2"/>
    <n v="299"/>
    <s v="115/81"/>
    <n v="6.41"/>
    <x v="4"/>
    <x v="0"/>
    <x v="1"/>
    <n v="115"/>
    <n v="81"/>
    <x v="0"/>
    <x v="3"/>
    <s v="High"/>
    <x v="2"/>
  </r>
  <r>
    <x v="62"/>
    <x v="1"/>
    <n v="131.5"/>
    <n v="22.84"/>
    <x v="2"/>
    <n v="217"/>
    <s v="94/73"/>
    <n v="7.18"/>
    <x v="0"/>
    <x v="0"/>
    <x v="0"/>
    <n v="94"/>
    <n v="73"/>
    <x v="4"/>
    <x v="3"/>
    <s v="Boarderline"/>
    <x v="2"/>
  </r>
  <r>
    <x v="0"/>
    <x v="0"/>
    <n v="208.44"/>
    <n v="25.34"/>
    <x v="3"/>
    <n v="232"/>
    <s v="113/67"/>
    <n v="4.25"/>
    <x v="3"/>
    <x v="1"/>
    <x v="1"/>
    <n v="113"/>
    <n v="67"/>
    <x v="0"/>
    <x v="0"/>
    <s v="Boarderline"/>
    <x v="0"/>
  </r>
  <r>
    <x v="19"/>
    <x v="1"/>
    <n v="88.58"/>
    <n v="23.02"/>
    <x v="2"/>
    <n v="242"/>
    <s v="116/88"/>
    <n v="4.78"/>
    <x v="2"/>
    <x v="0"/>
    <x v="1"/>
    <n v="116"/>
    <n v="88"/>
    <x v="2"/>
    <x v="0"/>
    <s v="High"/>
    <x v="2"/>
  </r>
  <r>
    <x v="48"/>
    <x v="1"/>
    <n v="210.4"/>
    <n v="39.53"/>
    <x v="0"/>
    <n v="102"/>
    <s v="110/87"/>
    <n v="9.9700000000000006"/>
    <x v="7"/>
    <x v="0"/>
    <x v="1"/>
    <n v="110"/>
    <n v="87"/>
    <x v="1"/>
    <x v="1"/>
    <s v="Low"/>
    <x v="1"/>
  </r>
  <r>
    <x v="15"/>
    <x v="1"/>
    <n v="231"/>
    <n v="31.67"/>
    <x v="3"/>
    <n v="191"/>
    <s v="107/61"/>
    <n v="7.59"/>
    <x v="0"/>
    <x v="1"/>
    <x v="0"/>
    <n v="107"/>
    <n v="61"/>
    <x v="0"/>
    <x v="1"/>
    <s v="Normal"/>
    <x v="1"/>
  </r>
  <r>
    <x v="4"/>
    <x v="1"/>
    <n v="165.67"/>
    <n v="34.19"/>
    <x v="0"/>
    <n v="277"/>
    <s v="119/79"/>
    <n v="5.51"/>
    <x v="2"/>
    <x v="0"/>
    <x v="1"/>
    <n v="119"/>
    <n v="79"/>
    <x v="0"/>
    <x v="0"/>
    <s v="High"/>
    <x v="1"/>
  </r>
  <r>
    <x v="11"/>
    <x v="1"/>
    <n v="292.58999999999997"/>
    <n v="24.35"/>
    <x v="2"/>
    <n v="158"/>
    <s v="134/63"/>
    <n v="7.54"/>
    <x v="5"/>
    <x v="0"/>
    <x v="0"/>
    <n v="134"/>
    <n v="63"/>
    <x v="1"/>
    <x v="1"/>
    <s v="Normal"/>
    <x v="2"/>
  </r>
  <r>
    <x v="32"/>
    <x v="0"/>
    <n v="271.39"/>
    <n v="21.71"/>
    <x v="2"/>
    <n v="220"/>
    <s v="124/76"/>
    <n v="9.1999999999999993"/>
    <x v="4"/>
    <x v="0"/>
    <x v="1"/>
    <n v="124"/>
    <n v="76"/>
    <x v="2"/>
    <x v="1"/>
    <s v="Boarderline"/>
    <x v="2"/>
  </r>
  <r>
    <x v="58"/>
    <x v="0"/>
    <n v="248.45"/>
    <n v="30.43"/>
    <x v="3"/>
    <n v="102"/>
    <s v="103/64"/>
    <n v="4.7699999999999996"/>
    <x v="6"/>
    <x v="0"/>
    <x v="0"/>
    <n v="103"/>
    <n v="64"/>
    <x v="2"/>
    <x v="0"/>
    <s v="Low"/>
    <x v="1"/>
  </r>
  <r>
    <x v="24"/>
    <x v="1"/>
    <n v="169.26"/>
    <n v="35.700000000000003"/>
    <x v="3"/>
    <n v="201"/>
    <s v="110/83"/>
    <n v="9.25"/>
    <x v="3"/>
    <x v="0"/>
    <x v="0"/>
    <n v="110"/>
    <n v="83"/>
    <x v="4"/>
    <x v="1"/>
    <s v="Boarderline"/>
    <x v="1"/>
  </r>
  <r>
    <x v="46"/>
    <x v="0"/>
    <n v="230.73"/>
    <n v="25.04"/>
    <x v="3"/>
    <n v="242"/>
    <s v="133/65"/>
    <n v="9.0299999999999994"/>
    <x v="3"/>
    <x v="1"/>
    <x v="0"/>
    <n v="133"/>
    <n v="65"/>
    <x v="0"/>
    <x v="1"/>
    <s v="High"/>
    <x v="0"/>
  </r>
  <r>
    <x v="3"/>
    <x v="1"/>
    <n v="218.69"/>
    <n v="36.22"/>
    <x v="0"/>
    <n v="125"/>
    <s v="132/81"/>
    <n v="8.7100000000000009"/>
    <x v="5"/>
    <x v="1"/>
    <x v="0"/>
    <n v="132"/>
    <n v="81"/>
    <x v="1"/>
    <x v="1"/>
    <s v="Normal"/>
    <x v="1"/>
  </r>
  <r>
    <x v="62"/>
    <x v="0"/>
    <n v="229.32"/>
    <n v="23.21"/>
    <x v="2"/>
    <n v="247"/>
    <s v="129/80"/>
    <n v="8.4"/>
    <x v="1"/>
    <x v="0"/>
    <x v="0"/>
    <n v="129"/>
    <n v="80"/>
    <x v="4"/>
    <x v="1"/>
    <s v="High"/>
    <x v="2"/>
  </r>
  <r>
    <x v="43"/>
    <x v="0"/>
    <n v="236.19"/>
    <n v="20.59"/>
    <x v="2"/>
    <n v="256"/>
    <s v="111/76"/>
    <n v="4.41"/>
    <x v="0"/>
    <x v="1"/>
    <x v="0"/>
    <n v="111"/>
    <n v="76"/>
    <x v="2"/>
    <x v="0"/>
    <s v="High"/>
    <x v="2"/>
  </r>
  <r>
    <x v="61"/>
    <x v="1"/>
    <n v="70.75"/>
    <n v="36.76"/>
    <x v="3"/>
    <n v="122"/>
    <s v="115/71"/>
    <n v="9.94"/>
    <x v="3"/>
    <x v="1"/>
    <x v="0"/>
    <n v="115"/>
    <n v="71"/>
    <x v="2"/>
    <x v="1"/>
    <s v="Normal"/>
    <x v="1"/>
  </r>
  <r>
    <x v="43"/>
    <x v="0"/>
    <n v="143.41999999999999"/>
    <n v="28.61"/>
    <x v="2"/>
    <n v="198"/>
    <s v="111/70"/>
    <n v="5"/>
    <x v="2"/>
    <x v="0"/>
    <x v="0"/>
    <n v="111"/>
    <n v="70"/>
    <x v="2"/>
    <x v="0"/>
    <s v="Normal"/>
    <x v="0"/>
  </r>
  <r>
    <x v="22"/>
    <x v="0"/>
    <n v="223.19"/>
    <n v="39.92"/>
    <x v="0"/>
    <n v="273"/>
    <s v="92/79"/>
    <n v="7.23"/>
    <x v="5"/>
    <x v="1"/>
    <x v="1"/>
    <n v="92"/>
    <n v="79"/>
    <x v="5"/>
    <x v="3"/>
    <s v="High"/>
    <x v="1"/>
  </r>
  <r>
    <x v="14"/>
    <x v="1"/>
    <n v="102.26"/>
    <n v="21.36"/>
    <x v="2"/>
    <n v="116"/>
    <s v="100/68"/>
    <n v="6.46"/>
    <x v="5"/>
    <x v="0"/>
    <x v="1"/>
    <n v="100"/>
    <n v="68"/>
    <x v="3"/>
    <x v="3"/>
    <s v="Low"/>
    <x v="2"/>
  </r>
  <r>
    <x v="62"/>
    <x v="0"/>
    <n v="226.66"/>
    <n v="25.8"/>
    <x v="1"/>
    <n v="256"/>
    <s v="95/79"/>
    <n v="9.25"/>
    <x v="2"/>
    <x v="0"/>
    <x v="1"/>
    <n v="95"/>
    <n v="79"/>
    <x v="4"/>
    <x v="1"/>
    <s v="High"/>
    <x v="0"/>
  </r>
  <r>
    <x v="46"/>
    <x v="1"/>
    <n v="221.11"/>
    <n v="32.130000000000003"/>
    <x v="0"/>
    <n v="142"/>
    <s v="98/82"/>
    <n v="9.94"/>
    <x v="6"/>
    <x v="0"/>
    <x v="1"/>
    <n v="98"/>
    <n v="82"/>
    <x v="0"/>
    <x v="1"/>
    <s v="Normal"/>
    <x v="1"/>
  </r>
  <r>
    <x v="57"/>
    <x v="0"/>
    <n v="96.89"/>
    <n v="24.48"/>
    <x v="1"/>
    <n v="274"/>
    <s v="123/68"/>
    <n v="6.44"/>
    <x v="6"/>
    <x v="0"/>
    <x v="0"/>
    <n v="123"/>
    <n v="68"/>
    <x v="3"/>
    <x v="3"/>
    <s v="High"/>
    <x v="2"/>
  </r>
  <r>
    <x v="9"/>
    <x v="1"/>
    <n v="203.44"/>
    <n v="23.78"/>
    <x v="0"/>
    <n v="277"/>
    <s v="128/90"/>
    <n v="7.61"/>
    <x v="2"/>
    <x v="0"/>
    <x v="0"/>
    <n v="128"/>
    <n v="90"/>
    <x v="5"/>
    <x v="1"/>
    <s v="High"/>
    <x v="2"/>
  </r>
  <r>
    <x v="49"/>
    <x v="1"/>
    <n v="128.86000000000001"/>
    <n v="37.909999999999997"/>
    <x v="1"/>
    <n v="298"/>
    <s v="106/68"/>
    <n v="8.17"/>
    <x v="4"/>
    <x v="1"/>
    <x v="1"/>
    <n v="106"/>
    <n v="68"/>
    <x v="4"/>
    <x v="1"/>
    <s v="High"/>
    <x v="1"/>
  </r>
  <r>
    <x v="42"/>
    <x v="1"/>
    <n v="297.19"/>
    <n v="20.63"/>
    <x v="0"/>
    <n v="146"/>
    <s v="123/65"/>
    <n v="6.27"/>
    <x v="5"/>
    <x v="0"/>
    <x v="0"/>
    <n v="123"/>
    <n v="65"/>
    <x v="3"/>
    <x v="2"/>
    <s v="Normal"/>
    <x v="2"/>
  </r>
  <r>
    <x v="31"/>
    <x v="0"/>
    <n v="249.24"/>
    <n v="18.440000000000001"/>
    <x v="2"/>
    <n v="118"/>
    <s v="103/66"/>
    <n v="6.75"/>
    <x v="7"/>
    <x v="1"/>
    <x v="1"/>
    <n v="103"/>
    <n v="66"/>
    <x v="2"/>
    <x v="3"/>
    <s v="Low"/>
    <x v="3"/>
  </r>
  <r>
    <x v="36"/>
    <x v="1"/>
    <n v="271.04000000000002"/>
    <n v="29.13"/>
    <x v="3"/>
    <n v="102"/>
    <s v="119/77"/>
    <n v="9.5500000000000007"/>
    <x v="4"/>
    <x v="1"/>
    <x v="0"/>
    <n v="119"/>
    <n v="77"/>
    <x v="0"/>
    <x v="1"/>
    <s v="Low"/>
    <x v="0"/>
  </r>
  <r>
    <x v="3"/>
    <x v="0"/>
    <n v="172.94"/>
    <n v="18.27"/>
    <x v="1"/>
    <n v="164"/>
    <s v="129/61"/>
    <n v="9.4700000000000006"/>
    <x v="3"/>
    <x v="0"/>
    <x v="0"/>
    <n v="129"/>
    <n v="61"/>
    <x v="1"/>
    <x v="1"/>
    <s v="Normal"/>
    <x v="3"/>
  </r>
  <r>
    <x v="16"/>
    <x v="1"/>
    <n v="224.73"/>
    <n v="21.11"/>
    <x v="3"/>
    <n v="296"/>
    <s v="109/74"/>
    <n v="9.7200000000000006"/>
    <x v="3"/>
    <x v="0"/>
    <x v="0"/>
    <n v="109"/>
    <n v="74"/>
    <x v="4"/>
    <x v="1"/>
    <s v="High"/>
    <x v="2"/>
  </r>
  <r>
    <x v="37"/>
    <x v="1"/>
    <n v="121.77"/>
    <n v="35.619999999999997"/>
    <x v="0"/>
    <n v="285"/>
    <s v="114/72"/>
    <n v="6.08"/>
    <x v="2"/>
    <x v="1"/>
    <x v="1"/>
    <n v="114"/>
    <n v="72"/>
    <x v="3"/>
    <x v="2"/>
    <s v="High"/>
    <x v="1"/>
  </r>
  <r>
    <x v="5"/>
    <x v="0"/>
    <n v="95.48"/>
    <n v="29.65"/>
    <x v="2"/>
    <n v="227"/>
    <s v="110/76"/>
    <n v="8.98"/>
    <x v="0"/>
    <x v="0"/>
    <x v="0"/>
    <n v="110"/>
    <n v="76"/>
    <x v="3"/>
    <x v="1"/>
    <s v="Boarderline"/>
    <x v="0"/>
  </r>
  <r>
    <x v="3"/>
    <x v="1"/>
    <n v="156.38999999999999"/>
    <n v="37.21"/>
    <x v="1"/>
    <n v="221"/>
    <s v="128/75"/>
    <n v="4.68"/>
    <x v="6"/>
    <x v="1"/>
    <x v="1"/>
    <n v="128"/>
    <n v="75"/>
    <x v="1"/>
    <x v="0"/>
    <s v="Boarderline"/>
    <x v="1"/>
  </r>
  <r>
    <x v="26"/>
    <x v="0"/>
    <n v="198.68"/>
    <n v="21.31"/>
    <x v="2"/>
    <n v="283"/>
    <s v="124/85"/>
    <n v="5.03"/>
    <x v="7"/>
    <x v="1"/>
    <x v="1"/>
    <n v="124"/>
    <n v="85"/>
    <x v="2"/>
    <x v="0"/>
    <s v="High"/>
    <x v="2"/>
  </r>
  <r>
    <x v="28"/>
    <x v="1"/>
    <n v="285.08999999999997"/>
    <n v="36.630000000000003"/>
    <x v="2"/>
    <n v="286"/>
    <s v="94/72"/>
    <n v="9.49"/>
    <x v="2"/>
    <x v="1"/>
    <x v="1"/>
    <n v="94"/>
    <n v="72"/>
    <x v="3"/>
    <x v="1"/>
    <s v="High"/>
    <x v="1"/>
  </r>
  <r>
    <x v="5"/>
    <x v="1"/>
    <n v="146.79"/>
    <n v="39.229999999999997"/>
    <x v="0"/>
    <n v="264"/>
    <s v="130/75"/>
    <n v="4.62"/>
    <x v="1"/>
    <x v="1"/>
    <x v="0"/>
    <n v="130"/>
    <n v="75"/>
    <x v="3"/>
    <x v="0"/>
    <s v="High"/>
    <x v="1"/>
  </r>
  <r>
    <x v="48"/>
    <x v="1"/>
    <n v="115.28"/>
    <n v="24.09"/>
    <x v="2"/>
    <n v="188"/>
    <s v="140/86"/>
    <n v="5.62"/>
    <x v="5"/>
    <x v="0"/>
    <x v="0"/>
    <n v="140"/>
    <n v="86"/>
    <x v="1"/>
    <x v="0"/>
    <s v="Normal"/>
    <x v="2"/>
  </r>
  <r>
    <x v="34"/>
    <x v="1"/>
    <n v="240.28"/>
    <n v="37.549999999999997"/>
    <x v="1"/>
    <n v="197"/>
    <s v="92/63"/>
    <n v="7.82"/>
    <x v="6"/>
    <x v="0"/>
    <x v="1"/>
    <n v="92"/>
    <n v="63"/>
    <x v="5"/>
    <x v="1"/>
    <s v="Normal"/>
    <x v="1"/>
  </r>
  <r>
    <x v="38"/>
    <x v="1"/>
    <n v="265.11"/>
    <n v="28.04"/>
    <x v="2"/>
    <n v="137"/>
    <s v="115/73"/>
    <n v="5.95"/>
    <x v="1"/>
    <x v="0"/>
    <x v="1"/>
    <n v="115"/>
    <n v="73"/>
    <x v="4"/>
    <x v="2"/>
    <s v="Normal"/>
    <x v="0"/>
  </r>
  <r>
    <x v="53"/>
    <x v="0"/>
    <n v="98.24"/>
    <n v="32.380000000000003"/>
    <x v="3"/>
    <n v="279"/>
    <s v="92/65"/>
    <n v="5.04"/>
    <x v="2"/>
    <x v="1"/>
    <x v="1"/>
    <n v="92"/>
    <n v="65"/>
    <x v="5"/>
    <x v="0"/>
    <s v="High"/>
    <x v="1"/>
  </r>
  <r>
    <x v="40"/>
    <x v="1"/>
    <n v="240.28"/>
    <n v="31.95"/>
    <x v="3"/>
    <n v="231"/>
    <s v="99/84"/>
    <n v="5.87"/>
    <x v="6"/>
    <x v="0"/>
    <x v="0"/>
    <n v="99"/>
    <n v="84"/>
    <x v="2"/>
    <x v="2"/>
    <s v="Boarderline"/>
    <x v="1"/>
  </r>
  <r>
    <x v="56"/>
    <x v="1"/>
    <n v="235.19"/>
    <n v="36.35"/>
    <x v="1"/>
    <n v="116"/>
    <s v="102/80"/>
    <n v="9.0399999999999991"/>
    <x v="6"/>
    <x v="0"/>
    <x v="0"/>
    <n v="102"/>
    <n v="80"/>
    <x v="5"/>
    <x v="1"/>
    <s v="Low"/>
    <x v="1"/>
  </r>
  <r>
    <x v="60"/>
    <x v="0"/>
    <n v="145.59"/>
    <n v="30.21"/>
    <x v="0"/>
    <n v="192"/>
    <s v="121/60"/>
    <n v="9.2100000000000009"/>
    <x v="2"/>
    <x v="1"/>
    <x v="1"/>
    <n v="121"/>
    <n v="60"/>
    <x v="5"/>
    <x v="1"/>
    <s v="Normal"/>
    <x v="1"/>
  </r>
  <r>
    <x v="53"/>
    <x v="0"/>
    <n v="130.31"/>
    <n v="24.74"/>
    <x v="2"/>
    <n v="199"/>
    <s v="134/76"/>
    <n v="9.0500000000000007"/>
    <x v="5"/>
    <x v="1"/>
    <x v="1"/>
    <n v="134"/>
    <n v="76"/>
    <x v="5"/>
    <x v="1"/>
    <s v="Normal"/>
    <x v="2"/>
  </r>
  <r>
    <x v="15"/>
    <x v="0"/>
    <n v="286.91000000000003"/>
    <n v="28.15"/>
    <x v="2"/>
    <n v="271"/>
    <s v="133/74"/>
    <n v="4.41"/>
    <x v="3"/>
    <x v="0"/>
    <x v="0"/>
    <n v="133"/>
    <n v="74"/>
    <x v="0"/>
    <x v="0"/>
    <s v="High"/>
    <x v="0"/>
  </r>
  <r>
    <x v="8"/>
    <x v="0"/>
    <n v="93.48"/>
    <n v="30.52"/>
    <x v="1"/>
    <n v="277"/>
    <s v="125/71"/>
    <n v="8.31"/>
    <x v="4"/>
    <x v="0"/>
    <x v="1"/>
    <n v="125"/>
    <n v="71"/>
    <x v="4"/>
    <x v="1"/>
    <s v="High"/>
    <x v="1"/>
  </r>
  <r>
    <x v="52"/>
    <x v="0"/>
    <n v="235.4"/>
    <n v="32.75"/>
    <x v="1"/>
    <n v="263"/>
    <s v="112/89"/>
    <n v="6.79"/>
    <x v="1"/>
    <x v="1"/>
    <x v="0"/>
    <n v="112"/>
    <n v="89"/>
    <x v="3"/>
    <x v="3"/>
    <s v="High"/>
    <x v="1"/>
  </r>
  <r>
    <x v="6"/>
    <x v="0"/>
    <n v="155.12"/>
    <n v="29.2"/>
    <x v="0"/>
    <n v="278"/>
    <s v="98/66"/>
    <n v="9.4700000000000006"/>
    <x v="5"/>
    <x v="1"/>
    <x v="0"/>
    <n v="98"/>
    <n v="66"/>
    <x v="3"/>
    <x v="1"/>
    <s v="High"/>
    <x v="0"/>
  </r>
  <r>
    <x v="32"/>
    <x v="0"/>
    <n v="223.24"/>
    <n v="34.840000000000003"/>
    <x v="1"/>
    <n v="289"/>
    <s v="99/61"/>
    <n v="5.66"/>
    <x v="1"/>
    <x v="0"/>
    <x v="1"/>
    <n v="99"/>
    <n v="61"/>
    <x v="2"/>
    <x v="0"/>
    <s v="High"/>
    <x v="1"/>
  </r>
  <r>
    <x v="10"/>
    <x v="0"/>
    <n v="217.08"/>
    <n v="31.43"/>
    <x v="1"/>
    <n v="206"/>
    <s v="92/79"/>
    <n v="5.08"/>
    <x v="7"/>
    <x v="1"/>
    <x v="0"/>
    <n v="92"/>
    <n v="79"/>
    <x v="0"/>
    <x v="0"/>
    <s v="Boarderline"/>
    <x v="1"/>
  </r>
  <r>
    <x v="58"/>
    <x v="0"/>
    <n v="177.81"/>
    <n v="27.39"/>
    <x v="0"/>
    <n v="288"/>
    <s v="139/65"/>
    <n v="5.1100000000000003"/>
    <x v="1"/>
    <x v="0"/>
    <x v="1"/>
    <n v="139"/>
    <n v="65"/>
    <x v="2"/>
    <x v="0"/>
    <s v="High"/>
    <x v="0"/>
  </r>
  <r>
    <x v="39"/>
    <x v="1"/>
    <n v="254.78"/>
    <n v="37.07"/>
    <x v="3"/>
    <n v="139"/>
    <s v="121/66"/>
    <n v="9.6999999999999993"/>
    <x v="7"/>
    <x v="1"/>
    <x v="1"/>
    <n v="121"/>
    <n v="66"/>
    <x v="5"/>
    <x v="1"/>
    <s v="Normal"/>
    <x v="1"/>
  </r>
  <r>
    <x v="43"/>
    <x v="1"/>
    <n v="94.59"/>
    <n v="38.58"/>
    <x v="3"/>
    <n v="115"/>
    <s v="110/69"/>
    <n v="4.2300000000000004"/>
    <x v="4"/>
    <x v="1"/>
    <x v="0"/>
    <n v="110"/>
    <n v="69"/>
    <x v="2"/>
    <x v="0"/>
    <s v="Low"/>
    <x v="1"/>
  </r>
  <r>
    <x v="40"/>
    <x v="0"/>
    <n v="232.5"/>
    <n v="33.909999999999997"/>
    <x v="0"/>
    <n v="120"/>
    <s v="116/63"/>
    <n v="7.64"/>
    <x v="0"/>
    <x v="1"/>
    <x v="0"/>
    <n v="116"/>
    <n v="63"/>
    <x v="2"/>
    <x v="1"/>
    <s v="Normal"/>
    <x v="1"/>
  </r>
  <r>
    <x v="36"/>
    <x v="1"/>
    <n v="82.01"/>
    <n v="28.35"/>
    <x v="1"/>
    <n v="161"/>
    <s v="123/65"/>
    <n v="5.9"/>
    <x v="2"/>
    <x v="1"/>
    <x v="0"/>
    <n v="123"/>
    <n v="65"/>
    <x v="0"/>
    <x v="2"/>
    <s v="Normal"/>
    <x v="0"/>
  </r>
  <r>
    <x v="11"/>
    <x v="1"/>
    <n v="147.69"/>
    <n v="23.94"/>
    <x v="1"/>
    <n v="109"/>
    <s v="128/61"/>
    <n v="7.96"/>
    <x v="5"/>
    <x v="1"/>
    <x v="0"/>
    <n v="128"/>
    <n v="61"/>
    <x v="1"/>
    <x v="1"/>
    <s v="Low"/>
    <x v="2"/>
  </r>
  <r>
    <x v="38"/>
    <x v="1"/>
    <n v="143.96"/>
    <n v="24.46"/>
    <x v="3"/>
    <n v="269"/>
    <s v="109/71"/>
    <n v="9.02"/>
    <x v="7"/>
    <x v="0"/>
    <x v="0"/>
    <n v="109"/>
    <n v="71"/>
    <x v="4"/>
    <x v="1"/>
    <s v="High"/>
    <x v="2"/>
  </r>
  <r>
    <x v="59"/>
    <x v="0"/>
    <n v="282.95999999999998"/>
    <n v="34.14"/>
    <x v="3"/>
    <n v="117"/>
    <s v="121/75"/>
    <n v="7.75"/>
    <x v="7"/>
    <x v="1"/>
    <x v="1"/>
    <n v="121"/>
    <n v="75"/>
    <x v="1"/>
    <x v="1"/>
    <s v="Low"/>
    <x v="1"/>
  </r>
  <r>
    <x v="16"/>
    <x v="1"/>
    <n v="97.72"/>
    <n v="19.79"/>
    <x v="3"/>
    <n v="118"/>
    <s v="135/86"/>
    <n v="7.24"/>
    <x v="4"/>
    <x v="1"/>
    <x v="1"/>
    <n v="135"/>
    <n v="86"/>
    <x v="4"/>
    <x v="3"/>
    <s v="Low"/>
    <x v="2"/>
  </r>
  <r>
    <x v="41"/>
    <x v="0"/>
    <n v="265.55"/>
    <n v="33.65"/>
    <x v="3"/>
    <n v="250"/>
    <s v="105/85"/>
    <n v="9.8699999999999992"/>
    <x v="1"/>
    <x v="0"/>
    <x v="1"/>
    <n v="105"/>
    <n v="85"/>
    <x v="5"/>
    <x v="1"/>
    <s v="High"/>
    <x v="1"/>
  </r>
  <r>
    <x v="24"/>
    <x v="0"/>
    <n v="233.56"/>
    <n v="26.44"/>
    <x v="3"/>
    <n v="283"/>
    <s v="121/63"/>
    <n v="8.39"/>
    <x v="1"/>
    <x v="1"/>
    <x v="0"/>
    <n v="121"/>
    <n v="63"/>
    <x v="4"/>
    <x v="1"/>
    <s v="High"/>
    <x v="0"/>
  </r>
  <r>
    <x v="56"/>
    <x v="0"/>
    <n v="245.48"/>
    <n v="39.340000000000003"/>
    <x v="0"/>
    <n v="253"/>
    <s v="119/66"/>
    <n v="7.26"/>
    <x v="4"/>
    <x v="0"/>
    <x v="0"/>
    <n v="119"/>
    <n v="66"/>
    <x v="5"/>
    <x v="3"/>
    <s v="High"/>
    <x v="1"/>
  </r>
  <r>
    <x v="18"/>
    <x v="1"/>
    <n v="90.55"/>
    <n v="21"/>
    <x v="1"/>
    <n v="179"/>
    <s v="139/64"/>
    <n v="7.95"/>
    <x v="0"/>
    <x v="0"/>
    <x v="0"/>
    <n v="139"/>
    <n v="64"/>
    <x v="4"/>
    <x v="1"/>
    <s v="Normal"/>
    <x v="2"/>
  </r>
  <r>
    <x v="20"/>
    <x v="0"/>
    <n v="184.82"/>
    <n v="34.11"/>
    <x v="0"/>
    <n v="231"/>
    <s v="132/84"/>
    <n v="8.9700000000000006"/>
    <x v="7"/>
    <x v="0"/>
    <x v="0"/>
    <n v="132"/>
    <n v="84"/>
    <x v="0"/>
    <x v="1"/>
    <s v="Boarderline"/>
    <x v="1"/>
  </r>
  <r>
    <x v="48"/>
    <x v="1"/>
    <n v="84.4"/>
    <n v="30.67"/>
    <x v="3"/>
    <n v="158"/>
    <s v="99/89"/>
    <n v="8.5"/>
    <x v="2"/>
    <x v="0"/>
    <x v="1"/>
    <n v="99"/>
    <n v="89"/>
    <x v="1"/>
    <x v="1"/>
    <s v="Normal"/>
    <x v="1"/>
  </r>
  <r>
    <x v="46"/>
    <x v="1"/>
    <n v="134.5"/>
    <n v="37.25"/>
    <x v="3"/>
    <n v="225"/>
    <s v="103/63"/>
    <n v="9.4499999999999993"/>
    <x v="6"/>
    <x v="0"/>
    <x v="1"/>
    <n v="103"/>
    <n v="63"/>
    <x v="0"/>
    <x v="1"/>
    <s v="Boarderline"/>
    <x v="1"/>
  </r>
  <r>
    <x v="14"/>
    <x v="0"/>
    <n v="75.67"/>
    <n v="38.4"/>
    <x v="3"/>
    <n v="263"/>
    <s v="118/87"/>
    <n v="8.85"/>
    <x v="3"/>
    <x v="0"/>
    <x v="0"/>
    <n v="118"/>
    <n v="87"/>
    <x v="3"/>
    <x v="1"/>
    <s v="High"/>
    <x v="1"/>
  </r>
  <r>
    <x v="42"/>
    <x v="1"/>
    <n v="285.94"/>
    <n v="21.61"/>
    <x v="0"/>
    <n v="186"/>
    <s v="116/79"/>
    <n v="8.3800000000000008"/>
    <x v="1"/>
    <x v="1"/>
    <x v="1"/>
    <n v="116"/>
    <n v="79"/>
    <x v="3"/>
    <x v="1"/>
    <s v="Normal"/>
    <x v="2"/>
  </r>
  <r>
    <x v="40"/>
    <x v="1"/>
    <n v="171.65"/>
    <n v="20.16"/>
    <x v="1"/>
    <n v="269"/>
    <s v="114/62"/>
    <n v="4.3600000000000003"/>
    <x v="1"/>
    <x v="0"/>
    <x v="1"/>
    <n v="114"/>
    <n v="62"/>
    <x v="2"/>
    <x v="0"/>
    <s v="High"/>
    <x v="2"/>
  </r>
  <r>
    <x v="59"/>
    <x v="1"/>
    <n v="230.23"/>
    <n v="19.53"/>
    <x v="2"/>
    <n v="247"/>
    <s v="108/80"/>
    <n v="7.61"/>
    <x v="7"/>
    <x v="0"/>
    <x v="1"/>
    <n v="108"/>
    <n v="80"/>
    <x v="1"/>
    <x v="1"/>
    <s v="High"/>
    <x v="2"/>
  </r>
  <r>
    <x v="46"/>
    <x v="0"/>
    <n v="279.2"/>
    <n v="35.39"/>
    <x v="3"/>
    <n v="252"/>
    <s v="124/81"/>
    <n v="4.0199999999999996"/>
    <x v="3"/>
    <x v="0"/>
    <x v="1"/>
    <n v="124"/>
    <n v="81"/>
    <x v="0"/>
    <x v="0"/>
    <s v="High"/>
    <x v="1"/>
  </r>
  <r>
    <x v="44"/>
    <x v="1"/>
    <n v="104.55"/>
    <n v="18.489999999999998"/>
    <x v="2"/>
    <n v="259"/>
    <s v="102/72"/>
    <n v="7.23"/>
    <x v="5"/>
    <x v="1"/>
    <x v="0"/>
    <n v="102"/>
    <n v="72"/>
    <x v="4"/>
    <x v="3"/>
    <s v="High"/>
    <x v="3"/>
  </r>
  <r>
    <x v="22"/>
    <x v="1"/>
    <n v="172.1"/>
    <n v="28.94"/>
    <x v="3"/>
    <n v="184"/>
    <s v="118/86"/>
    <n v="8.66"/>
    <x v="7"/>
    <x v="1"/>
    <x v="0"/>
    <n v="118"/>
    <n v="86"/>
    <x v="5"/>
    <x v="1"/>
    <s v="Normal"/>
    <x v="0"/>
  </r>
  <r>
    <x v="44"/>
    <x v="0"/>
    <n v="273.31"/>
    <n v="18.8"/>
    <x v="2"/>
    <n v="249"/>
    <s v="116/65"/>
    <n v="7.65"/>
    <x v="5"/>
    <x v="0"/>
    <x v="1"/>
    <n v="116"/>
    <n v="65"/>
    <x v="4"/>
    <x v="1"/>
    <s v="High"/>
    <x v="2"/>
  </r>
  <r>
    <x v="44"/>
    <x v="0"/>
    <n v="289.01"/>
    <n v="22.51"/>
    <x v="2"/>
    <n v="201"/>
    <s v="108/88"/>
    <n v="7.09"/>
    <x v="4"/>
    <x v="0"/>
    <x v="1"/>
    <n v="108"/>
    <n v="88"/>
    <x v="4"/>
    <x v="3"/>
    <s v="Boarderline"/>
    <x v="2"/>
  </r>
  <r>
    <x v="4"/>
    <x v="1"/>
    <n v="297.62"/>
    <n v="21.44"/>
    <x v="0"/>
    <n v="258"/>
    <s v="95/84"/>
    <n v="7.87"/>
    <x v="2"/>
    <x v="0"/>
    <x v="1"/>
    <n v="95"/>
    <n v="84"/>
    <x v="0"/>
    <x v="1"/>
    <s v="High"/>
    <x v="2"/>
  </r>
  <r>
    <x v="13"/>
    <x v="0"/>
    <n v="273.93"/>
    <n v="36.58"/>
    <x v="3"/>
    <n v="293"/>
    <s v="132/61"/>
    <n v="5.23"/>
    <x v="4"/>
    <x v="0"/>
    <x v="1"/>
    <n v="132"/>
    <n v="61"/>
    <x v="1"/>
    <x v="0"/>
    <s v="High"/>
    <x v="1"/>
  </r>
  <r>
    <x v="23"/>
    <x v="1"/>
    <n v="271.5"/>
    <n v="20.170000000000002"/>
    <x v="3"/>
    <n v="255"/>
    <s v="133/80"/>
    <n v="4.2300000000000004"/>
    <x v="0"/>
    <x v="0"/>
    <x v="0"/>
    <n v="133"/>
    <n v="80"/>
    <x v="0"/>
    <x v="0"/>
    <s v="High"/>
    <x v="2"/>
  </r>
  <r>
    <x v="40"/>
    <x v="0"/>
    <n v="288.57"/>
    <n v="29.54"/>
    <x v="0"/>
    <n v="126"/>
    <s v="98/74"/>
    <n v="4.88"/>
    <x v="3"/>
    <x v="1"/>
    <x v="1"/>
    <n v="98"/>
    <n v="74"/>
    <x v="2"/>
    <x v="0"/>
    <s v="Normal"/>
    <x v="0"/>
  </r>
  <r>
    <x v="1"/>
    <x v="1"/>
    <n v="90.75"/>
    <n v="20.51"/>
    <x v="1"/>
    <n v="290"/>
    <s v="92/75"/>
    <n v="4.3600000000000003"/>
    <x v="0"/>
    <x v="1"/>
    <x v="1"/>
    <n v="92"/>
    <n v="75"/>
    <x v="1"/>
    <x v="0"/>
    <s v="High"/>
    <x v="2"/>
  </r>
  <r>
    <x v="41"/>
    <x v="0"/>
    <n v="131.97999999999999"/>
    <n v="21.77"/>
    <x v="3"/>
    <n v="220"/>
    <s v="112/75"/>
    <n v="4.1900000000000004"/>
    <x v="3"/>
    <x v="1"/>
    <x v="0"/>
    <n v="112"/>
    <n v="75"/>
    <x v="5"/>
    <x v="0"/>
    <s v="Boarderline"/>
    <x v="2"/>
  </r>
  <r>
    <x v="46"/>
    <x v="0"/>
    <n v="195.57"/>
    <n v="19.39"/>
    <x v="1"/>
    <n v="116"/>
    <s v="111/73"/>
    <n v="6.61"/>
    <x v="4"/>
    <x v="0"/>
    <x v="1"/>
    <n v="111"/>
    <n v="73"/>
    <x v="0"/>
    <x v="3"/>
    <s v="Low"/>
    <x v="2"/>
  </r>
  <r>
    <x v="5"/>
    <x v="1"/>
    <n v="269.97000000000003"/>
    <n v="20.190000000000001"/>
    <x v="0"/>
    <n v="122"/>
    <s v="110/73"/>
    <n v="4.16"/>
    <x v="6"/>
    <x v="0"/>
    <x v="0"/>
    <n v="110"/>
    <n v="73"/>
    <x v="3"/>
    <x v="0"/>
    <s v="Normal"/>
    <x v="2"/>
  </r>
  <r>
    <x v="49"/>
    <x v="1"/>
    <n v="241.12"/>
    <n v="37.46"/>
    <x v="2"/>
    <n v="116"/>
    <s v="99/71"/>
    <n v="8.2200000000000006"/>
    <x v="6"/>
    <x v="0"/>
    <x v="1"/>
    <n v="99"/>
    <n v="71"/>
    <x v="4"/>
    <x v="1"/>
    <s v="Low"/>
    <x v="1"/>
  </r>
  <r>
    <x v="47"/>
    <x v="0"/>
    <n v="260.76"/>
    <n v="32.22"/>
    <x v="1"/>
    <n v="288"/>
    <s v="106/75"/>
    <n v="6.62"/>
    <x v="2"/>
    <x v="0"/>
    <x v="0"/>
    <n v="106"/>
    <n v="75"/>
    <x v="3"/>
    <x v="3"/>
    <s v="High"/>
    <x v="1"/>
  </r>
  <r>
    <x v="1"/>
    <x v="0"/>
    <n v="146.47"/>
    <n v="25.88"/>
    <x v="0"/>
    <n v="171"/>
    <s v="131/77"/>
    <n v="8.85"/>
    <x v="0"/>
    <x v="0"/>
    <x v="1"/>
    <n v="131"/>
    <n v="77"/>
    <x v="1"/>
    <x v="1"/>
    <s v="Normal"/>
    <x v="0"/>
  </r>
  <r>
    <x v="42"/>
    <x v="1"/>
    <n v="155.01"/>
    <n v="18.89"/>
    <x v="0"/>
    <n v="293"/>
    <s v="109/70"/>
    <n v="4.26"/>
    <x v="3"/>
    <x v="0"/>
    <x v="0"/>
    <n v="109"/>
    <n v="70"/>
    <x v="3"/>
    <x v="0"/>
    <s v="High"/>
    <x v="2"/>
  </r>
  <r>
    <x v="53"/>
    <x v="1"/>
    <n v="112.57"/>
    <n v="35.630000000000003"/>
    <x v="3"/>
    <n v="249"/>
    <s v="130/68"/>
    <n v="4.0599999999999996"/>
    <x v="5"/>
    <x v="0"/>
    <x v="0"/>
    <n v="130"/>
    <n v="68"/>
    <x v="5"/>
    <x v="0"/>
    <s v="High"/>
    <x v="1"/>
  </r>
  <r>
    <x v="53"/>
    <x v="0"/>
    <n v="119.18"/>
    <n v="21.09"/>
    <x v="1"/>
    <n v="182"/>
    <s v="136/77"/>
    <n v="9.25"/>
    <x v="1"/>
    <x v="1"/>
    <x v="0"/>
    <n v="136"/>
    <n v="77"/>
    <x v="5"/>
    <x v="1"/>
    <s v="Normal"/>
    <x v="2"/>
  </r>
  <r>
    <x v="20"/>
    <x v="0"/>
    <n v="214.66"/>
    <n v="18.72"/>
    <x v="1"/>
    <n v="116"/>
    <s v="139/86"/>
    <n v="7.68"/>
    <x v="0"/>
    <x v="0"/>
    <x v="0"/>
    <n v="139"/>
    <n v="86"/>
    <x v="0"/>
    <x v="1"/>
    <s v="Low"/>
    <x v="2"/>
  </r>
  <r>
    <x v="11"/>
    <x v="1"/>
    <n v="179.22"/>
    <n v="24.49"/>
    <x v="0"/>
    <n v="195"/>
    <s v="117/85"/>
    <n v="8.58"/>
    <x v="3"/>
    <x v="1"/>
    <x v="1"/>
    <n v="117"/>
    <n v="85"/>
    <x v="1"/>
    <x v="1"/>
    <s v="Normal"/>
    <x v="2"/>
  </r>
  <r>
    <x v="13"/>
    <x v="0"/>
    <n v="209.65"/>
    <n v="27.51"/>
    <x v="0"/>
    <n v="156"/>
    <s v="90/79"/>
    <n v="8.7799999999999994"/>
    <x v="4"/>
    <x v="0"/>
    <x v="1"/>
    <n v="90"/>
    <n v="79"/>
    <x v="1"/>
    <x v="1"/>
    <s v="Normal"/>
    <x v="0"/>
  </r>
  <r>
    <x v="49"/>
    <x v="1"/>
    <n v="215.1"/>
    <n v="31.53"/>
    <x v="3"/>
    <n v="204"/>
    <s v="106/88"/>
    <n v="5.58"/>
    <x v="0"/>
    <x v="1"/>
    <x v="0"/>
    <n v="106"/>
    <n v="88"/>
    <x v="4"/>
    <x v="0"/>
    <s v="Boarderline"/>
    <x v="1"/>
  </r>
  <r>
    <x v="53"/>
    <x v="0"/>
    <n v="143.93"/>
    <n v="38.090000000000003"/>
    <x v="0"/>
    <n v="185"/>
    <s v="112/78"/>
    <n v="8.31"/>
    <x v="5"/>
    <x v="1"/>
    <x v="0"/>
    <n v="112"/>
    <n v="78"/>
    <x v="5"/>
    <x v="1"/>
    <s v="Normal"/>
    <x v="1"/>
  </r>
  <r>
    <x v="22"/>
    <x v="0"/>
    <n v="275.88"/>
    <n v="26.06"/>
    <x v="2"/>
    <n v="296"/>
    <s v="103/76"/>
    <n v="5.64"/>
    <x v="5"/>
    <x v="1"/>
    <x v="0"/>
    <n v="103"/>
    <n v="76"/>
    <x v="5"/>
    <x v="0"/>
    <s v="High"/>
    <x v="0"/>
  </r>
  <r>
    <x v="16"/>
    <x v="0"/>
    <n v="254.3"/>
    <n v="26.56"/>
    <x v="0"/>
    <n v="150"/>
    <s v="112/83"/>
    <n v="5.42"/>
    <x v="4"/>
    <x v="1"/>
    <x v="1"/>
    <n v="112"/>
    <n v="83"/>
    <x v="4"/>
    <x v="0"/>
    <s v="Normal"/>
    <x v="0"/>
  </r>
  <r>
    <x v="40"/>
    <x v="0"/>
    <n v="169.64"/>
    <n v="33.31"/>
    <x v="1"/>
    <n v="141"/>
    <s v="113/79"/>
    <n v="6"/>
    <x v="4"/>
    <x v="1"/>
    <x v="0"/>
    <n v="113"/>
    <n v="79"/>
    <x v="2"/>
    <x v="2"/>
    <s v="Normal"/>
    <x v="1"/>
  </r>
  <r>
    <x v="38"/>
    <x v="0"/>
    <n v="242.16"/>
    <n v="22.14"/>
    <x v="3"/>
    <n v="204"/>
    <s v="94/66"/>
    <n v="7.5"/>
    <x v="6"/>
    <x v="1"/>
    <x v="0"/>
    <n v="94"/>
    <n v="66"/>
    <x v="4"/>
    <x v="3"/>
    <s v="Boarderline"/>
    <x v="2"/>
  </r>
  <r>
    <x v="42"/>
    <x v="0"/>
    <n v="234.74"/>
    <n v="22.62"/>
    <x v="3"/>
    <n v="171"/>
    <s v="125/76"/>
    <n v="4.2"/>
    <x v="5"/>
    <x v="1"/>
    <x v="0"/>
    <n v="125"/>
    <n v="76"/>
    <x v="3"/>
    <x v="0"/>
    <s v="Normal"/>
    <x v="2"/>
  </r>
  <r>
    <x v="46"/>
    <x v="0"/>
    <n v="256.07"/>
    <n v="38.159999999999997"/>
    <x v="1"/>
    <n v="107"/>
    <s v="105/64"/>
    <n v="4.82"/>
    <x v="6"/>
    <x v="1"/>
    <x v="0"/>
    <n v="105"/>
    <n v="64"/>
    <x v="0"/>
    <x v="0"/>
    <s v="Low"/>
    <x v="1"/>
  </r>
  <r>
    <x v="55"/>
    <x v="0"/>
    <n v="114.58"/>
    <n v="32.79"/>
    <x v="1"/>
    <n v="269"/>
    <s v="98/60"/>
    <n v="9.85"/>
    <x v="3"/>
    <x v="1"/>
    <x v="0"/>
    <n v="98"/>
    <n v="60"/>
    <x v="3"/>
    <x v="1"/>
    <s v="High"/>
    <x v="1"/>
  </r>
  <r>
    <x v="34"/>
    <x v="1"/>
    <n v="108.47"/>
    <n v="37.82"/>
    <x v="2"/>
    <n v="156"/>
    <s v="129/71"/>
    <n v="6.18"/>
    <x v="2"/>
    <x v="0"/>
    <x v="1"/>
    <n v="129"/>
    <n v="71"/>
    <x v="5"/>
    <x v="2"/>
    <s v="Normal"/>
    <x v="1"/>
  </r>
  <r>
    <x v="53"/>
    <x v="0"/>
    <n v="202.71"/>
    <n v="32.58"/>
    <x v="1"/>
    <n v="115"/>
    <s v="125/89"/>
    <n v="8.26"/>
    <x v="6"/>
    <x v="1"/>
    <x v="1"/>
    <n v="125"/>
    <n v="89"/>
    <x v="5"/>
    <x v="1"/>
    <s v="Low"/>
    <x v="1"/>
  </r>
  <r>
    <x v="7"/>
    <x v="0"/>
    <n v="195.99"/>
    <n v="34.33"/>
    <x v="1"/>
    <n v="123"/>
    <s v="90/87"/>
    <n v="8.35"/>
    <x v="6"/>
    <x v="0"/>
    <x v="1"/>
    <n v="90"/>
    <n v="87"/>
    <x v="3"/>
    <x v="1"/>
    <s v="Normal"/>
    <x v="1"/>
  </r>
  <r>
    <x v="45"/>
    <x v="1"/>
    <n v="133.59"/>
    <n v="33.6"/>
    <x v="1"/>
    <n v="136"/>
    <s v="108/80"/>
    <n v="6.98"/>
    <x v="6"/>
    <x v="0"/>
    <x v="1"/>
    <n v="108"/>
    <n v="80"/>
    <x v="4"/>
    <x v="3"/>
    <s v="Normal"/>
    <x v="1"/>
  </r>
  <r>
    <x v="36"/>
    <x v="0"/>
    <n v="196.18"/>
    <n v="22.11"/>
    <x v="0"/>
    <n v="191"/>
    <s v="115/76"/>
    <n v="8.43"/>
    <x v="7"/>
    <x v="1"/>
    <x v="0"/>
    <n v="115"/>
    <n v="76"/>
    <x v="0"/>
    <x v="1"/>
    <s v="Normal"/>
    <x v="2"/>
  </r>
  <r>
    <x v="5"/>
    <x v="1"/>
    <n v="242.32"/>
    <n v="21.57"/>
    <x v="0"/>
    <n v="156"/>
    <s v="93/61"/>
    <n v="8.17"/>
    <x v="1"/>
    <x v="0"/>
    <x v="0"/>
    <n v="93"/>
    <n v="61"/>
    <x v="3"/>
    <x v="1"/>
    <s v="Normal"/>
    <x v="2"/>
  </r>
  <r>
    <x v="25"/>
    <x v="0"/>
    <n v="184.67"/>
    <n v="23.66"/>
    <x v="1"/>
    <n v="134"/>
    <s v="91/65"/>
    <n v="8.93"/>
    <x v="6"/>
    <x v="0"/>
    <x v="1"/>
    <n v="91"/>
    <n v="65"/>
    <x v="1"/>
    <x v="1"/>
    <s v="Normal"/>
    <x v="2"/>
  </r>
  <r>
    <x v="30"/>
    <x v="1"/>
    <n v="234.97"/>
    <n v="32.18"/>
    <x v="3"/>
    <n v="145"/>
    <s v="120/73"/>
    <n v="4.57"/>
    <x v="6"/>
    <x v="0"/>
    <x v="0"/>
    <n v="120"/>
    <n v="73"/>
    <x v="3"/>
    <x v="0"/>
    <s v="Normal"/>
    <x v="1"/>
  </r>
  <r>
    <x v="38"/>
    <x v="0"/>
    <n v="278.98"/>
    <n v="26.27"/>
    <x v="0"/>
    <n v="242"/>
    <s v="113/76"/>
    <n v="6.51"/>
    <x v="2"/>
    <x v="0"/>
    <x v="0"/>
    <n v="113"/>
    <n v="76"/>
    <x v="4"/>
    <x v="3"/>
    <s v="High"/>
    <x v="0"/>
  </r>
  <r>
    <x v="6"/>
    <x v="1"/>
    <n v="201.65"/>
    <n v="21.19"/>
    <x v="1"/>
    <n v="263"/>
    <s v="97/65"/>
    <n v="8.07"/>
    <x v="0"/>
    <x v="0"/>
    <x v="1"/>
    <n v="97"/>
    <n v="65"/>
    <x v="3"/>
    <x v="1"/>
    <s v="High"/>
    <x v="2"/>
  </r>
  <r>
    <x v="48"/>
    <x v="1"/>
    <n v="209.74"/>
    <n v="37.9"/>
    <x v="0"/>
    <n v="189"/>
    <s v="135/87"/>
    <n v="5.19"/>
    <x v="5"/>
    <x v="0"/>
    <x v="0"/>
    <n v="135"/>
    <n v="87"/>
    <x v="1"/>
    <x v="0"/>
    <s v="Normal"/>
    <x v="1"/>
  </r>
  <r>
    <x v="41"/>
    <x v="0"/>
    <n v="146.4"/>
    <n v="37.89"/>
    <x v="1"/>
    <n v="118"/>
    <s v="115/85"/>
    <n v="6.61"/>
    <x v="6"/>
    <x v="0"/>
    <x v="1"/>
    <n v="115"/>
    <n v="85"/>
    <x v="5"/>
    <x v="3"/>
    <s v="Low"/>
    <x v="1"/>
  </r>
  <r>
    <x v="13"/>
    <x v="0"/>
    <n v="274.51"/>
    <n v="24.1"/>
    <x v="3"/>
    <n v="109"/>
    <s v="104/84"/>
    <n v="9.65"/>
    <x v="6"/>
    <x v="1"/>
    <x v="0"/>
    <n v="104"/>
    <n v="84"/>
    <x v="1"/>
    <x v="1"/>
    <s v="Low"/>
    <x v="2"/>
  </r>
  <r>
    <x v="7"/>
    <x v="0"/>
    <n v="244.56"/>
    <n v="23.71"/>
    <x v="1"/>
    <n v="133"/>
    <s v="112/70"/>
    <n v="9.9"/>
    <x v="2"/>
    <x v="1"/>
    <x v="0"/>
    <n v="112"/>
    <n v="70"/>
    <x v="3"/>
    <x v="1"/>
    <s v="Normal"/>
    <x v="2"/>
  </r>
  <r>
    <x v="21"/>
    <x v="1"/>
    <n v="149.27000000000001"/>
    <n v="38.659999999999997"/>
    <x v="3"/>
    <n v="223"/>
    <s v="107/62"/>
    <n v="7.84"/>
    <x v="3"/>
    <x v="1"/>
    <x v="0"/>
    <n v="107"/>
    <n v="62"/>
    <x v="3"/>
    <x v="1"/>
    <s v="Boarderline"/>
    <x v="1"/>
  </r>
  <r>
    <x v="57"/>
    <x v="0"/>
    <n v="165.14"/>
    <n v="28.95"/>
    <x v="1"/>
    <n v="184"/>
    <s v="134/69"/>
    <n v="6.99"/>
    <x v="2"/>
    <x v="1"/>
    <x v="1"/>
    <n v="134"/>
    <n v="69"/>
    <x v="3"/>
    <x v="3"/>
    <s v="Normal"/>
    <x v="0"/>
  </r>
  <r>
    <x v="29"/>
    <x v="1"/>
    <n v="210.97"/>
    <n v="38.619999999999997"/>
    <x v="3"/>
    <n v="214"/>
    <s v="91/88"/>
    <n v="6.73"/>
    <x v="2"/>
    <x v="0"/>
    <x v="1"/>
    <n v="91"/>
    <n v="88"/>
    <x v="1"/>
    <x v="3"/>
    <s v="Boarderline"/>
    <x v="1"/>
  </r>
  <r>
    <x v="48"/>
    <x v="1"/>
    <n v="174.4"/>
    <n v="30.07"/>
    <x v="2"/>
    <n v="107"/>
    <s v="117/68"/>
    <n v="6.45"/>
    <x v="7"/>
    <x v="0"/>
    <x v="1"/>
    <n v="117"/>
    <n v="68"/>
    <x v="1"/>
    <x v="3"/>
    <s v="Low"/>
    <x v="1"/>
  </r>
  <r>
    <x v="36"/>
    <x v="1"/>
    <n v="248.91"/>
    <n v="34.299999999999997"/>
    <x v="2"/>
    <n v="283"/>
    <s v="128/75"/>
    <n v="6.61"/>
    <x v="4"/>
    <x v="1"/>
    <x v="0"/>
    <n v="128"/>
    <n v="75"/>
    <x v="0"/>
    <x v="3"/>
    <s v="High"/>
    <x v="1"/>
  </r>
  <r>
    <x v="43"/>
    <x v="0"/>
    <n v="257.2"/>
    <n v="35.799999999999997"/>
    <x v="2"/>
    <n v="154"/>
    <s v="128/85"/>
    <n v="4.16"/>
    <x v="4"/>
    <x v="0"/>
    <x v="1"/>
    <n v="128"/>
    <n v="85"/>
    <x v="2"/>
    <x v="0"/>
    <s v="Normal"/>
    <x v="1"/>
  </r>
  <r>
    <x v="54"/>
    <x v="0"/>
    <n v="109.02"/>
    <n v="31.05"/>
    <x v="0"/>
    <n v="178"/>
    <s v="113/77"/>
    <n v="6.71"/>
    <x v="7"/>
    <x v="0"/>
    <x v="0"/>
    <n v="113"/>
    <n v="77"/>
    <x v="0"/>
    <x v="3"/>
    <s v="Normal"/>
    <x v="1"/>
  </r>
  <r>
    <x v="6"/>
    <x v="1"/>
    <n v="121.89"/>
    <n v="27.37"/>
    <x v="2"/>
    <n v="214"/>
    <s v="112/80"/>
    <n v="7.41"/>
    <x v="1"/>
    <x v="1"/>
    <x v="1"/>
    <n v="112"/>
    <n v="80"/>
    <x v="3"/>
    <x v="3"/>
    <s v="Boarderline"/>
    <x v="0"/>
  </r>
  <r>
    <x v="11"/>
    <x v="1"/>
    <n v="75.34"/>
    <n v="28.35"/>
    <x v="1"/>
    <n v="226"/>
    <s v="119/69"/>
    <n v="9.15"/>
    <x v="1"/>
    <x v="0"/>
    <x v="1"/>
    <n v="119"/>
    <n v="69"/>
    <x v="1"/>
    <x v="1"/>
    <s v="Boarderline"/>
    <x v="0"/>
  </r>
  <r>
    <x v="30"/>
    <x v="1"/>
    <n v="102.94"/>
    <n v="27.16"/>
    <x v="0"/>
    <n v="277"/>
    <s v="91/66"/>
    <n v="4.08"/>
    <x v="6"/>
    <x v="1"/>
    <x v="1"/>
    <n v="91"/>
    <n v="66"/>
    <x v="3"/>
    <x v="0"/>
    <s v="High"/>
    <x v="0"/>
  </r>
  <r>
    <x v="21"/>
    <x v="1"/>
    <n v="289.61"/>
    <n v="34.82"/>
    <x v="3"/>
    <n v="138"/>
    <s v="103/75"/>
    <n v="8.3699999999999992"/>
    <x v="3"/>
    <x v="0"/>
    <x v="0"/>
    <n v="103"/>
    <n v="75"/>
    <x v="3"/>
    <x v="1"/>
    <s v="Normal"/>
    <x v="1"/>
  </r>
  <r>
    <x v="46"/>
    <x v="1"/>
    <n v="294.55"/>
    <n v="38.94"/>
    <x v="2"/>
    <n v="214"/>
    <s v="91/65"/>
    <n v="9.16"/>
    <x v="6"/>
    <x v="0"/>
    <x v="1"/>
    <n v="91"/>
    <n v="65"/>
    <x v="0"/>
    <x v="1"/>
    <s v="Boarderline"/>
    <x v="1"/>
  </r>
  <r>
    <x v="59"/>
    <x v="0"/>
    <n v="131.66999999999999"/>
    <n v="26.25"/>
    <x v="1"/>
    <n v="253"/>
    <s v="96/65"/>
    <n v="5.9"/>
    <x v="0"/>
    <x v="0"/>
    <x v="0"/>
    <n v="96"/>
    <n v="65"/>
    <x v="1"/>
    <x v="2"/>
    <s v="High"/>
    <x v="0"/>
  </r>
  <r>
    <x v="59"/>
    <x v="0"/>
    <n v="113.81"/>
    <n v="25.47"/>
    <x v="0"/>
    <n v="183"/>
    <s v="102/84"/>
    <n v="6.47"/>
    <x v="4"/>
    <x v="0"/>
    <x v="0"/>
    <n v="102"/>
    <n v="84"/>
    <x v="1"/>
    <x v="3"/>
    <s v="Normal"/>
    <x v="0"/>
  </r>
  <r>
    <x v="27"/>
    <x v="0"/>
    <n v="96.21"/>
    <n v="18.260000000000002"/>
    <x v="3"/>
    <n v="105"/>
    <s v="105/82"/>
    <n v="6.18"/>
    <x v="2"/>
    <x v="0"/>
    <x v="0"/>
    <n v="105"/>
    <n v="82"/>
    <x v="4"/>
    <x v="2"/>
    <s v="Low"/>
    <x v="3"/>
  </r>
  <r>
    <x v="4"/>
    <x v="1"/>
    <n v="228.63"/>
    <n v="35.29"/>
    <x v="0"/>
    <n v="221"/>
    <s v="104/81"/>
    <n v="9.5500000000000007"/>
    <x v="0"/>
    <x v="0"/>
    <x v="0"/>
    <n v="104"/>
    <n v="81"/>
    <x v="0"/>
    <x v="1"/>
    <s v="Boarderline"/>
    <x v="1"/>
  </r>
  <r>
    <x v="28"/>
    <x v="0"/>
    <n v="150.87"/>
    <n v="20.67"/>
    <x v="0"/>
    <n v="269"/>
    <s v="92/79"/>
    <n v="8.68"/>
    <x v="1"/>
    <x v="1"/>
    <x v="1"/>
    <n v="92"/>
    <n v="79"/>
    <x v="3"/>
    <x v="1"/>
    <s v="High"/>
    <x v="2"/>
  </r>
  <r>
    <x v="21"/>
    <x v="0"/>
    <n v="231.42"/>
    <n v="32.630000000000003"/>
    <x v="0"/>
    <n v="152"/>
    <s v="128/88"/>
    <n v="7.5"/>
    <x v="2"/>
    <x v="0"/>
    <x v="1"/>
    <n v="128"/>
    <n v="88"/>
    <x v="3"/>
    <x v="3"/>
    <s v="Normal"/>
    <x v="1"/>
  </r>
  <r>
    <x v="47"/>
    <x v="0"/>
    <n v="169.52"/>
    <n v="37.72"/>
    <x v="2"/>
    <n v="257"/>
    <s v="125/61"/>
    <n v="5.72"/>
    <x v="5"/>
    <x v="1"/>
    <x v="1"/>
    <n v="125"/>
    <n v="61"/>
    <x v="3"/>
    <x v="2"/>
    <s v="High"/>
    <x v="1"/>
  </r>
  <r>
    <x v="14"/>
    <x v="1"/>
    <n v="179.45"/>
    <n v="25.8"/>
    <x v="3"/>
    <n v="147"/>
    <s v="139/85"/>
    <n v="9.48"/>
    <x v="2"/>
    <x v="0"/>
    <x v="0"/>
    <n v="139"/>
    <n v="85"/>
    <x v="3"/>
    <x v="1"/>
    <s v="Normal"/>
    <x v="0"/>
  </r>
  <r>
    <x v="1"/>
    <x v="0"/>
    <n v="292.44"/>
    <n v="31.28"/>
    <x v="0"/>
    <n v="162"/>
    <s v="93/63"/>
    <n v="5.26"/>
    <x v="3"/>
    <x v="0"/>
    <x v="0"/>
    <n v="93"/>
    <n v="63"/>
    <x v="1"/>
    <x v="0"/>
    <s v="Normal"/>
    <x v="1"/>
  </r>
  <r>
    <x v="44"/>
    <x v="0"/>
    <n v="174.21"/>
    <n v="33.479999999999997"/>
    <x v="3"/>
    <n v="153"/>
    <s v="101/88"/>
    <n v="4.28"/>
    <x v="5"/>
    <x v="1"/>
    <x v="1"/>
    <n v="101"/>
    <n v="88"/>
    <x v="4"/>
    <x v="0"/>
    <s v="Normal"/>
    <x v="1"/>
  </r>
  <r>
    <x v="13"/>
    <x v="0"/>
    <n v="194.75"/>
    <n v="24.07"/>
    <x v="0"/>
    <n v="259"/>
    <s v="139/63"/>
    <n v="4.21"/>
    <x v="6"/>
    <x v="0"/>
    <x v="1"/>
    <n v="139"/>
    <n v="63"/>
    <x v="1"/>
    <x v="0"/>
    <s v="High"/>
    <x v="2"/>
  </r>
  <r>
    <x v="22"/>
    <x v="0"/>
    <n v="184.77"/>
    <n v="32.270000000000003"/>
    <x v="2"/>
    <n v="224"/>
    <s v="128/66"/>
    <n v="9.09"/>
    <x v="7"/>
    <x v="0"/>
    <x v="1"/>
    <n v="128"/>
    <n v="66"/>
    <x v="5"/>
    <x v="1"/>
    <s v="Boarderline"/>
    <x v="1"/>
  </r>
  <r>
    <x v="54"/>
    <x v="0"/>
    <n v="249.52"/>
    <n v="39.24"/>
    <x v="1"/>
    <n v="178"/>
    <s v="127/66"/>
    <n v="5.57"/>
    <x v="1"/>
    <x v="0"/>
    <x v="0"/>
    <n v="127"/>
    <n v="66"/>
    <x v="0"/>
    <x v="0"/>
    <s v="Normal"/>
    <x v="1"/>
  </r>
  <r>
    <x v="47"/>
    <x v="0"/>
    <n v="113.45"/>
    <n v="37.67"/>
    <x v="3"/>
    <n v="188"/>
    <s v="132/83"/>
    <n v="9.32"/>
    <x v="5"/>
    <x v="1"/>
    <x v="0"/>
    <n v="132"/>
    <n v="83"/>
    <x v="3"/>
    <x v="1"/>
    <s v="Normal"/>
    <x v="1"/>
  </r>
  <r>
    <x v="17"/>
    <x v="0"/>
    <n v="188.9"/>
    <n v="34.22"/>
    <x v="0"/>
    <n v="178"/>
    <s v="124/77"/>
    <n v="9.1"/>
    <x v="1"/>
    <x v="0"/>
    <x v="0"/>
    <n v="124"/>
    <n v="77"/>
    <x v="0"/>
    <x v="1"/>
    <s v="Normal"/>
    <x v="1"/>
  </r>
  <r>
    <x v="42"/>
    <x v="0"/>
    <n v="219.83"/>
    <n v="20.14"/>
    <x v="2"/>
    <n v="130"/>
    <s v="113/70"/>
    <n v="9.17"/>
    <x v="5"/>
    <x v="1"/>
    <x v="1"/>
    <n v="113"/>
    <n v="70"/>
    <x v="3"/>
    <x v="1"/>
    <s v="Normal"/>
    <x v="2"/>
  </r>
  <r>
    <x v="55"/>
    <x v="0"/>
    <n v="133.82"/>
    <n v="26.67"/>
    <x v="3"/>
    <n v="114"/>
    <s v="111/63"/>
    <n v="5.26"/>
    <x v="2"/>
    <x v="0"/>
    <x v="0"/>
    <n v="111"/>
    <n v="63"/>
    <x v="3"/>
    <x v="0"/>
    <s v="Low"/>
    <x v="0"/>
  </r>
  <r>
    <x v="13"/>
    <x v="1"/>
    <n v="153.78"/>
    <n v="33.54"/>
    <x v="1"/>
    <n v="265"/>
    <s v="140/67"/>
    <n v="8.57"/>
    <x v="2"/>
    <x v="1"/>
    <x v="0"/>
    <n v="140"/>
    <n v="67"/>
    <x v="1"/>
    <x v="1"/>
    <s v="High"/>
    <x v="1"/>
  </r>
  <r>
    <x v="28"/>
    <x v="1"/>
    <n v="112.42"/>
    <n v="32.770000000000003"/>
    <x v="0"/>
    <n v="172"/>
    <s v="98/84"/>
    <n v="5.82"/>
    <x v="7"/>
    <x v="1"/>
    <x v="1"/>
    <n v="98"/>
    <n v="84"/>
    <x v="3"/>
    <x v="2"/>
    <s v="Normal"/>
    <x v="1"/>
  </r>
  <r>
    <x v="59"/>
    <x v="0"/>
    <n v="129.21"/>
    <n v="32.71"/>
    <x v="2"/>
    <n v="118"/>
    <s v="119/77"/>
    <n v="7.64"/>
    <x v="5"/>
    <x v="0"/>
    <x v="0"/>
    <n v="119"/>
    <n v="77"/>
    <x v="1"/>
    <x v="1"/>
    <s v="Low"/>
    <x v="1"/>
  </r>
  <r>
    <x v="47"/>
    <x v="0"/>
    <n v="159.35"/>
    <n v="20.72"/>
    <x v="2"/>
    <n v="124"/>
    <s v="139/74"/>
    <n v="7.29"/>
    <x v="6"/>
    <x v="0"/>
    <x v="0"/>
    <n v="139"/>
    <n v="74"/>
    <x v="3"/>
    <x v="3"/>
    <s v="Normal"/>
    <x v="2"/>
  </r>
  <r>
    <x v="11"/>
    <x v="0"/>
    <n v="123.13"/>
    <n v="26.06"/>
    <x v="3"/>
    <n v="178"/>
    <s v="95/78"/>
    <n v="6.75"/>
    <x v="2"/>
    <x v="0"/>
    <x v="0"/>
    <n v="95"/>
    <n v="78"/>
    <x v="1"/>
    <x v="3"/>
    <s v="Normal"/>
    <x v="0"/>
  </r>
  <r>
    <x v="34"/>
    <x v="1"/>
    <n v="249.52"/>
    <n v="26.2"/>
    <x v="3"/>
    <n v="215"/>
    <s v="135/88"/>
    <n v="4.4800000000000004"/>
    <x v="7"/>
    <x v="0"/>
    <x v="1"/>
    <n v="135"/>
    <n v="88"/>
    <x v="5"/>
    <x v="0"/>
    <s v="Boarderline"/>
    <x v="0"/>
  </r>
  <r>
    <x v="2"/>
    <x v="0"/>
    <n v="96.79"/>
    <n v="21.63"/>
    <x v="1"/>
    <n v="200"/>
    <s v="139/85"/>
    <n v="5.04"/>
    <x v="2"/>
    <x v="0"/>
    <x v="0"/>
    <n v="139"/>
    <n v="85"/>
    <x v="2"/>
    <x v="0"/>
    <s v="Normal"/>
    <x v="2"/>
  </r>
  <r>
    <x v="17"/>
    <x v="0"/>
    <n v="265.47000000000003"/>
    <n v="22.03"/>
    <x v="1"/>
    <n v="121"/>
    <s v="118/83"/>
    <n v="5.57"/>
    <x v="0"/>
    <x v="1"/>
    <x v="1"/>
    <n v="118"/>
    <n v="83"/>
    <x v="0"/>
    <x v="0"/>
    <s v="Normal"/>
    <x v="2"/>
  </r>
  <r>
    <x v="25"/>
    <x v="0"/>
    <n v="219.23"/>
    <n v="31.01"/>
    <x v="1"/>
    <n v="162"/>
    <s v="100/66"/>
    <n v="8.73"/>
    <x v="7"/>
    <x v="0"/>
    <x v="1"/>
    <n v="100"/>
    <n v="66"/>
    <x v="1"/>
    <x v="1"/>
    <s v="Normal"/>
    <x v="1"/>
  </r>
  <r>
    <x v="39"/>
    <x v="0"/>
    <n v="71.14"/>
    <n v="29.95"/>
    <x v="0"/>
    <n v="104"/>
    <s v="103/85"/>
    <n v="9.66"/>
    <x v="5"/>
    <x v="1"/>
    <x v="1"/>
    <n v="103"/>
    <n v="85"/>
    <x v="5"/>
    <x v="1"/>
    <s v="Low"/>
    <x v="1"/>
  </r>
  <r>
    <x v="24"/>
    <x v="0"/>
    <n v="190.32"/>
    <n v="32.44"/>
    <x v="2"/>
    <n v="185"/>
    <s v="110/90"/>
    <n v="8.6"/>
    <x v="4"/>
    <x v="0"/>
    <x v="0"/>
    <n v="110"/>
    <n v="90"/>
    <x v="4"/>
    <x v="1"/>
    <s v="Normal"/>
    <x v="1"/>
  </r>
  <r>
    <x v="13"/>
    <x v="0"/>
    <n v="182.53"/>
    <n v="37.799999999999997"/>
    <x v="1"/>
    <n v="138"/>
    <s v="90/63"/>
    <n v="4.37"/>
    <x v="7"/>
    <x v="1"/>
    <x v="0"/>
    <n v="90"/>
    <n v="63"/>
    <x v="1"/>
    <x v="0"/>
    <s v="Normal"/>
    <x v="1"/>
  </r>
  <r>
    <x v="2"/>
    <x v="1"/>
    <n v="179.56"/>
    <n v="39.22"/>
    <x v="1"/>
    <n v="130"/>
    <s v="124/85"/>
    <n v="9.76"/>
    <x v="0"/>
    <x v="1"/>
    <x v="0"/>
    <n v="124"/>
    <n v="85"/>
    <x v="2"/>
    <x v="1"/>
    <s v="Normal"/>
    <x v="1"/>
  </r>
  <r>
    <x v="48"/>
    <x v="0"/>
    <n v="282.44"/>
    <n v="24.41"/>
    <x v="0"/>
    <n v="275"/>
    <s v="102/61"/>
    <n v="9.83"/>
    <x v="0"/>
    <x v="0"/>
    <x v="1"/>
    <n v="102"/>
    <n v="61"/>
    <x v="1"/>
    <x v="1"/>
    <s v="High"/>
    <x v="2"/>
  </r>
  <r>
    <x v="8"/>
    <x v="0"/>
    <n v="98.39"/>
    <n v="18.170000000000002"/>
    <x v="3"/>
    <n v="256"/>
    <s v="93/83"/>
    <n v="8.93"/>
    <x v="5"/>
    <x v="1"/>
    <x v="1"/>
    <n v="93"/>
    <n v="83"/>
    <x v="4"/>
    <x v="1"/>
    <s v="High"/>
    <x v="3"/>
  </r>
  <r>
    <x v="51"/>
    <x v="1"/>
    <n v="130.78"/>
    <n v="32.270000000000003"/>
    <x v="1"/>
    <n v="104"/>
    <s v="113/63"/>
    <n v="5.97"/>
    <x v="2"/>
    <x v="0"/>
    <x v="0"/>
    <n v="113"/>
    <n v="63"/>
    <x v="5"/>
    <x v="2"/>
    <s v="Low"/>
    <x v="1"/>
  </r>
  <r>
    <x v="55"/>
    <x v="0"/>
    <n v="252.75"/>
    <n v="36.119999999999997"/>
    <x v="0"/>
    <n v="187"/>
    <s v="122/67"/>
    <n v="4.3"/>
    <x v="0"/>
    <x v="0"/>
    <x v="1"/>
    <n v="122"/>
    <n v="67"/>
    <x v="3"/>
    <x v="0"/>
    <s v="Normal"/>
    <x v="1"/>
  </r>
  <r>
    <x v="47"/>
    <x v="1"/>
    <n v="236.11"/>
    <n v="20.41"/>
    <x v="2"/>
    <n v="202"/>
    <s v="101/90"/>
    <n v="6.87"/>
    <x v="7"/>
    <x v="0"/>
    <x v="1"/>
    <n v="101"/>
    <n v="90"/>
    <x v="3"/>
    <x v="3"/>
    <s v="Boarderline"/>
    <x v="2"/>
  </r>
  <r>
    <x v="31"/>
    <x v="1"/>
    <n v="267.31"/>
    <n v="35.909999999999997"/>
    <x v="2"/>
    <n v="276"/>
    <s v="138/76"/>
    <n v="5.99"/>
    <x v="3"/>
    <x v="1"/>
    <x v="0"/>
    <n v="138"/>
    <n v="76"/>
    <x v="2"/>
    <x v="2"/>
    <s v="High"/>
    <x v="1"/>
  </r>
  <r>
    <x v="10"/>
    <x v="0"/>
    <n v="195.19"/>
    <n v="22.45"/>
    <x v="0"/>
    <n v="121"/>
    <s v="112/80"/>
    <n v="4.3499999999999996"/>
    <x v="4"/>
    <x v="0"/>
    <x v="0"/>
    <n v="112"/>
    <n v="80"/>
    <x v="0"/>
    <x v="0"/>
    <s v="Normal"/>
    <x v="2"/>
  </r>
  <r>
    <x v="49"/>
    <x v="0"/>
    <n v="273.81"/>
    <n v="20.420000000000002"/>
    <x v="0"/>
    <n v="206"/>
    <s v="130/74"/>
    <n v="9.02"/>
    <x v="7"/>
    <x v="0"/>
    <x v="1"/>
    <n v="130"/>
    <n v="74"/>
    <x v="4"/>
    <x v="1"/>
    <s v="Boarderline"/>
    <x v="2"/>
  </r>
  <r>
    <x v="3"/>
    <x v="1"/>
    <n v="73.41"/>
    <n v="39.479999999999997"/>
    <x v="0"/>
    <n v="185"/>
    <s v="95/74"/>
    <n v="4.29"/>
    <x v="7"/>
    <x v="1"/>
    <x v="1"/>
    <n v="95"/>
    <n v="74"/>
    <x v="1"/>
    <x v="0"/>
    <s v="Normal"/>
    <x v="1"/>
  </r>
  <r>
    <x v="7"/>
    <x v="0"/>
    <n v="235.47"/>
    <n v="20.99"/>
    <x v="0"/>
    <n v="292"/>
    <s v="117/66"/>
    <n v="8.4700000000000006"/>
    <x v="7"/>
    <x v="1"/>
    <x v="0"/>
    <n v="117"/>
    <n v="66"/>
    <x v="3"/>
    <x v="1"/>
    <s v="High"/>
    <x v="2"/>
  </r>
  <r>
    <x v="37"/>
    <x v="0"/>
    <n v="259.14999999999998"/>
    <n v="24.66"/>
    <x v="2"/>
    <n v="173"/>
    <s v="103/66"/>
    <n v="9.23"/>
    <x v="5"/>
    <x v="1"/>
    <x v="0"/>
    <n v="103"/>
    <n v="66"/>
    <x v="3"/>
    <x v="1"/>
    <s v="Normal"/>
    <x v="2"/>
  </r>
  <r>
    <x v="31"/>
    <x v="1"/>
    <n v="194.71"/>
    <n v="26.08"/>
    <x v="2"/>
    <n v="139"/>
    <s v="98/85"/>
    <n v="5.3"/>
    <x v="2"/>
    <x v="0"/>
    <x v="0"/>
    <n v="98"/>
    <n v="85"/>
    <x v="2"/>
    <x v="0"/>
    <s v="Normal"/>
    <x v="0"/>
  </r>
  <r>
    <x v="21"/>
    <x v="0"/>
    <n v="233.73"/>
    <n v="30.79"/>
    <x v="3"/>
    <n v="204"/>
    <s v="105/65"/>
    <n v="7.21"/>
    <x v="6"/>
    <x v="1"/>
    <x v="1"/>
    <n v="105"/>
    <n v="65"/>
    <x v="3"/>
    <x v="3"/>
    <s v="Boarderline"/>
    <x v="1"/>
  </r>
  <r>
    <x v="8"/>
    <x v="0"/>
    <n v="216.3"/>
    <n v="38.909999999999997"/>
    <x v="2"/>
    <n v="139"/>
    <s v="106/65"/>
    <n v="7.01"/>
    <x v="7"/>
    <x v="0"/>
    <x v="1"/>
    <n v="106"/>
    <n v="65"/>
    <x v="4"/>
    <x v="3"/>
    <s v="Normal"/>
    <x v="1"/>
  </r>
  <r>
    <x v="49"/>
    <x v="1"/>
    <n v="154.76"/>
    <n v="28.04"/>
    <x v="1"/>
    <n v="281"/>
    <s v="131/65"/>
    <n v="5.27"/>
    <x v="6"/>
    <x v="1"/>
    <x v="1"/>
    <n v="131"/>
    <n v="65"/>
    <x v="4"/>
    <x v="0"/>
    <s v="High"/>
    <x v="0"/>
  </r>
  <r>
    <x v="19"/>
    <x v="0"/>
    <n v="85.29"/>
    <n v="24.37"/>
    <x v="2"/>
    <n v="111"/>
    <s v="96/73"/>
    <n v="9.59"/>
    <x v="7"/>
    <x v="0"/>
    <x v="0"/>
    <n v="96"/>
    <n v="73"/>
    <x v="2"/>
    <x v="1"/>
    <s v="Low"/>
    <x v="2"/>
  </r>
  <r>
    <x v="43"/>
    <x v="1"/>
    <n v="114.76"/>
    <n v="25.83"/>
    <x v="2"/>
    <n v="264"/>
    <s v="108/62"/>
    <n v="8.5299999999999994"/>
    <x v="6"/>
    <x v="0"/>
    <x v="0"/>
    <n v="108"/>
    <n v="62"/>
    <x v="2"/>
    <x v="1"/>
    <s v="High"/>
    <x v="0"/>
  </r>
  <r>
    <x v="11"/>
    <x v="0"/>
    <n v="199.94"/>
    <n v="21.39"/>
    <x v="3"/>
    <n v="206"/>
    <s v="119/67"/>
    <n v="7.35"/>
    <x v="6"/>
    <x v="0"/>
    <x v="0"/>
    <n v="119"/>
    <n v="67"/>
    <x v="1"/>
    <x v="3"/>
    <s v="Boarderline"/>
    <x v="2"/>
  </r>
  <r>
    <x v="43"/>
    <x v="0"/>
    <n v="151.4"/>
    <n v="29.58"/>
    <x v="0"/>
    <n v="226"/>
    <s v="127/63"/>
    <n v="4.4400000000000004"/>
    <x v="6"/>
    <x v="1"/>
    <x v="1"/>
    <n v="127"/>
    <n v="63"/>
    <x v="2"/>
    <x v="0"/>
    <s v="Boarderline"/>
    <x v="0"/>
  </r>
  <r>
    <x v="54"/>
    <x v="0"/>
    <n v="147.74"/>
    <n v="20.5"/>
    <x v="3"/>
    <n v="294"/>
    <s v="92/81"/>
    <n v="9.61"/>
    <x v="3"/>
    <x v="0"/>
    <x v="1"/>
    <n v="92"/>
    <n v="81"/>
    <x v="0"/>
    <x v="1"/>
    <s v="High"/>
    <x v="2"/>
  </r>
  <r>
    <x v="1"/>
    <x v="0"/>
    <n v="181.68"/>
    <n v="21.2"/>
    <x v="3"/>
    <n v="131"/>
    <s v="129/63"/>
    <n v="5.62"/>
    <x v="5"/>
    <x v="1"/>
    <x v="1"/>
    <n v="129"/>
    <n v="63"/>
    <x v="1"/>
    <x v="0"/>
    <s v="Normal"/>
    <x v="2"/>
  </r>
  <r>
    <x v="2"/>
    <x v="1"/>
    <n v="231.44"/>
    <n v="21.63"/>
    <x v="1"/>
    <n v="134"/>
    <s v="123/75"/>
    <n v="6.46"/>
    <x v="5"/>
    <x v="0"/>
    <x v="0"/>
    <n v="123"/>
    <n v="75"/>
    <x v="2"/>
    <x v="3"/>
    <s v="Normal"/>
    <x v="2"/>
  </r>
  <r>
    <x v="59"/>
    <x v="0"/>
    <n v="226.23"/>
    <n v="27.6"/>
    <x v="1"/>
    <n v="126"/>
    <s v="123/70"/>
    <n v="4.67"/>
    <x v="1"/>
    <x v="1"/>
    <x v="1"/>
    <n v="123"/>
    <n v="70"/>
    <x v="1"/>
    <x v="0"/>
    <s v="Normal"/>
    <x v="0"/>
  </r>
  <r>
    <x v="25"/>
    <x v="0"/>
    <n v="249.65"/>
    <n v="32.590000000000003"/>
    <x v="0"/>
    <n v="210"/>
    <s v="118/66"/>
    <n v="5.94"/>
    <x v="1"/>
    <x v="0"/>
    <x v="0"/>
    <n v="118"/>
    <n v="66"/>
    <x v="1"/>
    <x v="2"/>
    <s v="Boarderline"/>
    <x v="1"/>
  </r>
  <r>
    <x v="27"/>
    <x v="0"/>
    <n v="140.53"/>
    <n v="19.850000000000001"/>
    <x v="3"/>
    <n v="202"/>
    <s v="111/86"/>
    <n v="9.68"/>
    <x v="4"/>
    <x v="1"/>
    <x v="1"/>
    <n v="111"/>
    <n v="86"/>
    <x v="4"/>
    <x v="1"/>
    <s v="Boarderline"/>
    <x v="2"/>
  </r>
  <r>
    <x v="15"/>
    <x v="0"/>
    <n v="127.58"/>
    <n v="36.270000000000003"/>
    <x v="3"/>
    <n v="284"/>
    <s v="138/68"/>
    <n v="6.67"/>
    <x v="2"/>
    <x v="0"/>
    <x v="0"/>
    <n v="138"/>
    <n v="68"/>
    <x v="0"/>
    <x v="3"/>
    <s v="High"/>
    <x v="1"/>
  </r>
  <r>
    <x v="20"/>
    <x v="1"/>
    <n v="170.2"/>
    <n v="34.619999999999997"/>
    <x v="3"/>
    <n v="173"/>
    <s v="132/82"/>
    <n v="4.57"/>
    <x v="1"/>
    <x v="1"/>
    <x v="1"/>
    <n v="132"/>
    <n v="82"/>
    <x v="0"/>
    <x v="0"/>
    <s v="Normal"/>
    <x v="1"/>
  </r>
  <r>
    <x v="0"/>
    <x v="0"/>
    <n v="192.31"/>
    <n v="32.33"/>
    <x v="1"/>
    <n v="286"/>
    <s v="119/67"/>
    <n v="8.15"/>
    <x v="2"/>
    <x v="1"/>
    <x v="1"/>
    <n v="119"/>
    <n v="67"/>
    <x v="0"/>
    <x v="1"/>
    <s v="High"/>
    <x v="1"/>
  </r>
  <r>
    <x v="7"/>
    <x v="1"/>
    <n v="172.07"/>
    <n v="19.420000000000002"/>
    <x v="3"/>
    <n v="213"/>
    <s v="101/67"/>
    <n v="5.35"/>
    <x v="5"/>
    <x v="1"/>
    <x v="0"/>
    <n v="101"/>
    <n v="67"/>
    <x v="3"/>
    <x v="0"/>
    <s v="Boarderline"/>
    <x v="2"/>
  </r>
  <r>
    <x v="58"/>
    <x v="1"/>
    <n v="172.51"/>
    <n v="30.05"/>
    <x v="1"/>
    <n v="169"/>
    <s v="139/88"/>
    <n v="5.0599999999999996"/>
    <x v="5"/>
    <x v="0"/>
    <x v="0"/>
    <n v="139"/>
    <n v="88"/>
    <x v="2"/>
    <x v="0"/>
    <s v="Normal"/>
    <x v="1"/>
  </r>
  <r>
    <x v="35"/>
    <x v="0"/>
    <n v="165.56"/>
    <n v="33.21"/>
    <x v="0"/>
    <n v="110"/>
    <s v="99/84"/>
    <n v="7.24"/>
    <x v="5"/>
    <x v="0"/>
    <x v="1"/>
    <n v="99"/>
    <n v="84"/>
    <x v="1"/>
    <x v="3"/>
    <s v="Low"/>
    <x v="1"/>
  </r>
  <r>
    <x v="45"/>
    <x v="1"/>
    <n v="167.95"/>
    <n v="39.15"/>
    <x v="0"/>
    <n v="146"/>
    <s v="93/81"/>
    <n v="6.11"/>
    <x v="0"/>
    <x v="0"/>
    <x v="0"/>
    <n v="93"/>
    <n v="81"/>
    <x v="4"/>
    <x v="2"/>
    <s v="Normal"/>
    <x v="1"/>
  </r>
  <r>
    <x v="22"/>
    <x v="1"/>
    <n v="79.27"/>
    <n v="21.73"/>
    <x v="3"/>
    <n v="155"/>
    <s v="92/63"/>
    <n v="7.78"/>
    <x v="1"/>
    <x v="1"/>
    <x v="1"/>
    <n v="92"/>
    <n v="63"/>
    <x v="5"/>
    <x v="1"/>
    <s v="Normal"/>
    <x v="2"/>
  </r>
  <r>
    <x v="34"/>
    <x v="0"/>
    <n v="129.24"/>
    <n v="30.82"/>
    <x v="2"/>
    <n v="281"/>
    <s v="102/65"/>
    <n v="9.59"/>
    <x v="1"/>
    <x v="1"/>
    <x v="0"/>
    <n v="102"/>
    <n v="65"/>
    <x v="5"/>
    <x v="1"/>
    <s v="High"/>
    <x v="1"/>
  </r>
  <r>
    <x v="1"/>
    <x v="1"/>
    <n v="92.56"/>
    <n v="30.64"/>
    <x v="1"/>
    <n v="183"/>
    <s v="136/69"/>
    <n v="9.94"/>
    <x v="0"/>
    <x v="0"/>
    <x v="0"/>
    <n v="136"/>
    <n v="69"/>
    <x v="1"/>
    <x v="1"/>
    <s v="Normal"/>
    <x v="1"/>
  </r>
  <r>
    <x v="20"/>
    <x v="1"/>
    <n v="165.79"/>
    <n v="39.26"/>
    <x v="1"/>
    <n v="185"/>
    <s v="115/90"/>
    <n v="9.14"/>
    <x v="1"/>
    <x v="0"/>
    <x v="1"/>
    <n v="115"/>
    <n v="90"/>
    <x v="0"/>
    <x v="1"/>
    <s v="Normal"/>
    <x v="1"/>
  </r>
  <r>
    <x v="26"/>
    <x v="1"/>
    <n v="186.78"/>
    <n v="21.33"/>
    <x v="3"/>
    <n v="122"/>
    <s v="137/62"/>
    <n v="5.75"/>
    <x v="1"/>
    <x v="0"/>
    <x v="0"/>
    <n v="137"/>
    <n v="62"/>
    <x v="2"/>
    <x v="2"/>
    <s v="Normal"/>
    <x v="2"/>
  </r>
  <r>
    <x v="32"/>
    <x v="1"/>
    <n v="145.21"/>
    <n v="20.29"/>
    <x v="0"/>
    <n v="227"/>
    <s v="115/68"/>
    <n v="4.55"/>
    <x v="7"/>
    <x v="0"/>
    <x v="1"/>
    <n v="115"/>
    <n v="68"/>
    <x v="2"/>
    <x v="0"/>
    <s v="Boarderline"/>
    <x v="2"/>
  </r>
  <r>
    <x v="1"/>
    <x v="1"/>
    <n v="72.27"/>
    <n v="22.49"/>
    <x v="3"/>
    <n v="246"/>
    <s v="96/82"/>
    <n v="9.57"/>
    <x v="1"/>
    <x v="0"/>
    <x v="0"/>
    <n v="96"/>
    <n v="82"/>
    <x v="1"/>
    <x v="1"/>
    <s v="High"/>
    <x v="2"/>
  </r>
  <r>
    <x v="7"/>
    <x v="1"/>
    <n v="196.66"/>
    <n v="34.9"/>
    <x v="0"/>
    <n v="171"/>
    <s v="96/89"/>
    <n v="6.38"/>
    <x v="6"/>
    <x v="0"/>
    <x v="1"/>
    <n v="96"/>
    <n v="89"/>
    <x v="3"/>
    <x v="2"/>
    <s v="Normal"/>
    <x v="1"/>
  </r>
  <r>
    <x v="3"/>
    <x v="0"/>
    <n v="246.48"/>
    <n v="39.380000000000003"/>
    <x v="0"/>
    <n v="163"/>
    <s v="104/78"/>
    <n v="9.26"/>
    <x v="3"/>
    <x v="0"/>
    <x v="0"/>
    <n v="104"/>
    <n v="78"/>
    <x v="1"/>
    <x v="1"/>
    <s v="Normal"/>
    <x v="1"/>
  </r>
  <r>
    <x v="28"/>
    <x v="0"/>
    <n v="236.31"/>
    <n v="38.11"/>
    <x v="2"/>
    <n v="211"/>
    <s v="129/64"/>
    <n v="8.98"/>
    <x v="3"/>
    <x v="1"/>
    <x v="0"/>
    <n v="129"/>
    <n v="64"/>
    <x v="3"/>
    <x v="1"/>
    <s v="Boarderline"/>
    <x v="1"/>
  </r>
  <r>
    <x v="29"/>
    <x v="1"/>
    <n v="123.58"/>
    <n v="26.66"/>
    <x v="2"/>
    <n v="155"/>
    <s v="129/82"/>
    <n v="7.18"/>
    <x v="7"/>
    <x v="1"/>
    <x v="0"/>
    <n v="129"/>
    <n v="82"/>
    <x v="1"/>
    <x v="3"/>
    <s v="Normal"/>
    <x v="0"/>
  </r>
  <r>
    <x v="55"/>
    <x v="0"/>
    <n v="71.069999999999993"/>
    <n v="35.049999999999997"/>
    <x v="2"/>
    <n v="148"/>
    <s v="96/76"/>
    <n v="8.26"/>
    <x v="3"/>
    <x v="0"/>
    <x v="0"/>
    <n v="96"/>
    <n v="76"/>
    <x v="3"/>
    <x v="1"/>
    <s v="Normal"/>
    <x v="1"/>
  </r>
  <r>
    <x v="10"/>
    <x v="0"/>
    <n v="76.19"/>
    <n v="22.62"/>
    <x v="0"/>
    <n v="267"/>
    <s v="119/61"/>
    <n v="9.61"/>
    <x v="2"/>
    <x v="0"/>
    <x v="0"/>
    <n v="119"/>
    <n v="61"/>
    <x v="0"/>
    <x v="1"/>
    <s v="High"/>
    <x v="2"/>
  </r>
  <r>
    <x v="6"/>
    <x v="1"/>
    <n v="96.21"/>
    <n v="20.72"/>
    <x v="1"/>
    <n v="156"/>
    <s v="99/83"/>
    <n v="8.9700000000000006"/>
    <x v="7"/>
    <x v="0"/>
    <x v="0"/>
    <n v="99"/>
    <n v="83"/>
    <x v="3"/>
    <x v="1"/>
    <s v="Normal"/>
    <x v="2"/>
  </r>
  <r>
    <x v="57"/>
    <x v="1"/>
    <n v="196.89"/>
    <n v="39.020000000000003"/>
    <x v="1"/>
    <n v="232"/>
    <s v="99/76"/>
    <n v="6.13"/>
    <x v="1"/>
    <x v="0"/>
    <x v="0"/>
    <n v="99"/>
    <n v="76"/>
    <x v="3"/>
    <x v="2"/>
    <s v="Boarderline"/>
    <x v="1"/>
  </r>
  <r>
    <x v="56"/>
    <x v="0"/>
    <n v="218.04"/>
    <n v="19.690000000000001"/>
    <x v="3"/>
    <n v="229"/>
    <s v="115/69"/>
    <n v="8.35"/>
    <x v="6"/>
    <x v="1"/>
    <x v="1"/>
    <n v="115"/>
    <n v="69"/>
    <x v="5"/>
    <x v="1"/>
    <s v="Boarderline"/>
    <x v="2"/>
  </r>
  <r>
    <x v="52"/>
    <x v="1"/>
    <n v="204.55"/>
    <n v="34.700000000000003"/>
    <x v="1"/>
    <n v="118"/>
    <s v="129/88"/>
    <n v="4.08"/>
    <x v="5"/>
    <x v="1"/>
    <x v="0"/>
    <n v="129"/>
    <n v="88"/>
    <x v="3"/>
    <x v="0"/>
    <s v="Low"/>
    <x v="1"/>
  </r>
  <r>
    <x v="42"/>
    <x v="0"/>
    <n v="260.45999999999998"/>
    <n v="20.83"/>
    <x v="1"/>
    <n v="170"/>
    <s v="94/79"/>
    <n v="5.26"/>
    <x v="7"/>
    <x v="1"/>
    <x v="0"/>
    <n v="94"/>
    <n v="79"/>
    <x v="3"/>
    <x v="0"/>
    <s v="Normal"/>
    <x v="2"/>
  </r>
  <r>
    <x v="62"/>
    <x v="1"/>
    <n v="287.64"/>
    <n v="34.76"/>
    <x v="1"/>
    <n v="151"/>
    <s v="95/65"/>
    <n v="6.59"/>
    <x v="0"/>
    <x v="0"/>
    <x v="0"/>
    <n v="95"/>
    <n v="65"/>
    <x v="4"/>
    <x v="3"/>
    <s v="Normal"/>
    <x v="1"/>
  </r>
  <r>
    <x v="37"/>
    <x v="1"/>
    <n v="137.37"/>
    <n v="26.59"/>
    <x v="3"/>
    <n v="225"/>
    <s v="116/66"/>
    <n v="6.77"/>
    <x v="3"/>
    <x v="0"/>
    <x v="0"/>
    <n v="116"/>
    <n v="66"/>
    <x v="3"/>
    <x v="3"/>
    <s v="Boarderline"/>
    <x v="0"/>
  </r>
  <r>
    <x v="14"/>
    <x v="0"/>
    <n v="246.98"/>
    <n v="21.71"/>
    <x v="2"/>
    <n v="213"/>
    <s v="110/86"/>
    <n v="5.96"/>
    <x v="3"/>
    <x v="1"/>
    <x v="0"/>
    <n v="110"/>
    <n v="86"/>
    <x v="3"/>
    <x v="2"/>
    <s v="Boarderline"/>
    <x v="2"/>
  </r>
  <r>
    <x v="50"/>
    <x v="0"/>
    <n v="201.31"/>
    <n v="18.57"/>
    <x v="2"/>
    <n v="170"/>
    <s v="137/61"/>
    <n v="8.8699999999999992"/>
    <x v="5"/>
    <x v="0"/>
    <x v="0"/>
    <n v="137"/>
    <n v="61"/>
    <x v="2"/>
    <x v="1"/>
    <s v="Normal"/>
    <x v="2"/>
  </r>
  <r>
    <x v="19"/>
    <x v="1"/>
    <n v="299.3"/>
    <n v="24.04"/>
    <x v="0"/>
    <n v="201"/>
    <s v="114/81"/>
    <n v="7.66"/>
    <x v="2"/>
    <x v="1"/>
    <x v="0"/>
    <n v="114"/>
    <n v="81"/>
    <x v="2"/>
    <x v="1"/>
    <s v="Boarderline"/>
    <x v="2"/>
  </r>
  <r>
    <x v="23"/>
    <x v="0"/>
    <n v="245.97"/>
    <n v="30.56"/>
    <x v="3"/>
    <n v="271"/>
    <s v="117/73"/>
    <n v="7.51"/>
    <x v="0"/>
    <x v="1"/>
    <x v="1"/>
    <n v="117"/>
    <n v="73"/>
    <x v="0"/>
    <x v="1"/>
    <s v="High"/>
    <x v="1"/>
  </r>
  <r>
    <x v="45"/>
    <x v="0"/>
    <n v="113.27"/>
    <n v="21.02"/>
    <x v="1"/>
    <n v="270"/>
    <s v="112/78"/>
    <n v="5.62"/>
    <x v="1"/>
    <x v="1"/>
    <x v="0"/>
    <n v="112"/>
    <n v="78"/>
    <x v="4"/>
    <x v="0"/>
    <s v="High"/>
    <x v="2"/>
  </r>
  <r>
    <x v="49"/>
    <x v="0"/>
    <n v="196.93"/>
    <n v="34.700000000000003"/>
    <x v="2"/>
    <n v="182"/>
    <s v="115/60"/>
    <n v="7.57"/>
    <x v="7"/>
    <x v="0"/>
    <x v="0"/>
    <n v="115"/>
    <n v="60"/>
    <x v="4"/>
    <x v="1"/>
    <s v="Normal"/>
    <x v="1"/>
  </r>
  <r>
    <x v="23"/>
    <x v="1"/>
    <n v="185.99"/>
    <n v="33.130000000000003"/>
    <x v="3"/>
    <n v="253"/>
    <s v="134/84"/>
    <n v="6.14"/>
    <x v="5"/>
    <x v="0"/>
    <x v="0"/>
    <n v="134"/>
    <n v="84"/>
    <x v="0"/>
    <x v="2"/>
    <s v="High"/>
    <x v="1"/>
  </r>
  <r>
    <x v="37"/>
    <x v="1"/>
    <n v="170.98"/>
    <n v="19.61"/>
    <x v="1"/>
    <n v="284"/>
    <s v="124/64"/>
    <n v="4.8"/>
    <x v="7"/>
    <x v="0"/>
    <x v="1"/>
    <n v="124"/>
    <n v="64"/>
    <x v="3"/>
    <x v="0"/>
    <s v="High"/>
    <x v="2"/>
  </r>
  <r>
    <x v="36"/>
    <x v="1"/>
    <n v="177.23"/>
    <n v="35.26"/>
    <x v="3"/>
    <n v="272"/>
    <s v="140/85"/>
    <n v="4.26"/>
    <x v="4"/>
    <x v="1"/>
    <x v="0"/>
    <n v="140"/>
    <n v="85"/>
    <x v="0"/>
    <x v="0"/>
    <s v="High"/>
    <x v="1"/>
  </r>
  <r>
    <x v="60"/>
    <x v="0"/>
    <n v="168.69"/>
    <n v="37.299999999999997"/>
    <x v="1"/>
    <n v="257"/>
    <s v="107/82"/>
    <n v="8.08"/>
    <x v="7"/>
    <x v="0"/>
    <x v="0"/>
    <n v="107"/>
    <n v="82"/>
    <x v="5"/>
    <x v="1"/>
    <s v="High"/>
    <x v="1"/>
  </r>
  <r>
    <x v="14"/>
    <x v="1"/>
    <n v="179.92"/>
    <n v="23.46"/>
    <x v="3"/>
    <n v="105"/>
    <s v="125/60"/>
    <n v="7.19"/>
    <x v="5"/>
    <x v="1"/>
    <x v="0"/>
    <n v="125"/>
    <n v="60"/>
    <x v="3"/>
    <x v="3"/>
    <s v="Low"/>
    <x v="2"/>
  </r>
  <r>
    <x v="27"/>
    <x v="0"/>
    <n v="215.75"/>
    <n v="28.77"/>
    <x v="3"/>
    <n v="193"/>
    <s v="90/75"/>
    <n v="8.17"/>
    <x v="2"/>
    <x v="1"/>
    <x v="1"/>
    <n v="90"/>
    <n v="75"/>
    <x v="4"/>
    <x v="1"/>
    <s v="Normal"/>
    <x v="0"/>
  </r>
  <r>
    <x v="7"/>
    <x v="1"/>
    <n v="271.13"/>
    <n v="36.81"/>
    <x v="0"/>
    <n v="124"/>
    <s v="105/67"/>
    <n v="4.0199999999999996"/>
    <x v="4"/>
    <x v="1"/>
    <x v="1"/>
    <n v="105"/>
    <n v="67"/>
    <x v="3"/>
    <x v="0"/>
    <s v="Normal"/>
    <x v="1"/>
  </r>
  <r>
    <x v="31"/>
    <x v="0"/>
    <n v="208.52"/>
    <n v="34.51"/>
    <x v="3"/>
    <n v="138"/>
    <s v="117/72"/>
    <n v="4.3499999999999996"/>
    <x v="5"/>
    <x v="0"/>
    <x v="0"/>
    <n v="117"/>
    <n v="72"/>
    <x v="2"/>
    <x v="0"/>
    <s v="Normal"/>
    <x v="1"/>
  </r>
  <r>
    <x v="59"/>
    <x v="0"/>
    <n v="163"/>
    <n v="26.09"/>
    <x v="0"/>
    <n v="290"/>
    <s v="101/88"/>
    <n v="6.33"/>
    <x v="6"/>
    <x v="1"/>
    <x v="1"/>
    <n v="101"/>
    <n v="88"/>
    <x v="1"/>
    <x v="2"/>
    <s v="High"/>
    <x v="0"/>
  </r>
  <r>
    <x v="48"/>
    <x v="1"/>
    <n v="154.88"/>
    <n v="27.13"/>
    <x v="2"/>
    <n v="178"/>
    <s v="100/69"/>
    <n v="8.51"/>
    <x v="2"/>
    <x v="1"/>
    <x v="1"/>
    <n v="100"/>
    <n v="69"/>
    <x v="1"/>
    <x v="1"/>
    <s v="Normal"/>
    <x v="0"/>
  </r>
  <r>
    <x v="49"/>
    <x v="1"/>
    <n v="136.19"/>
    <n v="20.48"/>
    <x v="2"/>
    <n v="198"/>
    <s v="104/75"/>
    <n v="6.13"/>
    <x v="4"/>
    <x v="1"/>
    <x v="1"/>
    <n v="104"/>
    <n v="75"/>
    <x v="4"/>
    <x v="2"/>
    <s v="Normal"/>
    <x v="2"/>
  </r>
  <r>
    <x v="0"/>
    <x v="0"/>
    <n v="122.21"/>
    <n v="37.92"/>
    <x v="0"/>
    <n v="155"/>
    <s v="100/73"/>
    <n v="5.05"/>
    <x v="1"/>
    <x v="1"/>
    <x v="1"/>
    <n v="100"/>
    <n v="73"/>
    <x v="0"/>
    <x v="0"/>
    <s v="Normal"/>
    <x v="1"/>
  </r>
  <r>
    <x v="29"/>
    <x v="1"/>
    <n v="244.51"/>
    <n v="36.51"/>
    <x v="1"/>
    <n v="158"/>
    <s v="113/84"/>
    <n v="4.76"/>
    <x v="5"/>
    <x v="0"/>
    <x v="1"/>
    <n v="113"/>
    <n v="84"/>
    <x v="1"/>
    <x v="0"/>
    <s v="Normal"/>
    <x v="1"/>
  </r>
  <r>
    <x v="16"/>
    <x v="1"/>
    <n v="144.47999999999999"/>
    <n v="29.35"/>
    <x v="3"/>
    <n v="191"/>
    <s v="116/61"/>
    <n v="5.32"/>
    <x v="0"/>
    <x v="0"/>
    <x v="1"/>
    <n v="116"/>
    <n v="61"/>
    <x v="4"/>
    <x v="0"/>
    <s v="Normal"/>
    <x v="0"/>
  </r>
  <r>
    <x v="54"/>
    <x v="0"/>
    <n v="290.99"/>
    <n v="39.950000000000003"/>
    <x v="2"/>
    <n v="266"/>
    <s v="137/62"/>
    <n v="4.24"/>
    <x v="4"/>
    <x v="1"/>
    <x v="0"/>
    <n v="137"/>
    <n v="62"/>
    <x v="0"/>
    <x v="0"/>
    <s v="High"/>
    <x v="1"/>
  </r>
  <r>
    <x v="33"/>
    <x v="0"/>
    <n v="192.72"/>
    <n v="36.21"/>
    <x v="2"/>
    <n v="294"/>
    <s v="95/62"/>
    <n v="6.87"/>
    <x v="7"/>
    <x v="1"/>
    <x v="1"/>
    <n v="95"/>
    <n v="62"/>
    <x v="5"/>
    <x v="3"/>
    <s v="High"/>
    <x v="1"/>
  </r>
  <r>
    <x v="6"/>
    <x v="1"/>
    <n v="188.42"/>
    <n v="29.6"/>
    <x v="0"/>
    <n v="196"/>
    <s v="128/73"/>
    <n v="6.44"/>
    <x v="2"/>
    <x v="0"/>
    <x v="0"/>
    <n v="128"/>
    <n v="73"/>
    <x v="3"/>
    <x v="3"/>
    <s v="Normal"/>
    <x v="0"/>
  </r>
  <r>
    <x v="52"/>
    <x v="0"/>
    <n v="286.94"/>
    <n v="25.03"/>
    <x v="2"/>
    <n v="177"/>
    <s v="114/82"/>
    <n v="9.77"/>
    <x v="2"/>
    <x v="0"/>
    <x v="0"/>
    <n v="114"/>
    <n v="82"/>
    <x v="3"/>
    <x v="1"/>
    <s v="Normal"/>
    <x v="0"/>
  </r>
  <r>
    <x v="25"/>
    <x v="0"/>
    <n v="281.37"/>
    <n v="39.200000000000003"/>
    <x v="1"/>
    <n v="264"/>
    <s v="129/72"/>
    <n v="7.84"/>
    <x v="2"/>
    <x v="1"/>
    <x v="1"/>
    <n v="129"/>
    <n v="72"/>
    <x v="1"/>
    <x v="1"/>
    <s v="High"/>
    <x v="1"/>
  </r>
  <r>
    <x v="28"/>
    <x v="1"/>
    <n v="219.05"/>
    <n v="32.119999999999997"/>
    <x v="0"/>
    <n v="155"/>
    <s v="103/70"/>
    <n v="9.0500000000000007"/>
    <x v="7"/>
    <x v="1"/>
    <x v="0"/>
    <n v="103"/>
    <n v="70"/>
    <x v="3"/>
    <x v="1"/>
    <s v="Normal"/>
    <x v="1"/>
  </r>
  <r>
    <x v="59"/>
    <x v="0"/>
    <n v="213.9"/>
    <n v="36.75"/>
    <x v="0"/>
    <n v="136"/>
    <s v="96/84"/>
    <n v="7.73"/>
    <x v="1"/>
    <x v="0"/>
    <x v="0"/>
    <n v="96"/>
    <n v="84"/>
    <x v="1"/>
    <x v="1"/>
    <s v="Normal"/>
    <x v="1"/>
  </r>
  <r>
    <x v="31"/>
    <x v="0"/>
    <n v="258.68"/>
    <n v="31.48"/>
    <x v="0"/>
    <n v="115"/>
    <s v="124/60"/>
    <n v="4.88"/>
    <x v="3"/>
    <x v="1"/>
    <x v="1"/>
    <n v="124"/>
    <n v="60"/>
    <x v="2"/>
    <x v="0"/>
    <s v="Low"/>
    <x v="1"/>
  </r>
  <r>
    <x v="19"/>
    <x v="1"/>
    <n v="293.98"/>
    <n v="37.89"/>
    <x v="3"/>
    <n v="143"/>
    <s v="124/71"/>
    <n v="6.15"/>
    <x v="4"/>
    <x v="0"/>
    <x v="1"/>
    <n v="124"/>
    <n v="71"/>
    <x v="2"/>
    <x v="2"/>
    <s v="Normal"/>
    <x v="1"/>
  </r>
  <r>
    <x v="47"/>
    <x v="0"/>
    <n v="164.07"/>
    <n v="34.46"/>
    <x v="1"/>
    <n v="244"/>
    <s v="106/86"/>
    <n v="4.92"/>
    <x v="4"/>
    <x v="1"/>
    <x v="0"/>
    <n v="106"/>
    <n v="86"/>
    <x v="3"/>
    <x v="0"/>
    <s v="High"/>
    <x v="1"/>
  </r>
  <r>
    <x v="2"/>
    <x v="1"/>
    <n v="218.71"/>
    <n v="28.02"/>
    <x v="3"/>
    <n v="237"/>
    <s v="91/67"/>
    <n v="8.6300000000000008"/>
    <x v="3"/>
    <x v="0"/>
    <x v="0"/>
    <n v="91"/>
    <n v="67"/>
    <x v="2"/>
    <x v="1"/>
    <s v="Boarderline"/>
    <x v="0"/>
  </r>
  <r>
    <x v="62"/>
    <x v="1"/>
    <n v="255.53"/>
    <n v="27.72"/>
    <x v="1"/>
    <n v="181"/>
    <s v="131/75"/>
    <n v="4.12"/>
    <x v="6"/>
    <x v="1"/>
    <x v="1"/>
    <n v="131"/>
    <n v="75"/>
    <x v="4"/>
    <x v="0"/>
    <s v="Normal"/>
    <x v="0"/>
  </r>
  <r>
    <x v="42"/>
    <x v="1"/>
    <n v="100.53"/>
    <n v="24.86"/>
    <x v="2"/>
    <n v="237"/>
    <s v="136/62"/>
    <n v="4.2"/>
    <x v="2"/>
    <x v="1"/>
    <x v="1"/>
    <n v="136"/>
    <n v="62"/>
    <x v="3"/>
    <x v="0"/>
    <s v="Boarderline"/>
    <x v="2"/>
  </r>
  <r>
    <x v="9"/>
    <x v="0"/>
    <n v="89.22"/>
    <n v="30.92"/>
    <x v="0"/>
    <n v="246"/>
    <s v="120/88"/>
    <n v="5.18"/>
    <x v="7"/>
    <x v="0"/>
    <x v="1"/>
    <n v="120"/>
    <n v="88"/>
    <x v="5"/>
    <x v="0"/>
    <s v="High"/>
    <x v="1"/>
  </r>
  <r>
    <x v="22"/>
    <x v="1"/>
    <n v="91.52"/>
    <n v="21.82"/>
    <x v="3"/>
    <n v="126"/>
    <s v="117/69"/>
    <n v="8.01"/>
    <x v="7"/>
    <x v="0"/>
    <x v="0"/>
    <n v="117"/>
    <n v="69"/>
    <x v="5"/>
    <x v="1"/>
    <s v="Normal"/>
    <x v="2"/>
  </r>
  <r>
    <x v="14"/>
    <x v="0"/>
    <n v="268.77999999999997"/>
    <n v="29.31"/>
    <x v="1"/>
    <n v="279"/>
    <s v="125/84"/>
    <n v="6.17"/>
    <x v="6"/>
    <x v="0"/>
    <x v="0"/>
    <n v="125"/>
    <n v="84"/>
    <x v="3"/>
    <x v="2"/>
    <s v="High"/>
    <x v="0"/>
  </r>
  <r>
    <x v="49"/>
    <x v="0"/>
    <n v="245.33"/>
    <n v="34.369999999999997"/>
    <x v="1"/>
    <n v="234"/>
    <s v="106/83"/>
    <n v="8.4"/>
    <x v="7"/>
    <x v="0"/>
    <x v="1"/>
    <n v="106"/>
    <n v="83"/>
    <x v="4"/>
    <x v="1"/>
    <s v="Boarderline"/>
    <x v="1"/>
  </r>
  <r>
    <x v="39"/>
    <x v="1"/>
    <n v="184.78"/>
    <n v="27.8"/>
    <x v="2"/>
    <n v="264"/>
    <s v="127/73"/>
    <n v="9.33"/>
    <x v="3"/>
    <x v="1"/>
    <x v="1"/>
    <n v="127"/>
    <n v="73"/>
    <x v="5"/>
    <x v="1"/>
    <s v="High"/>
    <x v="0"/>
  </r>
  <r>
    <x v="39"/>
    <x v="1"/>
    <n v="177.34"/>
    <n v="26.24"/>
    <x v="3"/>
    <n v="164"/>
    <s v="126/67"/>
    <n v="5.73"/>
    <x v="6"/>
    <x v="0"/>
    <x v="1"/>
    <n v="126"/>
    <n v="67"/>
    <x v="5"/>
    <x v="2"/>
    <s v="Normal"/>
    <x v="0"/>
  </r>
  <r>
    <x v="37"/>
    <x v="0"/>
    <n v="227.32"/>
    <n v="21.2"/>
    <x v="1"/>
    <n v="226"/>
    <s v="128/67"/>
    <n v="5.08"/>
    <x v="1"/>
    <x v="1"/>
    <x v="1"/>
    <n v="128"/>
    <n v="67"/>
    <x v="3"/>
    <x v="0"/>
    <s v="Boarderline"/>
    <x v="2"/>
  </r>
  <r>
    <x v="50"/>
    <x v="0"/>
    <n v="188.59"/>
    <n v="24.25"/>
    <x v="0"/>
    <n v="166"/>
    <s v="129/81"/>
    <n v="7.3"/>
    <x v="7"/>
    <x v="1"/>
    <x v="0"/>
    <n v="129"/>
    <n v="81"/>
    <x v="2"/>
    <x v="3"/>
    <s v="Normal"/>
    <x v="2"/>
  </r>
  <r>
    <x v="50"/>
    <x v="0"/>
    <n v="108.29"/>
    <n v="27.19"/>
    <x v="3"/>
    <n v="175"/>
    <s v="105/73"/>
    <n v="6.3"/>
    <x v="4"/>
    <x v="1"/>
    <x v="1"/>
    <n v="105"/>
    <n v="73"/>
    <x v="2"/>
    <x v="2"/>
    <s v="Normal"/>
    <x v="0"/>
  </r>
  <r>
    <x v="42"/>
    <x v="0"/>
    <n v="216.2"/>
    <n v="18.760000000000002"/>
    <x v="3"/>
    <n v="145"/>
    <s v="98/86"/>
    <n v="6.91"/>
    <x v="6"/>
    <x v="1"/>
    <x v="1"/>
    <n v="98"/>
    <n v="86"/>
    <x v="3"/>
    <x v="3"/>
    <s v="Normal"/>
    <x v="2"/>
  </r>
  <r>
    <x v="59"/>
    <x v="1"/>
    <n v="90.33"/>
    <n v="25.18"/>
    <x v="3"/>
    <n v="232"/>
    <s v="94/65"/>
    <n v="8.2799999999999994"/>
    <x v="7"/>
    <x v="1"/>
    <x v="0"/>
    <n v="94"/>
    <n v="65"/>
    <x v="1"/>
    <x v="1"/>
    <s v="Boarderline"/>
    <x v="0"/>
  </r>
  <r>
    <x v="20"/>
    <x v="0"/>
    <n v="118.4"/>
    <n v="34.61"/>
    <x v="1"/>
    <n v="231"/>
    <s v="132/61"/>
    <n v="5.01"/>
    <x v="2"/>
    <x v="1"/>
    <x v="0"/>
    <n v="132"/>
    <n v="61"/>
    <x v="0"/>
    <x v="0"/>
    <s v="Boarderline"/>
    <x v="1"/>
  </r>
  <r>
    <x v="17"/>
    <x v="0"/>
    <n v="147.36000000000001"/>
    <n v="35.020000000000003"/>
    <x v="3"/>
    <n v="199"/>
    <s v="117/74"/>
    <n v="9"/>
    <x v="0"/>
    <x v="0"/>
    <x v="0"/>
    <n v="117"/>
    <n v="74"/>
    <x v="0"/>
    <x v="1"/>
    <s v="Normal"/>
    <x v="1"/>
  </r>
  <r>
    <x v="44"/>
    <x v="1"/>
    <n v="266.20999999999998"/>
    <n v="32.18"/>
    <x v="2"/>
    <n v="212"/>
    <s v="134/62"/>
    <n v="7.79"/>
    <x v="2"/>
    <x v="0"/>
    <x v="1"/>
    <n v="134"/>
    <n v="62"/>
    <x v="4"/>
    <x v="1"/>
    <s v="Boarderline"/>
    <x v="1"/>
  </r>
  <r>
    <x v="3"/>
    <x v="1"/>
    <n v="220.8"/>
    <n v="21.15"/>
    <x v="0"/>
    <n v="125"/>
    <s v="102/70"/>
    <n v="7.36"/>
    <x v="4"/>
    <x v="0"/>
    <x v="0"/>
    <n v="102"/>
    <n v="70"/>
    <x v="1"/>
    <x v="3"/>
    <s v="Normal"/>
    <x v="2"/>
  </r>
  <r>
    <x v="58"/>
    <x v="0"/>
    <n v="195.3"/>
    <n v="36.03"/>
    <x v="0"/>
    <n v="266"/>
    <s v="113/64"/>
    <n v="6.42"/>
    <x v="5"/>
    <x v="1"/>
    <x v="0"/>
    <n v="113"/>
    <n v="64"/>
    <x v="2"/>
    <x v="3"/>
    <s v="High"/>
    <x v="1"/>
  </r>
  <r>
    <x v="24"/>
    <x v="0"/>
    <n v="290.33999999999997"/>
    <n v="29.06"/>
    <x v="2"/>
    <n v="190"/>
    <s v="125/64"/>
    <n v="4.53"/>
    <x v="3"/>
    <x v="1"/>
    <x v="1"/>
    <n v="125"/>
    <n v="64"/>
    <x v="4"/>
    <x v="0"/>
    <s v="Normal"/>
    <x v="0"/>
  </r>
  <r>
    <x v="51"/>
    <x v="1"/>
    <n v="125.51"/>
    <n v="28.61"/>
    <x v="3"/>
    <n v="164"/>
    <s v="127/78"/>
    <n v="5.67"/>
    <x v="7"/>
    <x v="0"/>
    <x v="1"/>
    <n v="127"/>
    <n v="78"/>
    <x v="5"/>
    <x v="0"/>
    <s v="Normal"/>
    <x v="0"/>
  </r>
  <r>
    <x v="44"/>
    <x v="1"/>
    <n v="290.31"/>
    <n v="19.48"/>
    <x v="2"/>
    <n v="258"/>
    <s v="98/68"/>
    <n v="9.34"/>
    <x v="5"/>
    <x v="1"/>
    <x v="0"/>
    <n v="98"/>
    <n v="68"/>
    <x v="4"/>
    <x v="1"/>
    <s v="High"/>
    <x v="2"/>
  </r>
  <r>
    <x v="32"/>
    <x v="0"/>
    <n v="282.52999999999997"/>
    <n v="23.74"/>
    <x v="1"/>
    <n v="219"/>
    <s v="125/69"/>
    <n v="7.02"/>
    <x v="7"/>
    <x v="0"/>
    <x v="1"/>
    <n v="125"/>
    <n v="69"/>
    <x v="2"/>
    <x v="3"/>
    <s v="Boarderline"/>
    <x v="2"/>
  </r>
  <r>
    <x v="19"/>
    <x v="0"/>
    <n v="149.81"/>
    <n v="36.840000000000003"/>
    <x v="1"/>
    <n v="201"/>
    <s v="109/72"/>
    <n v="4.43"/>
    <x v="7"/>
    <x v="1"/>
    <x v="0"/>
    <n v="109"/>
    <n v="72"/>
    <x v="2"/>
    <x v="0"/>
    <s v="Boarderline"/>
    <x v="1"/>
  </r>
  <r>
    <x v="31"/>
    <x v="0"/>
    <n v="105.19"/>
    <n v="32.64"/>
    <x v="3"/>
    <n v="299"/>
    <s v="104/70"/>
    <n v="5.57"/>
    <x v="7"/>
    <x v="0"/>
    <x v="0"/>
    <n v="104"/>
    <n v="70"/>
    <x v="2"/>
    <x v="0"/>
    <s v="High"/>
    <x v="1"/>
  </r>
  <r>
    <x v="9"/>
    <x v="1"/>
    <n v="149.19999999999999"/>
    <n v="26.07"/>
    <x v="0"/>
    <n v="101"/>
    <s v="103/64"/>
    <n v="9.2799999999999994"/>
    <x v="6"/>
    <x v="0"/>
    <x v="0"/>
    <n v="103"/>
    <n v="64"/>
    <x v="5"/>
    <x v="1"/>
    <s v="Low"/>
    <x v="0"/>
  </r>
  <r>
    <x v="7"/>
    <x v="0"/>
    <n v="163.43"/>
    <n v="27.41"/>
    <x v="3"/>
    <n v="201"/>
    <s v="97/80"/>
    <n v="5.82"/>
    <x v="4"/>
    <x v="0"/>
    <x v="0"/>
    <n v="97"/>
    <n v="80"/>
    <x v="3"/>
    <x v="2"/>
    <s v="Boarderline"/>
    <x v="0"/>
  </r>
  <r>
    <x v="29"/>
    <x v="0"/>
    <n v="225.61"/>
    <n v="29.33"/>
    <x v="2"/>
    <n v="198"/>
    <s v="100/61"/>
    <n v="7.56"/>
    <x v="6"/>
    <x v="0"/>
    <x v="0"/>
    <n v="100"/>
    <n v="61"/>
    <x v="1"/>
    <x v="1"/>
    <s v="Normal"/>
    <x v="0"/>
  </r>
  <r>
    <x v="43"/>
    <x v="1"/>
    <n v="195.38"/>
    <n v="30"/>
    <x v="0"/>
    <n v="182"/>
    <s v="136/66"/>
    <n v="5.33"/>
    <x v="2"/>
    <x v="0"/>
    <x v="1"/>
    <n v="136"/>
    <n v="66"/>
    <x v="2"/>
    <x v="0"/>
    <s v="Normal"/>
    <x v="1"/>
  </r>
  <r>
    <x v="50"/>
    <x v="0"/>
    <n v="275.04000000000002"/>
    <n v="20.45"/>
    <x v="3"/>
    <n v="259"/>
    <s v="137/62"/>
    <n v="7.78"/>
    <x v="4"/>
    <x v="0"/>
    <x v="1"/>
    <n v="137"/>
    <n v="62"/>
    <x v="2"/>
    <x v="1"/>
    <s v="High"/>
    <x v="2"/>
  </r>
  <r>
    <x v="13"/>
    <x v="1"/>
    <n v="107.64"/>
    <n v="26.96"/>
    <x v="3"/>
    <n v="223"/>
    <s v="100/86"/>
    <n v="6.06"/>
    <x v="0"/>
    <x v="1"/>
    <x v="1"/>
    <n v="100"/>
    <n v="86"/>
    <x v="1"/>
    <x v="2"/>
    <s v="Boarderline"/>
    <x v="0"/>
  </r>
  <r>
    <x v="5"/>
    <x v="1"/>
    <n v="119.43"/>
    <n v="25.35"/>
    <x v="1"/>
    <n v="186"/>
    <s v="92/87"/>
    <n v="6.37"/>
    <x v="6"/>
    <x v="0"/>
    <x v="0"/>
    <n v="92"/>
    <n v="87"/>
    <x v="3"/>
    <x v="2"/>
    <s v="Normal"/>
    <x v="0"/>
  </r>
  <r>
    <x v="57"/>
    <x v="1"/>
    <n v="293.85000000000002"/>
    <n v="28.39"/>
    <x v="1"/>
    <n v="120"/>
    <s v="96/60"/>
    <n v="9.27"/>
    <x v="7"/>
    <x v="1"/>
    <x v="0"/>
    <n v="96"/>
    <n v="60"/>
    <x v="3"/>
    <x v="1"/>
    <s v="Normal"/>
    <x v="0"/>
  </r>
  <r>
    <x v="56"/>
    <x v="0"/>
    <n v="165.71"/>
    <n v="39.11"/>
    <x v="3"/>
    <n v="122"/>
    <s v="138/87"/>
    <n v="5.55"/>
    <x v="5"/>
    <x v="0"/>
    <x v="0"/>
    <n v="138"/>
    <n v="87"/>
    <x v="5"/>
    <x v="0"/>
    <s v="Normal"/>
    <x v="1"/>
  </r>
  <r>
    <x v="31"/>
    <x v="1"/>
    <n v="269.08999999999997"/>
    <n v="28.84"/>
    <x v="1"/>
    <n v="300"/>
    <s v="122/88"/>
    <n v="7.53"/>
    <x v="1"/>
    <x v="1"/>
    <x v="0"/>
    <n v="122"/>
    <n v="88"/>
    <x v="2"/>
    <x v="1"/>
    <s v="High"/>
    <x v="0"/>
  </r>
  <r>
    <x v="59"/>
    <x v="1"/>
    <n v="262.83"/>
    <n v="32.229999999999997"/>
    <x v="3"/>
    <n v="240"/>
    <s v="93/69"/>
    <n v="7.6"/>
    <x v="4"/>
    <x v="0"/>
    <x v="1"/>
    <n v="93"/>
    <n v="69"/>
    <x v="1"/>
    <x v="1"/>
    <s v="Boarderline"/>
    <x v="1"/>
  </r>
  <r>
    <x v="56"/>
    <x v="0"/>
    <n v="145.03"/>
    <n v="35.76"/>
    <x v="3"/>
    <n v="277"/>
    <s v="117/79"/>
    <n v="7.87"/>
    <x v="7"/>
    <x v="0"/>
    <x v="0"/>
    <n v="117"/>
    <n v="79"/>
    <x v="5"/>
    <x v="1"/>
    <s v="High"/>
    <x v="1"/>
  </r>
  <r>
    <x v="43"/>
    <x v="0"/>
    <n v="102.09"/>
    <n v="24.01"/>
    <x v="0"/>
    <n v="229"/>
    <s v="120/69"/>
    <n v="9.09"/>
    <x v="5"/>
    <x v="1"/>
    <x v="0"/>
    <n v="120"/>
    <n v="69"/>
    <x v="2"/>
    <x v="1"/>
    <s v="Boarderline"/>
    <x v="2"/>
  </r>
  <r>
    <x v="12"/>
    <x v="1"/>
    <n v="149.66"/>
    <n v="39.340000000000003"/>
    <x v="3"/>
    <n v="189"/>
    <s v="129/77"/>
    <n v="7.14"/>
    <x v="1"/>
    <x v="1"/>
    <x v="0"/>
    <n v="129"/>
    <n v="77"/>
    <x v="1"/>
    <x v="3"/>
    <s v="Normal"/>
    <x v="1"/>
  </r>
  <r>
    <x v="7"/>
    <x v="0"/>
    <n v="221.62"/>
    <n v="39.200000000000003"/>
    <x v="3"/>
    <n v="103"/>
    <s v="127/75"/>
    <n v="9.9700000000000006"/>
    <x v="4"/>
    <x v="0"/>
    <x v="1"/>
    <n v="127"/>
    <n v="75"/>
    <x v="3"/>
    <x v="1"/>
    <s v="Low"/>
    <x v="1"/>
  </r>
  <r>
    <x v="0"/>
    <x v="0"/>
    <n v="196.77"/>
    <n v="33.53"/>
    <x v="2"/>
    <n v="294"/>
    <s v="104/75"/>
    <n v="7.07"/>
    <x v="2"/>
    <x v="1"/>
    <x v="1"/>
    <n v="104"/>
    <n v="75"/>
    <x v="0"/>
    <x v="3"/>
    <s v="High"/>
    <x v="1"/>
  </r>
  <r>
    <x v="13"/>
    <x v="0"/>
    <n v="226.78"/>
    <n v="25.88"/>
    <x v="1"/>
    <n v="265"/>
    <s v="125/90"/>
    <n v="9.73"/>
    <x v="3"/>
    <x v="0"/>
    <x v="0"/>
    <n v="125"/>
    <n v="90"/>
    <x v="1"/>
    <x v="1"/>
    <s v="High"/>
    <x v="0"/>
  </r>
  <r>
    <x v="1"/>
    <x v="0"/>
    <n v="190.58"/>
    <n v="32.21"/>
    <x v="0"/>
    <n v="103"/>
    <s v="105/88"/>
    <n v="4.5"/>
    <x v="4"/>
    <x v="0"/>
    <x v="0"/>
    <n v="105"/>
    <n v="88"/>
    <x v="1"/>
    <x v="0"/>
    <s v="Low"/>
    <x v="1"/>
  </r>
  <r>
    <x v="14"/>
    <x v="0"/>
    <n v="85.14"/>
    <n v="21.64"/>
    <x v="1"/>
    <n v="102"/>
    <s v="132/66"/>
    <n v="5.15"/>
    <x v="0"/>
    <x v="0"/>
    <x v="1"/>
    <n v="132"/>
    <n v="66"/>
    <x v="3"/>
    <x v="0"/>
    <s v="Low"/>
    <x v="2"/>
  </r>
  <r>
    <x v="21"/>
    <x v="0"/>
    <n v="290.69"/>
    <n v="32.119999999999997"/>
    <x v="0"/>
    <n v="236"/>
    <s v="96/79"/>
    <n v="8.8800000000000008"/>
    <x v="2"/>
    <x v="1"/>
    <x v="0"/>
    <n v="96"/>
    <n v="79"/>
    <x v="3"/>
    <x v="1"/>
    <s v="Boarderline"/>
    <x v="1"/>
  </r>
  <r>
    <x v="54"/>
    <x v="1"/>
    <n v="85.41"/>
    <n v="33.369999999999997"/>
    <x v="0"/>
    <n v="264"/>
    <s v="102/73"/>
    <n v="6.93"/>
    <x v="3"/>
    <x v="0"/>
    <x v="1"/>
    <n v="102"/>
    <n v="73"/>
    <x v="0"/>
    <x v="3"/>
    <s v="High"/>
    <x v="1"/>
  </r>
  <r>
    <x v="34"/>
    <x v="0"/>
    <n v="261.08999999999997"/>
    <n v="35.71"/>
    <x v="1"/>
    <n v="143"/>
    <s v="118/66"/>
    <n v="8.98"/>
    <x v="4"/>
    <x v="0"/>
    <x v="0"/>
    <n v="118"/>
    <n v="66"/>
    <x v="5"/>
    <x v="1"/>
    <s v="Normal"/>
    <x v="1"/>
  </r>
  <r>
    <x v="44"/>
    <x v="1"/>
    <n v="83.29"/>
    <n v="18.54"/>
    <x v="0"/>
    <n v="264"/>
    <s v="90/90"/>
    <n v="5.23"/>
    <x v="3"/>
    <x v="0"/>
    <x v="1"/>
    <n v="90"/>
    <n v="90"/>
    <x v="4"/>
    <x v="0"/>
    <s v="High"/>
    <x v="2"/>
  </r>
  <r>
    <x v="13"/>
    <x v="1"/>
    <n v="125.76"/>
    <n v="19.04"/>
    <x v="1"/>
    <n v="166"/>
    <s v="111/79"/>
    <n v="7.5"/>
    <x v="7"/>
    <x v="1"/>
    <x v="1"/>
    <n v="111"/>
    <n v="79"/>
    <x v="1"/>
    <x v="3"/>
    <s v="Normal"/>
    <x v="2"/>
  </r>
  <r>
    <x v="19"/>
    <x v="1"/>
    <n v="94.88"/>
    <n v="23.61"/>
    <x v="0"/>
    <n v="180"/>
    <s v="108/71"/>
    <n v="5.53"/>
    <x v="0"/>
    <x v="1"/>
    <x v="0"/>
    <n v="108"/>
    <n v="71"/>
    <x v="2"/>
    <x v="0"/>
    <s v="Normal"/>
    <x v="2"/>
  </r>
  <r>
    <x v="48"/>
    <x v="0"/>
    <n v="181.94"/>
    <n v="30.74"/>
    <x v="1"/>
    <n v="203"/>
    <s v="102/90"/>
    <n v="7.22"/>
    <x v="5"/>
    <x v="0"/>
    <x v="0"/>
    <n v="102"/>
    <n v="90"/>
    <x v="1"/>
    <x v="3"/>
    <s v="Boarderline"/>
    <x v="1"/>
  </r>
  <r>
    <x v="4"/>
    <x v="0"/>
    <n v="88.5"/>
    <n v="36.97"/>
    <x v="1"/>
    <n v="202"/>
    <s v="109/71"/>
    <n v="6.53"/>
    <x v="1"/>
    <x v="1"/>
    <x v="0"/>
    <n v="109"/>
    <n v="71"/>
    <x v="0"/>
    <x v="3"/>
    <s v="Boarderline"/>
    <x v="1"/>
  </r>
  <r>
    <x v="17"/>
    <x v="1"/>
    <n v="243.94"/>
    <n v="37.380000000000003"/>
    <x v="1"/>
    <n v="276"/>
    <s v="95/83"/>
    <n v="9.1999999999999993"/>
    <x v="7"/>
    <x v="1"/>
    <x v="0"/>
    <n v="95"/>
    <n v="83"/>
    <x v="0"/>
    <x v="1"/>
    <s v="High"/>
    <x v="1"/>
  </r>
  <r>
    <x v="47"/>
    <x v="0"/>
    <n v="75.739999999999995"/>
    <n v="18.91"/>
    <x v="1"/>
    <n v="238"/>
    <s v="126/87"/>
    <n v="4.16"/>
    <x v="4"/>
    <x v="0"/>
    <x v="1"/>
    <n v="126"/>
    <n v="87"/>
    <x v="3"/>
    <x v="0"/>
    <s v="Boarderline"/>
    <x v="2"/>
  </r>
  <r>
    <x v="4"/>
    <x v="1"/>
    <n v="132.19"/>
    <n v="29.52"/>
    <x v="3"/>
    <n v="178"/>
    <s v="122/83"/>
    <n v="9.94"/>
    <x v="2"/>
    <x v="0"/>
    <x v="0"/>
    <n v="122"/>
    <n v="83"/>
    <x v="0"/>
    <x v="1"/>
    <s v="Normal"/>
    <x v="0"/>
  </r>
  <r>
    <x v="34"/>
    <x v="1"/>
    <n v="251.38"/>
    <n v="39.200000000000003"/>
    <x v="1"/>
    <n v="172"/>
    <s v="125/65"/>
    <n v="7.77"/>
    <x v="0"/>
    <x v="0"/>
    <x v="0"/>
    <n v="125"/>
    <n v="65"/>
    <x v="5"/>
    <x v="1"/>
    <s v="Normal"/>
    <x v="1"/>
  </r>
  <r>
    <x v="8"/>
    <x v="0"/>
    <n v="274.31"/>
    <n v="32.729999999999997"/>
    <x v="0"/>
    <n v="168"/>
    <s v="129/77"/>
    <n v="4.05"/>
    <x v="3"/>
    <x v="0"/>
    <x v="1"/>
    <n v="129"/>
    <n v="77"/>
    <x v="4"/>
    <x v="0"/>
    <s v="Normal"/>
    <x v="1"/>
  </r>
  <r>
    <x v="8"/>
    <x v="1"/>
    <n v="209.12"/>
    <n v="29.88"/>
    <x v="1"/>
    <n v="156"/>
    <s v="92/62"/>
    <n v="5.0599999999999996"/>
    <x v="6"/>
    <x v="1"/>
    <x v="1"/>
    <n v="92"/>
    <n v="62"/>
    <x v="4"/>
    <x v="0"/>
    <s v="Normal"/>
    <x v="0"/>
  </r>
  <r>
    <x v="60"/>
    <x v="1"/>
    <n v="72.45"/>
    <n v="22.55"/>
    <x v="0"/>
    <n v="143"/>
    <s v="124/74"/>
    <n v="4.51"/>
    <x v="1"/>
    <x v="0"/>
    <x v="1"/>
    <n v="124"/>
    <n v="74"/>
    <x v="5"/>
    <x v="0"/>
    <s v="Normal"/>
    <x v="2"/>
  </r>
  <r>
    <x v="27"/>
    <x v="0"/>
    <n v="136.65"/>
    <n v="22.34"/>
    <x v="1"/>
    <n v="223"/>
    <s v="90/79"/>
    <n v="5.29"/>
    <x v="0"/>
    <x v="1"/>
    <x v="1"/>
    <n v="90"/>
    <n v="79"/>
    <x v="4"/>
    <x v="0"/>
    <s v="Boarderline"/>
    <x v="2"/>
  </r>
  <r>
    <x v="2"/>
    <x v="0"/>
    <n v="161.18"/>
    <n v="37.869999999999997"/>
    <x v="1"/>
    <n v="179"/>
    <s v="94/78"/>
    <n v="6.73"/>
    <x v="7"/>
    <x v="0"/>
    <x v="0"/>
    <n v="94"/>
    <n v="78"/>
    <x v="2"/>
    <x v="3"/>
    <s v="Normal"/>
    <x v="1"/>
  </r>
  <r>
    <x v="46"/>
    <x v="0"/>
    <n v="259.27999999999997"/>
    <n v="27.9"/>
    <x v="3"/>
    <n v="130"/>
    <s v="132/76"/>
    <n v="6.21"/>
    <x v="3"/>
    <x v="1"/>
    <x v="0"/>
    <n v="132"/>
    <n v="76"/>
    <x v="0"/>
    <x v="2"/>
    <s v="Normal"/>
    <x v="0"/>
  </r>
  <r>
    <x v="52"/>
    <x v="1"/>
    <n v="117.66"/>
    <n v="18.57"/>
    <x v="2"/>
    <n v="226"/>
    <s v="92/73"/>
    <n v="8.82"/>
    <x v="7"/>
    <x v="1"/>
    <x v="1"/>
    <n v="92"/>
    <n v="73"/>
    <x v="3"/>
    <x v="1"/>
    <s v="Boarderline"/>
    <x v="2"/>
  </r>
  <r>
    <x v="25"/>
    <x v="0"/>
    <n v="171.38"/>
    <n v="21.18"/>
    <x v="1"/>
    <n v="155"/>
    <s v="121/78"/>
    <n v="6.49"/>
    <x v="3"/>
    <x v="0"/>
    <x v="1"/>
    <n v="121"/>
    <n v="78"/>
    <x v="1"/>
    <x v="3"/>
    <s v="Normal"/>
    <x v="2"/>
  </r>
  <r>
    <x v="31"/>
    <x v="1"/>
    <n v="140.01"/>
    <n v="26.67"/>
    <x v="3"/>
    <n v="240"/>
    <s v="104/79"/>
    <n v="4.43"/>
    <x v="3"/>
    <x v="0"/>
    <x v="0"/>
    <n v="104"/>
    <n v="79"/>
    <x v="2"/>
    <x v="0"/>
    <s v="Boarderline"/>
    <x v="0"/>
  </r>
  <r>
    <x v="12"/>
    <x v="1"/>
    <n v="182.8"/>
    <n v="29.6"/>
    <x v="2"/>
    <n v="125"/>
    <s v="129/63"/>
    <n v="9.73"/>
    <x v="1"/>
    <x v="0"/>
    <x v="1"/>
    <n v="129"/>
    <n v="63"/>
    <x v="1"/>
    <x v="1"/>
    <s v="Normal"/>
    <x v="0"/>
  </r>
  <r>
    <x v="4"/>
    <x v="0"/>
    <n v="111.11"/>
    <n v="20.28"/>
    <x v="3"/>
    <n v="192"/>
    <s v="116/81"/>
    <n v="7.41"/>
    <x v="0"/>
    <x v="1"/>
    <x v="0"/>
    <n v="116"/>
    <n v="81"/>
    <x v="0"/>
    <x v="3"/>
    <s v="Normal"/>
    <x v="2"/>
  </r>
  <r>
    <x v="57"/>
    <x v="0"/>
    <n v="164.51"/>
    <n v="35.53"/>
    <x v="3"/>
    <n v="249"/>
    <s v="93/73"/>
    <n v="8.51"/>
    <x v="5"/>
    <x v="0"/>
    <x v="0"/>
    <n v="93"/>
    <n v="73"/>
    <x v="3"/>
    <x v="1"/>
    <s v="High"/>
    <x v="1"/>
  </r>
  <r>
    <x v="16"/>
    <x v="1"/>
    <n v="89.67"/>
    <n v="26.79"/>
    <x v="3"/>
    <n v="251"/>
    <s v="99/90"/>
    <n v="4.37"/>
    <x v="7"/>
    <x v="1"/>
    <x v="1"/>
    <n v="99"/>
    <n v="90"/>
    <x v="4"/>
    <x v="0"/>
    <s v="High"/>
    <x v="0"/>
  </r>
  <r>
    <x v="3"/>
    <x v="1"/>
    <n v="295.16000000000003"/>
    <n v="26.72"/>
    <x v="2"/>
    <n v="170"/>
    <s v="94/79"/>
    <n v="7.49"/>
    <x v="4"/>
    <x v="1"/>
    <x v="1"/>
    <n v="94"/>
    <n v="79"/>
    <x v="1"/>
    <x v="3"/>
    <s v="Normal"/>
    <x v="0"/>
  </r>
  <r>
    <x v="24"/>
    <x v="1"/>
    <n v="277.33"/>
    <n v="30.94"/>
    <x v="3"/>
    <n v="266"/>
    <s v="99/75"/>
    <n v="7.51"/>
    <x v="6"/>
    <x v="0"/>
    <x v="1"/>
    <n v="99"/>
    <n v="75"/>
    <x v="4"/>
    <x v="1"/>
    <s v="High"/>
    <x v="1"/>
  </r>
  <r>
    <x v="43"/>
    <x v="1"/>
    <n v="203.69"/>
    <n v="32.43"/>
    <x v="1"/>
    <n v="224"/>
    <s v="115/69"/>
    <n v="8.3000000000000007"/>
    <x v="1"/>
    <x v="1"/>
    <x v="1"/>
    <n v="115"/>
    <n v="69"/>
    <x v="2"/>
    <x v="1"/>
    <s v="Boarderline"/>
    <x v="1"/>
  </r>
  <r>
    <x v="49"/>
    <x v="0"/>
    <n v="89.77"/>
    <n v="33.159999999999997"/>
    <x v="1"/>
    <n v="157"/>
    <s v="128/73"/>
    <n v="7.52"/>
    <x v="3"/>
    <x v="1"/>
    <x v="0"/>
    <n v="128"/>
    <n v="73"/>
    <x v="4"/>
    <x v="1"/>
    <s v="Normal"/>
    <x v="1"/>
  </r>
  <r>
    <x v="49"/>
    <x v="0"/>
    <n v="162.65"/>
    <n v="20.170000000000002"/>
    <x v="2"/>
    <n v="256"/>
    <s v="110/68"/>
    <n v="5.97"/>
    <x v="2"/>
    <x v="1"/>
    <x v="1"/>
    <n v="110"/>
    <n v="68"/>
    <x v="4"/>
    <x v="2"/>
    <s v="High"/>
    <x v="2"/>
  </r>
  <r>
    <x v="23"/>
    <x v="1"/>
    <n v="181.19"/>
    <n v="20.94"/>
    <x v="1"/>
    <n v="132"/>
    <s v="115/66"/>
    <n v="7.49"/>
    <x v="3"/>
    <x v="1"/>
    <x v="0"/>
    <n v="115"/>
    <n v="66"/>
    <x v="0"/>
    <x v="3"/>
    <s v="Normal"/>
    <x v="2"/>
  </r>
  <r>
    <x v="5"/>
    <x v="0"/>
    <n v="99.73"/>
    <n v="26.33"/>
    <x v="2"/>
    <n v="199"/>
    <s v="136/65"/>
    <n v="6.76"/>
    <x v="0"/>
    <x v="1"/>
    <x v="1"/>
    <n v="136"/>
    <n v="65"/>
    <x v="3"/>
    <x v="3"/>
    <s v="Normal"/>
    <x v="0"/>
  </r>
  <r>
    <x v="29"/>
    <x v="1"/>
    <n v="99.11"/>
    <n v="37.119999999999997"/>
    <x v="3"/>
    <n v="296"/>
    <s v="102/70"/>
    <n v="6.41"/>
    <x v="6"/>
    <x v="1"/>
    <x v="1"/>
    <n v="102"/>
    <n v="70"/>
    <x v="1"/>
    <x v="3"/>
    <s v="High"/>
    <x v="1"/>
  </r>
  <r>
    <x v="3"/>
    <x v="0"/>
    <n v="294.76"/>
    <n v="22.6"/>
    <x v="0"/>
    <n v="159"/>
    <s v="116/64"/>
    <n v="5.05"/>
    <x v="3"/>
    <x v="0"/>
    <x v="1"/>
    <n v="116"/>
    <n v="64"/>
    <x v="1"/>
    <x v="0"/>
    <s v="Normal"/>
    <x v="2"/>
  </r>
  <r>
    <x v="46"/>
    <x v="0"/>
    <n v="176.93"/>
    <n v="22.83"/>
    <x v="3"/>
    <n v="296"/>
    <s v="130/72"/>
    <n v="4.67"/>
    <x v="0"/>
    <x v="1"/>
    <x v="1"/>
    <n v="130"/>
    <n v="72"/>
    <x v="0"/>
    <x v="0"/>
    <s v="High"/>
    <x v="2"/>
  </r>
  <r>
    <x v="25"/>
    <x v="1"/>
    <n v="217.86"/>
    <n v="31.78"/>
    <x v="0"/>
    <n v="220"/>
    <s v="130/89"/>
    <n v="9.81"/>
    <x v="6"/>
    <x v="1"/>
    <x v="0"/>
    <n v="130"/>
    <n v="89"/>
    <x v="1"/>
    <x v="1"/>
    <s v="Boarderline"/>
    <x v="1"/>
  </r>
  <r>
    <x v="17"/>
    <x v="0"/>
    <n v="140.30000000000001"/>
    <n v="29.57"/>
    <x v="3"/>
    <n v="131"/>
    <s v="133/61"/>
    <n v="7.93"/>
    <x v="6"/>
    <x v="1"/>
    <x v="1"/>
    <n v="133"/>
    <n v="61"/>
    <x v="0"/>
    <x v="1"/>
    <s v="Normal"/>
    <x v="0"/>
  </r>
  <r>
    <x v="25"/>
    <x v="0"/>
    <n v="78.19"/>
    <n v="18.12"/>
    <x v="2"/>
    <n v="153"/>
    <s v="122/69"/>
    <n v="4.0199999999999996"/>
    <x v="2"/>
    <x v="0"/>
    <x v="1"/>
    <n v="122"/>
    <n v="69"/>
    <x v="1"/>
    <x v="0"/>
    <s v="Normal"/>
    <x v="3"/>
  </r>
  <r>
    <x v="29"/>
    <x v="0"/>
    <n v="96.93"/>
    <n v="25.04"/>
    <x v="0"/>
    <n v="216"/>
    <s v="137/65"/>
    <n v="7.6"/>
    <x v="3"/>
    <x v="1"/>
    <x v="0"/>
    <n v="137"/>
    <n v="65"/>
    <x v="1"/>
    <x v="1"/>
    <s v="Boarderline"/>
    <x v="0"/>
  </r>
  <r>
    <x v="3"/>
    <x v="1"/>
    <n v="242.22"/>
    <n v="35.11"/>
    <x v="3"/>
    <n v="116"/>
    <s v="108/79"/>
    <n v="5.59"/>
    <x v="0"/>
    <x v="0"/>
    <x v="0"/>
    <n v="108"/>
    <n v="79"/>
    <x v="1"/>
    <x v="0"/>
    <s v="Low"/>
    <x v="1"/>
  </r>
  <r>
    <x v="30"/>
    <x v="0"/>
    <n v="236.13"/>
    <n v="26.98"/>
    <x v="1"/>
    <n v="271"/>
    <s v="113/65"/>
    <n v="5.66"/>
    <x v="7"/>
    <x v="1"/>
    <x v="1"/>
    <n v="113"/>
    <n v="65"/>
    <x v="3"/>
    <x v="0"/>
    <s v="High"/>
    <x v="0"/>
  </r>
  <r>
    <x v="34"/>
    <x v="0"/>
    <n v="232.02"/>
    <n v="25.74"/>
    <x v="2"/>
    <n v="259"/>
    <s v="103/74"/>
    <n v="8.5399999999999991"/>
    <x v="7"/>
    <x v="1"/>
    <x v="1"/>
    <n v="103"/>
    <n v="74"/>
    <x v="5"/>
    <x v="1"/>
    <s v="High"/>
    <x v="0"/>
  </r>
  <r>
    <x v="54"/>
    <x v="0"/>
    <n v="107.65"/>
    <n v="29.83"/>
    <x v="1"/>
    <n v="262"/>
    <s v="130/87"/>
    <n v="4.8600000000000003"/>
    <x v="5"/>
    <x v="0"/>
    <x v="0"/>
    <n v="130"/>
    <n v="87"/>
    <x v="0"/>
    <x v="0"/>
    <s v="High"/>
    <x v="0"/>
  </r>
  <r>
    <x v="15"/>
    <x v="0"/>
    <n v="244.53"/>
    <n v="31.68"/>
    <x v="2"/>
    <n v="279"/>
    <s v="131/80"/>
    <n v="5.38"/>
    <x v="7"/>
    <x v="1"/>
    <x v="0"/>
    <n v="131"/>
    <n v="80"/>
    <x v="0"/>
    <x v="0"/>
    <s v="High"/>
    <x v="1"/>
  </r>
  <r>
    <x v="22"/>
    <x v="1"/>
    <n v="240.18"/>
    <n v="24.14"/>
    <x v="3"/>
    <n v="296"/>
    <s v="136/72"/>
    <n v="8.66"/>
    <x v="6"/>
    <x v="1"/>
    <x v="0"/>
    <n v="136"/>
    <n v="72"/>
    <x v="5"/>
    <x v="1"/>
    <s v="High"/>
    <x v="2"/>
  </r>
  <r>
    <x v="56"/>
    <x v="1"/>
    <n v="293.85000000000002"/>
    <n v="38.369999999999997"/>
    <x v="2"/>
    <n v="176"/>
    <s v="102/61"/>
    <n v="7.97"/>
    <x v="1"/>
    <x v="0"/>
    <x v="0"/>
    <n v="102"/>
    <n v="61"/>
    <x v="5"/>
    <x v="1"/>
    <s v="Normal"/>
    <x v="1"/>
  </r>
  <r>
    <x v="24"/>
    <x v="1"/>
    <n v="141.9"/>
    <n v="32.79"/>
    <x v="1"/>
    <n v="184"/>
    <s v="106/74"/>
    <n v="5.65"/>
    <x v="7"/>
    <x v="0"/>
    <x v="0"/>
    <n v="106"/>
    <n v="74"/>
    <x v="4"/>
    <x v="0"/>
    <s v="Normal"/>
    <x v="1"/>
  </r>
  <r>
    <x v="4"/>
    <x v="1"/>
    <n v="77.459999999999994"/>
    <n v="32.32"/>
    <x v="0"/>
    <n v="108"/>
    <s v="101/63"/>
    <n v="4.51"/>
    <x v="4"/>
    <x v="1"/>
    <x v="1"/>
    <n v="101"/>
    <n v="63"/>
    <x v="0"/>
    <x v="0"/>
    <s v="Low"/>
    <x v="1"/>
  </r>
  <r>
    <x v="39"/>
    <x v="1"/>
    <n v="232.42"/>
    <n v="30.41"/>
    <x v="3"/>
    <n v="120"/>
    <s v="127/90"/>
    <n v="6.68"/>
    <x v="7"/>
    <x v="1"/>
    <x v="1"/>
    <n v="127"/>
    <n v="90"/>
    <x v="5"/>
    <x v="3"/>
    <s v="Normal"/>
    <x v="1"/>
  </r>
  <r>
    <x v="58"/>
    <x v="0"/>
    <n v="108.69"/>
    <n v="33.200000000000003"/>
    <x v="0"/>
    <n v="267"/>
    <s v="92/64"/>
    <n v="8.65"/>
    <x v="3"/>
    <x v="1"/>
    <x v="0"/>
    <n v="92"/>
    <n v="64"/>
    <x v="2"/>
    <x v="1"/>
    <s v="High"/>
    <x v="1"/>
  </r>
  <r>
    <x v="59"/>
    <x v="0"/>
    <n v="147.04"/>
    <n v="29.25"/>
    <x v="3"/>
    <n v="120"/>
    <s v="118/63"/>
    <n v="7.55"/>
    <x v="7"/>
    <x v="1"/>
    <x v="0"/>
    <n v="118"/>
    <n v="63"/>
    <x v="1"/>
    <x v="1"/>
    <s v="Normal"/>
    <x v="0"/>
  </r>
  <r>
    <x v="9"/>
    <x v="0"/>
    <n v="165.25"/>
    <n v="32.06"/>
    <x v="2"/>
    <n v="277"/>
    <s v="139/61"/>
    <n v="4.82"/>
    <x v="0"/>
    <x v="1"/>
    <x v="0"/>
    <n v="139"/>
    <n v="61"/>
    <x v="5"/>
    <x v="0"/>
    <s v="High"/>
    <x v="1"/>
  </r>
  <r>
    <x v="54"/>
    <x v="0"/>
    <n v="120.56"/>
    <n v="29.5"/>
    <x v="1"/>
    <n v="257"/>
    <s v="111/79"/>
    <n v="4.93"/>
    <x v="2"/>
    <x v="0"/>
    <x v="0"/>
    <n v="111"/>
    <n v="79"/>
    <x v="0"/>
    <x v="0"/>
    <s v="High"/>
    <x v="0"/>
  </r>
  <r>
    <x v="62"/>
    <x v="0"/>
    <n v="207.06"/>
    <n v="24.97"/>
    <x v="1"/>
    <n v="127"/>
    <s v="104/72"/>
    <n v="6.41"/>
    <x v="0"/>
    <x v="1"/>
    <x v="1"/>
    <n v="104"/>
    <n v="72"/>
    <x v="4"/>
    <x v="3"/>
    <s v="Normal"/>
    <x v="0"/>
  </r>
  <r>
    <x v="29"/>
    <x v="1"/>
    <n v="275.29000000000002"/>
    <n v="36.64"/>
    <x v="2"/>
    <n v="271"/>
    <s v="139/60"/>
    <n v="5.17"/>
    <x v="5"/>
    <x v="0"/>
    <x v="0"/>
    <n v="139"/>
    <n v="60"/>
    <x v="1"/>
    <x v="0"/>
    <s v="High"/>
    <x v="1"/>
  </r>
  <r>
    <x v="49"/>
    <x v="1"/>
    <n v="139.44999999999999"/>
    <n v="22.43"/>
    <x v="0"/>
    <n v="201"/>
    <s v="129/72"/>
    <n v="5.18"/>
    <x v="3"/>
    <x v="0"/>
    <x v="0"/>
    <n v="129"/>
    <n v="72"/>
    <x v="4"/>
    <x v="0"/>
    <s v="Boarderline"/>
    <x v="2"/>
  </r>
  <r>
    <x v="34"/>
    <x v="1"/>
    <n v="86.89"/>
    <n v="32.5"/>
    <x v="3"/>
    <n v="194"/>
    <s v="98/65"/>
    <n v="6.35"/>
    <x v="3"/>
    <x v="0"/>
    <x v="1"/>
    <n v="98"/>
    <n v="65"/>
    <x v="5"/>
    <x v="2"/>
    <s v="Normal"/>
    <x v="1"/>
  </r>
  <r>
    <x v="58"/>
    <x v="1"/>
    <n v="211.97"/>
    <n v="23.07"/>
    <x v="0"/>
    <n v="185"/>
    <s v="125/84"/>
    <n v="7.75"/>
    <x v="1"/>
    <x v="1"/>
    <x v="1"/>
    <n v="125"/>
    <n v="84"/>
    <x v="2"/>
    <x v="1"/>
    <s v="Normal"/>
    <x v="2"/>
  </r>
  <r>
    <x v="57"/>
    <x v="1"/>
    <n v="161.15"/>
    <n v="32.65"/>
    <x v="3"/>
    <n v="167"/>
    <s v="92/70"/>
    <n v="5.39"/>
    <x v="4"/>
    <x v="0"/>
    <x v="1"/>
    <n v="92"/>
    <n v="70"/>
    <x v="3"/>
    <x v="0"/>
    <s v="Normal"/>
    <x v="1"/>
  </r>
  <r>
    <x v="29"/>
    <x v="1"/>
    <n v="146.88"/>
    <n v="23.87"/>
    <x v="3"/>
    <n v="209"/>
    <s v="129/76"/>
    <n v="8.69"/>
    <x v="2"/>
    <x v="0"/>
    <x v="1"/>
    <n v="129"/>
    <n v="76"/>
    <x v="1"/>
    <x v="1"/>
    <s v="Boarderline"/>
    <x v="2"/>
  </r>
  <r>
    <x v="34"/>
    <x v="1"/>
    <n v="101.7"/>
    <n v="37.630000000000003"/>
    <x v="0"/>
    <n v="122"/>
    <s v="132/76"/>
    <n v="8.56"/>
    <x v="4"/>
    <x v="0"/>
    <x v="1"/>
    <n v="132"/>
    <n v="76"/>
    <x v="5"/>
    <x v="1"/>
    <s v="Normal"/>
    <x v="1"/>
  </r>
  <r>
    <x v="21"/>
    <x v="1"/>
    <n v="240.95"/>
    <n v="24.19"/>
    <x v="2"/>
    <n v="265"/>
    <s v="93/90"/>
    <n v="7.88"/>
    <x v="2"/>
    <x v="1"/>
    <x v="0"/>
    <n v="93"/>
    <n v="90"/>
    <x v="3"/>
    <x v="1"/>
    <s v="High"/>
    <x v="2"/>
  </r>
  <r>
    <x v="40"/>
    <x v="1"/>
    <n v="229.53"/>
    <n v="28.22"/>
    <x v="3"/>
    <n v="256"/>
    <s v="98/70"/>
    <n v="4.8"/>
    <x v="7"/>
    <x v="1"/>
    <x v="1"/>
    <n v="98"/>
    <n v="70"/>
    <x v="2"/>
    <x v="0"/>
    <s v="High"/>
    <x v="0"/>
  </r>
  <r>
    <x v="62"/>
    <x v="1"/>
    <n v="216.31"/>
    <n v="34.53"/>
    <x v="0"/>
    <n v="101"/>
    <s v="120/69"/>
    <n v="9.02"/>
    <x v="7"/>
    <x v="1"/>
    <x v="0"/>
    <n v="120"/>
    <n v="69"/>
    <x v="4"/>
    <x v="1"/>
    <s v="Low"/>
    <x v="1"/>
  </r>
  <r>
    <x v="58"/>
    <x v="1"/>
    <n v="298.17"/>
    <n v="21.19"/>
    <x v="3"/>
    <n v="282"/>
    <s v="133/76"/>
    <n v="9.5"/>
    <x v="6"/>
    <x v="1"/>
    <x v="0"/>
    <n v="133"/>
    <n v="76"/>
    <x v="2"/>
    <x v="1"/>
    <s v="High"/>
    <x v="2"/>
  </r>
  <r>
    <x v="57"/>
    <x v="1"/>
    <n v="88.25"/>
    <n v="26.04"/>
    <x v="0"/>
    <n v="137"/>
    <s v="116/62"/>
    <n v="6.92"/>
    <x v="1"/>
    <x v="0"/>
    <x v="0"/>
    <n v="116"/>
    <n v="62"/>
    <x v="3"/>
    <x v="3"/>
    <s v="Normal"/>
    <x v="0"/>
  </r>
  <r>
    <x v="12"/>
    <x v="1"/>
    <n v="212.8"/>
    <n v="29.22"/>
    <x v="0"/>
    <n v="228"/>
    <s v="92/73"/>
    <n v="4.1900000000000004"/>
    <x v="1"/>
    <x v="1"/>
    <x v="1"/>
    <n v="92"/>
    <n v="73"/>
    <x v="1"/>
    <x v="0"/>
    <s v="Boarderline"/>
    <x v="0"/>
  </r>
  <r>
    <x v="17"/>
    <x v="0"/>
    <n v="81.3"/>
    <n v="30.02"/>
    <x v="0"/>
    <n v="161"/>
    <s v="113/87"/>
    <n v="4.58"/>
    <x v="7"/>
    <x v="1"/>
    <x v="1"/>
    <n v="113"/>
    <n v="87"/>
    <x v="0"/>
    <x v="0"/>
    <s v="Normal"/>
    <x v="1"/>
  </r>
  <r>
    <x v="21"/>
    <x v="1"/>
    <n v="152.31"/>
    <n v="22.33"/>
    <x v="2"/>
    <n v="162"/>
    <s v="136/82"/>
    <n v="8.9700000000000006"/>
    <x v="7"/>
    <x v="1"/>
    <x v="1"/>
    <n v="136"/>
    <n v="82"/>
    <x v="3"/>
    <x v="1"/>
    <s v="Normal"/>
    <x v="2"/>
  </r>
  <r>
    <x v="2"/>
    <x v="0"/>
    <n v="298.52999999999997"/>
    <n v="20.28"/>
    <x v="3"/>
    <n v="275"/>
    <s v="140/85"/>
    <n v="9.4600000000000009"/>
    <x v="7"/>
    <x v="1"/>
    <x v="1"/>
    <n v="140"/>
    <n v="85"/>
    <x v="2"/>
    <x v="1"/>
    <s v="High"/>
    <x v="2"/>
  </r>
  <r>
    <x v="62"/>
    <x v="1"/>
    <n v="187.52"/>
    <n v="30.91"/>
    <x v="0"/>
    <n v="237"/>
    <s v="138/64"/>
    <n v="5"/>
    <x v="6"/>
    <x v="1"/>
    <x v="0"/>
    <n v="138"/>
    <n v="64"/>
    <x v="4"/>
    <x v="0"/>
    <s v="Boarderline"/>
    <x v="1"/>
  </r>
  <r>
    <x v="12"/>
    <x v="0"/>
    <n v="262.61"/>
    <n v="36.630000000000003"/>
    <x v="3"/>
    <n v="155"/>
    <s v="140/83"/>
    <n v="6.74"/>
    <x v="5"/>
    <x v="0"/>
    <x v="0"/>
    <n v="140"/>
    <n v="83"/>
    <x v="1"/>
    <x v="3"/>
    <s v="Normal"/>
    <x v="1"/>
  </r>
  <r>
    <x v="2"/>
    <x v="0"/>
    <n v="71.400000000000006"/>
    <n v="36.86"/>
    <x v="0"/>
    <n v="163"/>
    <s v="115/83"/>
    <n v="7.82"/>
    <x v="2"/>
    <x v="1"/>
    <x v="0"/>
    <n v="115"/>
    <n v="83"/>
    <x v="2"/>
    <x v="1"/>
    <s v="Normal"/>
    <x v="1"/>
  </r>
  <r>
    <x v="62"/>
    <x v="1"/>
    <n v="73.599999999999994"/>
    <n v="37.71"/>
    <x v="1"/>
    <n v="128"/>
    <s v="100/70"/>
    <n v="8.06"/>
    <x v="6"/>
    <x v="1"/>
    <x v="0"/>
    <n v="100"/>
    <n v="70"/>
    <x v="4"/>
    <x v="1"/>
    <s v="Normal"/>
    <x v="1"/>
  </r>
  <r>
    <x v="38"/>
    <x v="1"/>
    <n v="145"/>
    <n v="23.88"/>
    <x v="2"/>
    <n v="229"/>
    <s v="124/60"/>
    <n v="4.34"/>
    <x v="7"/>
    <x v="0"/>
    <x v="0"/>
    <n v="124"/>
    <n v="60"/>
    <x v="4"/>
    <x v="0"/>
    <s v="Boarderline"/>
    <x v="2"/>
  </r>
  <r>
    <x v="14"/>
    <x v="1"/>
    <n v="223.59"/>
    <n v="39.700000000000003"/>
    <x v="3"/>
    <n v="209"/>
    <s v="134/72"/>
    <n v="5.22"/>
    <x v="5"/>
    <x v="0"/>
    <x v="1"/>
    <n v="134"/>
    <n v="72"/>
    <x v="3"/>
    <x v="0"/>
    <s v="Boarderline"/>
    <x v="1"/>
  </r>
  <r>
    <x v="31"/>
    <x v="1"/>
    <n v="118.48"/>
    <n v="32.9"/>
    <x v="3"/>
    <n v="119"/>
    <s v="99/66"/>
    <n v="8.89"/>
    <x v="5"/>
    <x v="0"/>
    <x v="1"/>
    <n v="99"/>
    <n v="66"/>
    <x v="2"/>
    <x v="1"/>
    <s v="Low"/>
    <x v="1"/>
  </r>
  <r>
    <x v="27"/>
    <x v="1"/>
    <n v="288.17"/>
    <n v="38.07"/>
    <x v="0"/>
    <n v="300"/>
    <s v="107/85"/>
    <n v="7.84"/>
    <x v="4"/>
    <x v="1"/>
    <x v="1"/>
    <n v="107"/>
    <n v="85"/>
    <x v="4"/>
    <x v="1"/>
    <s v="High"/>
    <x v="1"/>
  </r>
  <r>
    <x v="21"/>
    <x v="0"/>
    <n v="188.07"/>
    <n v="28.66"/>
    <x v="0"/>
    <n v="221"/>
    <s v="122/89"/>
    <n v="7.37"/>
    <x v="0"/>
    <x v="1"/>
    <x v="0"/>
    <n v="122"/>
    <n v="89"/>
    <x v="3"/>
    <x v="3"/>
    <s v="Boarderline"/>
    <x v="0"/>
  </r>
  <r>
    <x v="19"/>
    <x v="0"/>
    <n v="247.81"/>
    <n v="32.71"/>
    <x v="3"/>
    <n v="182"/>
    <s v="96/63"/>
    <n v="6.29"/>
    <x v="1"/>
    <x v="1"/>
    <x v="1"/>
    <n v="96"/>
    <n v="63"/>
    <x v="2"/>
    <x v="2"/>
    <s v="Normal"/>
    <x v="1"/>
  </r>
  <r>
    <x v="17"/>
    <x v="0"/>
    <n v="261.58"/>
    <n v="33.28"/>
    <x v="2"/>
    <n v="119"/>
    <s v="120/83"/>
    <n v="8.14"/>
    <x v="4"/>
    <x v="1"/>
    <x v="0"/>
    <n v="120"/>
    <n v="83"/>
    <x v="0"/>
    <x v="1"/>
    <s v="Low"/>
    <x v="1"/>
  </r>
  <r>
    <x v="21"/>
    <x v="0"/>
    <n v="166.47"/>
    <n v="21.59"/>
    <x v="2"/>
    <n v="154"/>
    <s v="96/71"/>
    <n v="7.06"/>
    <x v="3"/>
    <x v="1"/>
    <x v="1"/>
    <n v="96"/>
    <n v="71"/>
    <x v="3"/>
    <x v="3"/>
    <s v="Normal"/>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A0300-D761-4530-8026-DC9827ABB9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C21:D26" firstHeaderRow="1" firstDataRow="1" firstDataCol="1"/>
  <pivotFields count="17">
    <pivotField showAll="0"/>
    <pivotField showAll="0"/>
    <pivotField numFmtId="164" showAll="0"/>
    <pivotField numFmtId="164" showAll="0"/>
    <pivotField axis="axisRow" showAll="0">
      <items count="5">
        <item x="3"/>
        <item x="2"/>
        <item x="1"/>
        <item x="0"/>
        <item t="default"/>
      </items>
    </pivotField>
    <pivotField showAll="0"/>
    <pivotField showAll="0"/>
    <pivotField dataField="1" numFmtId="164" showAll="0"/>
    <pivotField showAll="0"/>
    <pivotField showAll="0"/>
    <pivotField showAll="0"/>
    <pivotField showAll="0"/>
    <pivotField showAll="0"/>
    <pivotField showAll="0">
      <items count="7">
        <item x="3"/>
        <item x="2"/>
        <item x="5"/>
        <item x="1"/>
        <item x="4"/>
        <item x="0"/>
        <item t="default"/>
      </items>
    </pivotField>
    <pivotField showAll="0">
      <items count="5">
        <item x="3"/>
        <item x="0"/>
        <item x="2"/>
        <item x="1"/>
        <item t="default"/>
      </items>
    </pivotField>
    <pivotField showAll="0"/>
    <pivotField showAll="0"/>
  </pivotFields>
  <rowFields count="1">
    <field x="4"/>
  </rowFields>
  <rowItems count="5">
    <i>
      <x/>
    </i>
    <i>
      <x v="1"/>
    </i>
    <i>
      <x v="2"/>
    </i>
    <i>
      <x v="3"/>
    </i>
    <i t="grand">
      <x/>
    </i>
  </rowItems>
  <colItems count="1">
    <i/>
  </colItems>
  <dataFields count="1">
    <dataField name="Average of HbA1c" fld="7" subtotal="average" baseField="13" baseItem="0" numFmtId="2"/>
  </dataFields>
  <formats count="3">
    <format dxfId="2">
      <pivotArea field="13" type="button" dataOnly="0" labelOnly="1" outline="0"/>
    </format>
    <format dxfId="1">
      <pivotArea dataOnly="0" labelOnly="1" outline="0" axis="axisValues" fieldPosition="0"/>
    </format>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9A017-4813-464A-AD09-F4BDAEED1FD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10:H19" firstHeaderRow="1" firstDataRow="1" firstDataCol="1"/>
  <pivotFields count="17">
    <pivotField showAll="0"/>
    <pivotField showAll="0"/>
    <pivotField numFmtId="164" showAll="0"/>
    <pivotField numFmtId="164" showAll="0"/>
    <pivotField showAll="0"/>
    <pivotField showAll="0"/>
    <pivotField showAll="0"/>
    <pivotField dataField="1" numFmtId="164" showAll="0"/>
    <pivotField axis="axisRow" showAll="0">
      <items count="9">
        <item x="7"/>
        <item x="4"/>
        <item x="3"/>
        <item x="2"/>
        <item x="1"/>
        <item x="6"/>
        <item x="5"/>
        <item x="0"/>
        <item t="default"/>
      </items>
    </pivotField>
    <pivotField showAll="0">
      <items count="3">
        <item x="0"/>
        <item x="1"/>
        <item t="default"/>
      </items>
    </pivotField>
    <pivotField showAll="0"/>
    <pivotField showAll="0"/>
    <pivotField showAll="0"/>
    <pivotField showAll="0"/>
    <pivotField showAll="0">
      <items count="5">
        <item x="3"/>
        <item x="0"/>
        <item x="2"/>
        <item x="1"/>
        <item t="default"/>
      </items>
    </pivotField>
    <pivotField showAll="0"/>
    <pivotField showAll="0"/>
  </pivotFields>
  <rowFields count="1">
    <field x="8"/>
  </rowFields>
  <rowItems count="9">
    <i>
      <x/>
    </i>
    <i>
      <x v="1"/>
    </i>
    <i>
      <x v="2"/>
    </i>
    <i>
      <x v="3"/>
    </i>
    <i>
      <x v="4"/>
    </i>
    <i>
      <x v="5"/>
    </i>
    <i>
      <x v="6"/>
    </i>
    <i>
      <x v="7"/>
    </i>
    <i t="grand">
      <x/>
    </i>
  </rowItems>
  <colItems count="1">
    <i/>
  </colItems>
  <dataFields count="1">
    <dataField name="Average of HbA1c" fld="7" subtotal="average" baseField="8" baseItem="0" numFmtId="2"/>
  </dataFields>
  <formats count="2">
    <format dxfId="4">
      <pivotArea outline="0" collapsedLevelsAreSubtotals="1" fieldPosition="0"/>
    </format>
    <format dxfId="3">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6"/>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5AC188-B032-4CB5-A6F7-52B62996A4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showAll="0"/>
    <pivotField showAll="0"/>
    <pivotField numFmtId="164" showAll="0"/>
    <pivotField dataField="1" numFmtId="164"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BMI" fld="3" subtotal="average"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FCFDEE-27F2-4F69-BB36-06ADB05BFE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7">
    <pivotField showAll="0"/>
    <pivotField showAll="0"/>
    <pivotField numFmtId="164" showAll="0"/>
    <pivotField numFmtId="164" showAll="0"/>
    <pivotField showAll="0"/>
    <pivotField dataField="1"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holesterol" fld="5"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AF4265-3021-439F-B4EA-198224CCC0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C11:D18" firstHeaderRow="1" firstDataRow="1" firstDataCol="1"/>
  <pivotFields count="17">
    <pivotField showAll="0"/>
    <pivotField showAll="0"/>
    <pivotField numFmtId="164" showAll="0"/>
    <pivotField numFmtId="164" showAll="0"/>
    <pivotField showAll="0"/>
    <pivotField showAll="0"/>
    <pivotField showAll="0"/>
    <pivotField dataField="1" numFmtId="164" showAll="0"/>
    <pivotField showAll="0"/>
    <pivotField showAll="0"/>
    <pivotField showAll="0"/>
    <pivotField showAll="0"/>
    <pivotField showAll="0"/>
    <pivotField axis="axisRow" showAll="0">
      <items count="7">
        <item x="3"/>
        <item x="2"/>
        <item x="5"/>
        <item x="1"/>
        <item x="4"/>
        <item x="0"/>
        <item t="default"/>
      </items>
    </pivotField>
    <pivotField showAll="0">
      <items count="5">
        <item x="3"/>
        <item x="0"/>
        <item x="2"/>
        <item x="1"/>
        <item t="default"/>
      </items>
    </pivotField>
    <pivotField showAll="0"/>
    <pivotField showAll="0"/>
  </pivotFields>
  <rowFields count="1">
    <field x="13"/>
  </rowFields>
  <rowItems count="7">
    <i>
      <x/>
    </i>
    <i>
      <x v="1"/>
    </i>
    <i>
      <x v="2"/>
    </i>
    <i>
      <x v="3"/>
    </i>
    <i>
      <x v="4"/>
    </i>
    <i>
      <x v="5"/>
    </i>
    <i t="grand">
      <x/>
    </i>
  </rowItems>
  <colItems count="1">
    <i/>
  </colItems>
  <dataFields count="1">
    <dataField name="Average of HbA1c" fld="7" subtotal="average" baseField="13" baseItem="0" numFmtId="2"/>
  </dataFields>
  <formats count="4">
    <format dxfId="10">
      <pivotArea field="13" type="button" dataOnly="0" labelOnly="1" outline="0" axis="axisRow" fieldPosition="0"/>
    </format>
    <format dxfId="9">
      <pivotArea collapsedLevelsAreSubtotals="1" fieldPosition="0">
        <references count="1">
          <reference field="13" count="0"/>
        </references>
      </pivotArea>
    </format>
    <format dxfId="8">
      <pivotArea dataOnly="0" labelOnly="1" outline="0" axis="axisValues" fieldPosition="0"/>
    </format>
    <format dxfId="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16ACB3-AFE3-46C3-A21E-78608E5E89A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C29:D34" firstHeaderRow="1" firstDataRow="1" firstDataCol="1"/>
  <pivotFields count="17">
    <pivotField showAll="0"/>
    <pivotField showAll="0"/>
    <pivotField numFmtId="164" showAll="0"/>
    <pivotField numFmtId="164" showAll="0"/>
    <pivotField showAll="0">
      <items count="5">
        <item x="3"/>
        <item x="2"/>
        <item x="1"/>
        <item x="0"/>
        <item t="default"/>
      </items>
    </pivotField>
    <pivotField dataField="1" showAll="0"/>
    <pivotField showAll="0"/>
    <pivotField numFmtId="164" showAll="0"/>
    <pivotField showAll="0"/>
    <pivotField showAll="0"/>
    <pivotField showAll="0"/>
    <pivotField showAll="0"/>
    <pivotField showAll="0"/>
    <pivotField showAll="0">
      <items count="7">
        <item x="3"/>
        <item x="2"/>
        <item x="5"/>
        <item x="1"/>
        <item x="4"/>
        <item x="0"/>
        <item t="default"/>
      </items>
    </pivotField>
    <pivotField showAll="0">
      <items count="5">
        <item x="3"/>
        <item x="0"/>
        <item x="2"/>
        <item x="1"/>
        <item t="default"/>
      </items>
    </pivotField>
    <pivotField showAll="0"/>
    <pivotField axis="axisRow" showAll="0">
      <items count="5">
        <item x="0"/>
        <item x="3"/>
        <item x="2"/>
        <item x="1"/>
        <item t="default"/>
      </items>
    </pivotField>
  </pivotFields>
  <rowFields count="1">
    <field x="16"/>
  </rowFields>
  <rowItems count="5">
    <i>
      <x/>
    </i>
    <i>
      <x v="1"/>
    </i>
    <i>
      <x v="2"/>
    </i>
    <i>
      <x v="3"/>
    </i>
    <i t="grand">
      <x/>
    </i>
  </rowItems>
  <colItems count="1">
    <i/>
  </colItems>
  <dataFields count="1">
    <dataField name="Average of Cholesterol" fld="5" subtotal="average" baseField="16" baseItem="0" numFmtId="164"/>
  </dataFields>
  <formats count="3">
    <format dxfId="13">
      <pivotArea field="13" type="button" dataOnly="0" labelOnly="1" outline="0"/>
    </format>
    <format dxfId="12">
      <pivotArea outline="0" collapsedLevelsAreSubtotals="1" fieldPosition="0"/>
    </format>
    <format dxfId="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7EAE28-9B0A-4BD0-9F76-6868FB1CB1E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30:I33" firstHeaderRow="0" firstDataRow="1" firstDataCol="1"/>
  <pivotFields count="17">
    <pivotField showAll="0"/>
    <pivotField axis="axisRow" showAll="0">
      <items count="3">
        <item x="1"/>
        <item x="0"/>
        <item t="default"/>
      </items>
    </pivotField>
    <pivotField dataField="1" numFmtId="164" showAll="0"/>
    <pivotField dataField="1" numFmtId="164" showAll="0"/>
    <pivotField showAll="0"/>
    <pivotField showAll="0"/>
    <pivotField showAll="0"/>
    <pivotField numFmtId="164" showAll="0"/>
    <pivotField showAll="0">
      <items count="9">
        <item x="7"/>
        <item x="4"/>
        <item x="3"/>
        <item x="2"/>
        <item x="1"/>
        <item x="6"/>
        <item x="5"/>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items count="5">
        <item x="3"/>
        <item x="0"/>
        <item x="2"/>
        <item x="1"/>
        <item t="default"/>
      </items>
    </pivotField>
    <pivotField showAll="0"/>
    <pivotField showAll="0"/>
  </pivotFields>
  <rowFields count="1">
    <field x="1"/>
  </rowFields>
  <rowItems count="3">
    <i>
      <x/>
    </i>
    <i>
      <x v="1"/>
    </i>
    <i t="grand">
      <x/>
    </i>
  </rowItems>
  <colFields count="1">
    <field x="-2"/>
  </colFields>
  <colItems count="2">
    <i>
      <x/>
    </i>
    <i i="1">
      <x v="1"/>
    </i>
  </colItems>
  <dataFields count="2">
    <dataField name="Avg of BMI" fld="3" subtotal="average" baseField="1" baseItem="0" numFmtId="164"/>
    <dataField name="Avg of BS Level" fld="2" subtotal="average" baseField="1" baseItem="0" numFmtId="164"/>
  </dataFields>
  <formats count="3">
    <format dxfId="16">
      <pivotArea dataOnly="0" labelOnly="1" outline="0" axis="axisValues" fieldPosition="0"/>
    </format>
    <format dxfId="15">
      <pivotArea outline="0" collapsedLevelsAreSubtotals="1" fieldPosition="0"/>
    </format>
    <format dxfId="14">
      <pivotArea collapsedLevelsAreSubtotals="1" fieldPosition="0">
        <references count="2">
          <reference field="4294967294" count="1" selected="0">
            <x v="1"/>
          </reference>
          <reference field="1" count="0"/>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03382-32DE-4DD8-98F4-4872A62CBC2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7">
    <pivotField showAll="0">
      <items count="64">
        <item x="30"/>
        <item x="5"/>
        <item x="55"/>
        <item x="7"/>
        <item x="21"/>
        <item x="57"/>
        <item x="28"/>
        <item x="52"/>
        <item x="37"/>
        <item x="47"/>
        <item x="14"/>
        <item x="6"/>
        <item x="42"/>
        <item x="32"/>
        <item x="26"/>
        <item x="40"/>
        <item x="50"/>
        <item x="31"/>
        <item x="43"/>
        <item x="58"/>
        <item x="61"/>
        <item x="2"/>
        <item x="19"/>
        <item x="22"/>
        <item x="53"/>
        <item x="56"/>
        <item x="33"/>
        <item x="60"/>
        <item x="9"/>
        <item x="51"/>
        <item x="34"/>
        <item x="39"/>
        <item x="41"/>
        <item x="1"/>
        <item x="13"/>
        <item x="29"/>
        <item x="35"/>
        <item x="12"/>
        <item x="25"/>
        <item x="48"/>
        <item x="59"/>
        <item x="11"/>
        <item x="3"/>
        <item x="44"/>
        <item x="16"/>
        <item x="18"/>
        <item x="27"/>
        <item x="45"/>
        <item x="38"/>
        <item x="62"/>
        <item x="8"/>
        <item x="49"/>
        <item x="24"/>
        <item x="46"/>
        <item x="17"/>
        <item x="15"/>
        <item x="54"/>
        <item x="36"/>
        <item x="4"/>
        <item x="0"/>
        <item x="23"/>
        <item x="20"/>
        <item x="10"/>
        <item t="default"/>
      </items>
    </pivotField>
    <pivotField showAll="0">
      <items count="3">
        <item x="1"/>
        <item x="0"/>
        <item t="default"/>
      </items>
    </pivotField>
    <pivotField dataField="1" numFmtId="164" showAll="0"/>
    <pivotField numFmtId="164" showAll="0"/>
    <pivotField showAll="0"/>
    <pivotField showAll="0"/>
    <pivotField showAll="0"/>
    <pivotField numFmtId="164" showAll="0"/>
    <pivotField showAll="0"/>
    <pivotField axis="axisRow" showAll="0">
      <items count="3">
        <item x="0"/>
        <item x="1"/>
        <item t="default"/>
      </items>
    </pivotField>
    <pivotField showAll="0"/>
    <pivotField showAll="0"/>
    <pivotField showAll="0"/>
    <pivotField showAll="0"/>
    <pivotField showAll="0">
      <items count="5">
        <item x="3"/>
        <item x="0"/>
        <item x="2"/>
        <item x="1"/>
        <item t="default"/>
      </items>
    </pivotField>
    <pivotField showAll="0"/>
    <pivotField showAll="0"/>
  </pivotFields>
  <rowFields count="1">
    <field x="9"/>
  </rowFields>
  <rowItems count="3">
    <i>
      <x/>
    </i>
    <i>
      <x v="1"/>
    </i>
    <i t="grand">
      <x/>
    </i>
  </rowItems>
  <colItems count="1">
    <i/>
  </colItems>
  <dataFields count="1">
    <dataField name="Average of Blood_Sugar_Level" fld="2" subtotal="average" baseField="9"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1EB677-3443-4E00-A795-09D0A7CCF9D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G23:I26" firstHeaderRow="0" firstDataRow="1" firstDataCol="1"/>
  <pivotFields count="17">
    <pivotField showAll="0"/>
    <pivotField showAll="0"/>
    <pivotField numFmtId="164" showAll="0"/>
    <pivotField numFmtId="164" showAll="0"/>
    <pivotField showAll="0"/>
    <pivotField dataField="1" showAll="0"/>
    <pivotField showAll="0"/>
    <pivotField numFmtId="164" showAll="0"/>
    <pivotField showAll="0">
      <items count="9">
        <item x="7"/>
        <item x="4"/>
        <item x="3"/>
        <item x="2"/>
        <item x="1"/>
        <item x="6"/>
        <item x="5"/>
        <item x="0"/>
        <item t="default"/>
      </items>
    </pivotField>
    <pivotField showAll="0">
      <items count="3">
        <item x="0"/>
        <item x="1"/>
        <item t="default"/>
      </items>
    </pivotField>
    <pivotField axis="axisRow" showAll="0">
      <items count="3">
        <item x="1"/>
        <item x="0"/>
        <item t="default"/>
      </items>
    </pivotField>
    <pivotField dataField="1" showAll="0"/>
    <pivotField showAll="0"/>
    <pivotField showAll="0"/>
    <pivotField showAll="0">
      <items count="5">
        <item x="3"/>
        <item x="0"/>
        <item x="2"/>
        <item x="1"/>
        <item t="default"/>
      </items>
    </pivotField>
    <pivotField showAll="0"/>
    <pivotField showAll="0"/>
  </pivotFields>
  <rowFields count="1">
    <field x="10"/>
  </rowFields>
  <rowItems count="3">
    <i>
      <x/>
    </i>
    <i>
      <x v="1"/>
    </i>
    <i t="grand">
      <x/>
    </i>
  </rowItems>
  <colFields count="1">
    <field x="-2"/>
  </colFields>
  <colItems count="2">
    <i>
      <x/>
    </i>
    <i i="1">
      <x v="1"/>
    </i>
  </colItems>
  <dataFields count="2">
    <dataField name="Avg of Cholesterol" fld="5" subtotal="average" baseField="10" baseItem="0"/>
    <dataField name="Avg of Systolic BP" fld="11" subtotal="average" baseField="10" baseItem="0"/>
  </dataFields>
  <formats count="2">
    <format dxfId="19">
      <pivotArea outline="0" collapsedLevelsAreSubtotals="1" fieldPosition="0"/>
    </format>
    <format dxfId="18">
      <pivotArea dataOnly="0" labelOnly="1" outline="0" axis="axisValues" fieldPosition="0"/>
    </format>
  </format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0" count="1" selected="0">
            <x v="1"/>
          </reference>
        </references>
      </pivotArea>
    </chartFormat>
    <chartFormat chart="6" format="7">
      <pivotArea type="data" outline="0" fieldPosition="0">
        <references count="2">
          <reference field="4294967294"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075E4C-F7C4-4CF2-8AEC-6D2F610EDB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7">
    <pivotField showAll="0"/>
    <pivotField showAll="0"/>
    <pivotField numFmtId="164" showAll="0"/>
    <pivotField numFmtId="164"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HbA1c" fld="7" subtotal="average"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C81464-758F-40EF-81CC-4304F987B81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1:K20" firstHeaderRow="1" firstDataRow="1" firstDataCol="1"/>
  <pivotFields count="17">
    <pivotField showAll="0"/>
    <pivotField showAll="0"/>
    <pivotField numFmtId="164" showAll="0"/>
    <pivotField numFmtId="164" showAll="0"/>
    <pivotField showAll="0"/>
    <pivotField showAll="0"/>
    <pivotField showAll="0"/>
    <pivotField dataField="1" numFmtId="164" showAll="0"/>
    <pivotField axis="axisRow" showAll="0">
      <items count="9">
        <item x="7"/>
        <item x="4"/>
        <item x="3"/>
        <item x="2"/>
        <item x="1"/>
        <item x="6"/>
        <item x="5"/>
        <item x="0"/>
        <item t="default"/>
      </items>
    </pivotField>
    <pivotField showAll="0">
      <items count="3">
        <item x="0"/>
        <item x="1"/>
        <item t="default"/>
      </items>
    </pivotField>
    <pivotField showAll="0"/>
    <pivotField showAll="0"/>
    <pivotField showAll="0"/>
    <pivotField showAll="0"/>
    <pivotField showAll="0">
      <items count="5">
        <item x="3"/>
        <item x="0"/>
        <item x="2"/>
        <item x="1"/>
        <item t="default"/>
      </items>
    </pivotField>
    <pivotField showAll="0"/>
    <pivotField showAll="0"/>
  </pivotFields>
  <rowFields count="1">
    <field x="8"/>
  </rowFields>
  <rowItems count="9">
    <i>
      <x/>
    </i>
    <i>
      <x v="1"/>
    </i>
    <i>
      <x v="2"/>
    </i>
    <i>
      <x v="3"/>
    </i>
    <i>
      <x v="4"/>
    </i>
    <i>
      <x v="5"/>
    </i>
    <i>
      <x v="6"/>
    </i>
    <i>
      <x v="7"/>
    </i>
    <i t="grand">
      <x/>
    </i>
  </rowItems>
  <colItems count="1">
    <i/>
  </colItems>
  <dataFields count="1">
    <dataField name="Average of HbA1c" fld="7" subtotal="average" baseField="8" baseItem="0" numFmtId="2"/>
  </dataFields>
  <formats count="2">
    <format dxfId="22">
      <pivotArea outline="0" collapsedLevelsAreSubtotals="1"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39F3C3-8155-493D-9B4F-6172B193B5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C3:D8" firstHeaderRow="1" firstDataRow="1" firstDataCol="1"/>
  <pivotFields count="17">
    <pivotField dataField="1" showAll="0"/>
    <pivotField showAll="0"/>
    <pivotField numFmtId="164" showAll="0"/>
    <pivotField numFmtId="164" showAll="0"/>
    <pivotField showAll="0"/>
    <pivotField showAll="0"/>
    <pivotField showAll="0"/>
    <pivotField numFmtId="164"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s>
  <rowFields count="1">
    <field x="14"/>
  </rowFields>
  <rowItems count="5">
    <i>
      <x/>
    </i>
    <i>
      <x v="1"/>
    </i>
    <i>
      <x v="2"/>
    </i>
    <i>
      <x v="3"/>
    </i>
    <i t="grand">
      <x/>
    </i>
  </rowItems>
  <colItems count="1">
    <i/>
  </colItems>
  <dataFields count="1">
    <dataField name="Total Patients" fld="0" subtotal="count" baseField="0" baseItem="0" numFmtId="165"/>
  </dataFields>
  <formats count="1">
    <format dxfId="2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C8BC28-8BCC-4724-9378-55B5E83D40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7">
    <pivotField showAll="0"/>
    <pivotField showAll="0"/>
    <pivotField dataField="1" numFmtId="164" showAll="0"/>
    <pivotField numFmtId="164"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Blood_Sugar_Level" fld="2" subtotal="average"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1D46D8-FEB8-4988-BF40-49D8663F9C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numFmtId="164" showAll="0"/>
    <pivotField numFmtId="164"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atients" fld="0" subtotal="count"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History" xr10:uid="{14F48395-1E91-49F2-A773-D9F9D6216A61}" sourceName="Family_History">
  <pivotTables>
    <pivotTable tabId="5" name="PivotTable14"/>
  </pivotTables>
  <data>
    <tabular pivotCacheId="7860770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5329B7-8E7D-4F18-BDC4-81A270F94CCE}" sourceName="Gender">
  <pivotTables>
    <pivotTable tabId="5" name="PivotTable14"/>
  </pivotTables>
  <data>
    <tabular pivotCacheId="7860770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y_History" xr10:uid="{81414859-D674-465D-9417-0A9856890A75}" cache="Slicer_Family_History" caption="Family_History" style="SlicerStyleDark1" rowHeight="241300"/>
  <slicer name="Gender" xr10:uid="{A36D8A1C-2CAD-4DE4-B914-D55DF2740148}" cache="Slicer_Gender" caption="Gend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470F1-D04E-44E3-8ACD-960FE8C68132}" name="Table1" displayName="Table1" ref="A1:Q1201" totalsRowShown="0" headerRowDxfId="45" dataDxfId="44" tableBorderDxfId="43">
  <autoFilter ref="A1:Q1201" xr:uid="{E98470F1-D04E-44E3-8ACD-960FE8C68132}"/>
  <tableColumns count="17">
    <tableColumn id="1" xr3:uid="{B250B624-684B-4B43-A9C7-B9363A4D30AC}" name="Age" dataDxfId="42"/>
    <tableColumn id="2" xr3:uid="{1427092D-F257-4840-8DD1-75926F63C262}" name="Gender" dataDxfId="41"/>
    <tableColumn id="3" xr3:uid="{C108445B-E831-4484-89DA-FE5BE15B2644}" name="Blood_Sugar_Level" dataDxfId="40"/>
    <tableColumn id="4" xr3:uid="{D96DDE38-7EAF-432F-A7CF-19F2FA390F87}" name="BMI" dataDxfId="39"/>
    <tableColumn id="5" xr3:uid="{169082FF-ED50-4B9D-BF32-F91CC85E57EE}" name="Medication" dataDxfId="38"/>
    <tableColumn id="6" xr3:uid="{9FA62742-60D5-438A-8292-E4ED34B521C0}" name="Cholesterol" dataDxfId="37"/>
    <tableColumn id="7" xr3:uid="{DE8BAB9B-032B-496E-823B-4A88CFD4492E}" name="Blood_Pressure" dataDxfId="36"/>
    <tableColumn id="8" xr3:uid="{5B3AFB18-CBF9-4522-A850-FA1317A03945}" name="HbA1c" dataDxfId="35"/>
    <tableColumn id="9" xr3:uid="{7E08FC22-5926-4E0B-898A-6AF9B952C94E}" name="Exercise_Per_Week" dataDxfId="34"/>
    <tableColumn id="10" xr3:uid="{0792C4DF-13E2-4D26-8DAC-0E1FD16881BB}" name="Family_History" dataDxfId="33"/>
    <tableColumn id="11" xr3:uid="{AA705887-8748-4551-B984-61C804D7E186}" name="Smoker" dataDxfId="32"/>
    <tableColumn id="12" xr3:uid="{9420094C-B4F5-4734-B096-416A4CEE3FE7}" name="Blood_Pressure - Copy.1" dataDxfId="31"/>
    <tableColumn id="13" xr3:uid="{3E98EB4A-6384-4F18-9521-45A5CB2DF914}" name="Blood_Pressure - Copy.2" dataDxfId="30"/>
    <tableColumn id="14" xr3:uid="{BB3BBC33-FE3A-4D7E-9F86-AD8654806BBF}" name="Age Range" dataDxfId="29"/>
    <tableColumn id="15" xr3:uid="{5C6A7399-9BE8-4C03-AE14-833C20C83192}" name="HbA1C Cat" dataDxfId="28">
      <calculatedColumnFormula>_xlfn.IFS('Data set'!$H2&lt;5.7,"Normal",'Data set'!$H2&lt;=6.4,"Prediabetes",'Data set'!$H2&lt;=7.5,"Diabetes",'Data set'!$H2&gt;=7.5,"Uncontrolled")</calculatedColumnFormula>
    </tableColumn>
    <tableColumn id="16" xr3:uid="{099F155C-2F5C-4240-BE00-52D36A7ADDD2}" name="Chol Cat" dataDxfId="27">
      <calculatedColumnFormula>_xlfn.IFS('Data set'!$F2&lt;120,"Low",'Data set'!$F2&lt;=200,"Normal",'Data set'!$F2&lt;=240,"Boarderline",'Data set'!$F2&gt;=241,"High")</calculatedColumnFormula>
    </tableColumn>
    <tableColumn id="17" xr3:uid="{BBE22F3E-D0D4-49F9-8BDD-4655650A2491}" name="BMI cat" dataDxfId="26">
      <calculatedColumnFormula>_xlfn.IFS('Data set'!$D2&lt;=18.5,"Low",'Data set'!$D2&lt;=24.9,"Normal",'Data set'!$D2&lt;=29.9,"High",'Data set'!$D2&gt;29.9,"Very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opLeftCell="A2" workbookViewId="0">
      <selection activeCell="E23" sqref="E23"/>
    </sheetView>
  </sheetViews>
  <sheetFormatPr defaultRowHeight="15" x14ac:dyDescent="0.25"/>
  <cols>
    <col min="1" max="1" width="6.7109375" bestFit="1" customWidth="1"/>
    <col min="2" max="2" width="10" bestFit="1" customWidth="1"/>
    <col min="3" max="3" width="20.28515625" bestFit="1" customWidth="1"/>
    <col min="4" max="4" width="6.85546875" style="1" bestFit="1" customWidth="1"/>
    <col min="5" max="5" width="13.42578125" bestFit="1" customWidth="1"/>
    <col min="6" max="6" width="13.5703125" bestFit="1" customWidth="1"/>
    <col min="7" max="7" width="17.28515625" bestFit="1" customWidth="1"/>
    <col min="8" max="8" width="8.85546875" style="1" bestFit="1" customWidth="1"/>
    <col min="9" max="9" width="21.140625" bestFit="1" customWidth="1"/>
    <col min="10" max="10" width="16.5703125" bestFit="1" customWidth="1"/>
    <col min="11" max="11" width="10" bestFit="1" customWidth="1"/>
    <col min="12" max="13" width="25.140625" bestFit="1" customWidth="1"/>
    <col min="14" max="14" width="12.42578125" customWidth="1"/>
    <col min="15" max="15" width="12.28515625" customWidth="1"/>
    <col min="16" max="16" width="10.42578125" customWidth="1"/>
    <col min="17" max="17" width="9.7109375" customWidth="1"/>
  </cols>
  <sheetData>
    <row r="1" spans="1:17" x14ac:dyDescent="0.25">
      <c r="A1" s="9" t="s">
        <v>850</v>
      </c>
      <c r="B1" s="9" t="s">
        <v>851</v>
      </c>
      <c r="C1" s="9" t="s">
        <v>852</v>
      </c>
      <c r="D1" s="10" t="s">
        <v>853</v>
      </c>
      <c r="E1" s="9" t="s">
        <v>854</v>
      </c>
      <c r="F1" s="9" t="s">
        <v>855</v>
      </c>
      <c r="G1" s="9" t="s">
        <v>856</v>
      </c>
      <c r="H1" s="10" t="s">
        <v>857</v>
      </c>
      <c r="I1" s="9" t="s">
        <v>858</v>
      </c>
      <c r="J1" s="9" t="s">
        <v>859</v>
      </c>
      <c r="K1" s="9" t="s">
        <v>860</v>
      </c>
      <c r="L1" s="9" t="s">
        <v>861</v>
      </c>
      <c r="M1" s="9" t="s">
        <v>862</v>
      </c>
      <c r="N1" s="9" t="s">
        <v>864</v>
      </c>
      <c r="O1" s="9" t="s">
        <v>863</v>
      </c>
      <c r="P1" s="9" t="s">
        <v>865</v>
      </c>
      <c r="Q1" s="9" t="s">
        <v>866</v>
      </c>
    </row>
    <row r="2" spans="1:17" x14ac:dyDescent="0.25">
      <c r="A2" s="3">
        <v>77</v>
      </c>
      <c r="B2" s="3" t="s">
        <v>0</v>
      </c>
      <c r="C2" s="4">
        <v>155.68</v>
      </c>
      <c r="D2" s="4">
        <v>25.25</v>
      </c>
      <c r="E2" s="3" t="s">
        <v>1</v>
      </c>
      <c r="F2" s="3">
        <v>253</v>
      </c>
      <c r="G2" s="3" t="s">
        <v>2</v>
      </c>
      <c r="H2" s="4">
        <v>4.83</v>
      </c>
      <c r="I2" s="3">
        <v>7</v>
      </c>
      <c r="J2" s="3" t="s">
        <v>3</v>
      </c>
      <c r="K2" s="3" t="s">
        <v>4</v>
      </c>
      <c r="L2" s="3">
        <v>134</v>
      </c>
      <c r="M2" s="3">
        <v>86</v>
      </c>
      <c r="N2" s="3" t="s">
        <v>5</v>
      </c>
      <c r="O2" s="3" t="str">
        <f>_xlfn.IFS('Data set'!$H2&lt;5.7,"Normal",'Data set'!$H2&lt;=6.4,"Prediabetes",'Data set'!$H2&lt;=7.5,"Diabetes",'Data set'!$H2&gt;=7.5,"Uncontrolled")</f>
        <v>Normal</v>
      </c>
      <c r="P2" s="3" t="str">
        <f>_xlfn.IFS('Data set'!$F2&lt;120,"Low",'Data set'!$F2&lt;=200,"Normal",'Data set'!$F2&lt;=240,"Boarderline",'Data set'!$F2&gt;=241,"High")</f>
        <v>High</v>
      </c>
      <c r="Q2" s="3" t="str">
        <f>_xlfn.IFS('Data set'!$D2&lt;=18.5,"Low",'Data set'!$D2&lt;=24.9,"Normal",'Data set'!$D2&lt;=29.9,"High",'Data set'!$D2&gt;29.9,"Very High")</f>
        <v>High</v>
      </c>
    </row>
    <row r="3" spans="1:17" x14ac:dyDescent="0.25">
      <c r="A3" s="5">
        <v>51</v>
      </c>
      <c r="B3" s="5" t="s">
        <v>0</v>
      </c>
      <c r="C3" s="6">
        <v>219.35</v>
      </c>
      <c r="D3" s="6">
        <v>31.82</v>
      </c>
      <c r="E3" s="5" t="s">
        <v>6</v>
      </c>
      <c r="F3" s="5">
        <v>266</v>
      </c>
      <c r="G3" s="5" t="s">
        <v>7</v>
      </c>
      <c r="H3" s="6">
        <v>4.8899999999999997</v>
      </c>
      <c r="I3" s="5">
        <v>4</v>
      </c>
      <c r="J3" s="5" t="s">
        <v>3</v>
      </c>
      <c r="K3" s="5" t="s">
        <v>4</v>
      </c>
      <c r="L3" s="5">
        <v>102</v>
      </c>
      <c r="M3" s="5">
        <v>64</v>
      </c>
      <c r="N3" s="5" t="s">
        <v>8</v>
      </c>
      <c r="O3" s="5" t="str">
        <f>_xlfn.IFS('Data set'!$H3&lt;5.7,"Normal",'Data set'!$H3&lt;=6.4,"Prediabetes",'Data set'!$H3&lt;=7.5,"Diabetes",'Data set'!$H3&gt;=7.5,"Uncontrolled")</f>
        <v>Normal</v>
      </c>
      <c r="P3" s="5" t="str">
        <f>_xlfn.IFS('Data set'!$F3&lt;120,"Low",'Data set'!$F3&lt;=200,"Normal",'Data set'!$F3&lt;=240,"Boarderline",'Data set'!$F3&gt;=241,"High")</f>
        <v>High</v>
      </c>
      <c r="Q3" s="5" t="str">
        <f>_xlfn.IFS('Data set'!$D3&lt;=18.5,"Low",'Data set'!$D3&lt;=24.9,"Normal",'Data set'!$D3&lt;=29.9,"High",'Data set'!$D3&gt;29.9,"Very High")</f>
        <v>Very High</v>
      </c>
    </row>
    <row r="4" spans="1:17" x14ac:dyDescent="0.25">
      <c r="A4" s="3">
        <v>39</v>
      </c>
      <c r="B4" s="3" t="s">
        <v>9</v>
      </c>
      <c r="C4" s="4">
        <v>203.62</v>
      </c>
      <c r="D4" s="4">
        <v>34.22</v>
      </c>
      <c r="E4" s="3" t="s">
        <v>10</v>
      </c>
      <c r="F4" s="3">
        <v>158</v>
      </c>
      <c r="G4" s="3" t="s">
        <v>11</v>
      </c>
      <c r="H4" s="4">
        <v>9.1999999999999993</v>
      </c>
      <c r="I4" s="3">
        <v>3</v>
      </c>
      <c r="J4" s="3" t="s">
        <v>3</v>
      </c>
      <c r="K4" s="3" t="s">
        <v>3</v>
      </c>
      <c r="L4" s="3">
        <v>92</v>
      </c>
      <c r="M4" s="3">
        <v>80</v>
      </c>
      <c r="N4" s="3" t="s">
        <v>12</v>
      </c>
      <c r="O4" s="3" t="str">
        <f>_xlfn.IFS('Data set'!$H4&lt;5.7,"Normal",'Data set'!$H4&lt;=6.4,"Prediabetes",'Data set'!$H4&lt;=7.5,"Diabetes",'Data set'!$H4&gt;=7.5,"Uncontrolled")</f>
        <v>Uncontrolled</v>
      </c>
      <c r="P4" s="3" t="str">
        <f>_xlfn.IFS('Data set'!$F4&lt;120,"Low",'Data set'!$F4&lt;=200,"Normal",'Data set'!$F4&lt;=240,"Boarderline",'Data set'!$F4&gt;=241,"High")</f>
        <v>Normal</v>
      </c>
      <c r="Q4" s="3" t="str">
        <f>_xlfn.IFS('Data set'!$D4&lt;=18.5,"Low",'Data set'!$D4&lt;=24.9,"Normal",'Data set'!$D4&lt;=29.9,"High",'Data set'!$D4&gt;29.9,"Very High")</f>
        <v>Very High</v>
      </c>
    </row>
    <row r="5" spans="1:17" x14ac:dyDescent="0.25">
      <c r="A5" s="5">
        <v>60</v>
      </c>
      <c r="B5" s="5" t="s">
        <v>0</v>
      </c>
      <c r="C5" s="6">
        <v>126.06</v>
      </c>
      <c r="D5" s="6">
        <v>39.880000000000003</v>
      </c>
      <c r="E5" s="5" t="s">
        <v>6</v>
      </c>
      <c r="F5" s="5">
        <v>149</v>
      </c>
      <c r="G5" s="5" t="s">
        <v>13</v>
      </c>
      <c r="H5" s="6">
        <v>5.21</v>
      </c>
      <c r="I5" s="5">
        <v>4</v>
      </c>
      <c r="J5" s="5" t="s">
        <v>4</v>
      </c>
      <c r="K5" s="5" t="s">
        <v>4</v>
      </c>
      <c r="L5" s="5">
        <v>115</v>
      </c>
      <c r="M5" s="5">
        <v>73</v>
      </c>
      <c r="N5" s="5" t="s">
        <v>8</v>
      </c>
      <c r="O5" s="5" t="str">
        <f>_xlfn.IFS('Data set'!$H5&lt;5.7,"Normal",'Data set'!$H5&lt;=6.4,"Prediabetes",'Data set'!$H5&lt;=7.5,"Diabetes",'Data set'!$H5&gt;=7.5,"Uncontrolled")</f>
        <v>Normal</v>
      </c>
      <c r="P5" s="5" t="str">
        <f>_xlfn.IFS('Data set'!$F5&lt;120,"Low",'Data set'!$F5&lt;=200,"Normal",'Data set'!$F5&lt;=240,"Boarderline",'Data set'!$F5&gt;=241,"High")</f>
        <v>Normal</v>
      </c>
      <c r="Q5" s="5" t="str">
        <f>_xlfn.IFS('Data set'!$D5&lt;=18.5,"Low",'Data set'!$D5&lt;=24.9,"Normal",'Data set'!$D5&lt;=29.9,"High",'Data set'!$D5&gt;29.9,"Very High")</f>
        <v>Very High</v>
      </c>
    </row>
    <row r="6" spans="1:17" x14ac:dyDescent="0.25">
      <c r="A6" s="3">
        <v>76</v>
      </c>
      <c r="B6" s="3" t="s">
        <v>9</v>
      </c>
      <c r="C6" s="4">
        <v>120.45</v>
      </c>
      <c r="D6" s="4">
        <v>27.74</v>
      </c>
      <c r="E6" s="3" t="s">
        <v>14</v>
      </c>
      <c r="F6" s="3">
        <v>254</v>
      </c>
      <c r="G6" s="3" t="s">
        <v>15</v>
      </c>
      <c r="H6" s="4">
        <v>7.56</v>
      </c>
      <c r="I6" s="3">
        <v>2</v>
      </c>
      <c r="J6" s="3" t="s">
        <v>3</v>
      </c>
      <c r="K6" s="3" t="s">
        <v>3</v>
      </c>
      <c r="L6" s="3">
        <v>121</v>
      </c>
      <c r="M6" s="3">
        <v>73</v>
      </c>
      <c r="N6" s="3" t="s">
        <v>5</v>
      </c>
      <c r="O6" s="3" t="str">
        <f>_xlfn.IFS('Data set'!$H6&lt;5.7,"Normal",'Data set'!$H6&lt;=6.4,"Prediabetes",'Data set'!$H6&lt;=7.5,"Diabetes",'Data set'!$H6&gt;=7.5,"Uncontrolled")</f>
        <v>Uncontrolled</v>
      </c>
      <c r="P6" s="3" t="str">
        <f>_xlfn.IFS('Data set'!$F6&lt;120,"Low",'Data set'!$F6&lt;=200,"Normal",'Data set'!$F6&lt;=240,"Boarderline",'Data set'!$F6&gt;=241,"High")</f>
        <v>High</v>
      </c>
      <c r="Q6" s="3" t="str">
        <f>_xlfn.IFS('Data set'!$D6&lt;=18.5,"Low",'Data set'!$D6&lt;=24.9,"Normal",'Data set'!$D6&lt;=29.9,"High",'Data set'!$D6&gt;29.9,"Very High")</f>
        <v>High</v>
      </c>
    </row>
    <row r="7" spans="1:17" x14ac:dyDescent="0.25">
      <c r="A7" s="5">
        <v>19</v>
      </c>
      <c r="B7" s="5" t="s">
        <v>9</v>
      </c>
      <c r="C7" s="6">
        <v>106.09</v>
      </c>
      <c r="D7" s="6">
        <v>22.48</v>
      </c>
      <c r="E7" s="5" t="s">
        <v>6</v>
      </c>
      <c r="F7" s="5">
        <v>150</v>
      </c>
      <c r="G7" s="5" t="s">
        <v>16</v>
      </c>
      <c r="H7" s="6">
        <v>9.0399999999999991</v>
      </c>
      <c r="I7" s="5">
        <v>2</v>
      </c>
      <c r="J7" s="5" t="s">
        <v>4</v>
      </c>
      <c r="K7" s="5" t="s">
        <v>3</v>
      </c>
      <c r="L7" s="5">
        <v>123</v>
      </c>
      <c r="M7" s="5">
        <v>85</v>
      </c>
      <c r="N7" s="5" t="s">
        <v>17</v>
      </c>
      <c r="O7" s="5" t="str">
        <f>_xlfn.IFS('Data set'!$H7&lt;5.7,"Normal",'Data set'!$H7&lt;=6.4,"Prediabetes",'Data set'!$H7&lt;=7.5,"Diabetes",'Data set'!$H7&gt;=7.5,"Uncontrolled")</f>
        <v>Uncontrolled</v>
      </c>
      <c r="P7" s="5" t="str">
        <f>_xlfn.IFS('Data set'!$F7&lt;120,"Low",'Data set'!$F7&lt;=200,"Normal",'Data set'!$F7&lt;=240,"Boarderline",'Data set'!$F7&gt;=241,"High")</f>
        <v>Normal</v>
      </c>
      <c r="Q7" s="5" t="str">
        <f>_xlfn.IFS('Data set'!$D7&lt;=18.5,"Low",'Data set'!$D7&lt;=24.9,"Normal",'Data set'!$D7&lt;=29.9,"High",'Data set'!$D7&gt;29.9,"Very High")</f>
        <v>Normal</v>
      </c>
    </row>
    <row r="8" spans="1:17" x14ac:dyDescent="0.25">
      <c r="A8" s="3">
        <v>29</v>
      </c>
      <c r="B8" s="3" t="s">
        <v>0</v>
      </c>
      <c r="C8" s="4">
        <v>287.52</v>
      </c>
      <c r="D8" s="4">
        <v>19.72</v>
      </c>
      <c r="E8" s="3" t="s">
        <v>14</v>
      </c>
      <c r="F8" s="3">
        <v>179</v>
      </c>
      <c r="G8" s="3" t="s">
        <v>18</v>
      </c>
      <c r="H8" s="4">
        <v>5.98</v>
      </c>
      <c r="I8" s="3">
        <v>1</v>
      </c>
      <c r="J8" s="3" t="s">
        <v>4</v>
      </c>
      <c r="K8" s="3" t="s">
        <v>4</v>
      </c>
      <c r="L8" s="3">
        <v>119</v>
      </c>
      <c r="M8" s="3">
        <v>70</v>
      </c>
      <c r="N8" s="3" t="s">
        <v>17</v>
      </c>
      <c r="O8" s="3" t="str">
        <f>_xlfn.IFS('Data set'!$H8&lt;5.7,"Normal",'Data set'!$H8&lt;=6.4,"Prediabetes",'Data set'!$H8&lt;=7.5,"Diabetes",'Data set'!$H8&gt;=7.5,"Uncontrolled")</f>
        <v>Prediabetes</v>
      </c>
      <c r="P8" s="3" t="str">
        <f>_xlfn.IFS('Data set'!$F8&lt;120,"Low",'Data set'!$F8&lt;=200,"Normal",'Data set'!$F8&lt;=240,"Boarderline",'Data set'!$F8&gt;=241,"High")</f>
        <v>Normal</v>
      </c>
      <c r="Q8" s="3" t="str">
        <f>_xlfn.IFS('Data set'!$D8&lt;=18.5,"Low",'Data set'!$D8&lt;=24.9,"Normal",'Data set'!$D8&lt;=29.9,"High",'Data set'!$D8&gt;29.9,"Very High")</f>
        <v>Normal</v>
      </c>
    </row>
    <row r="9" spans="1:17" x14ac:dyDescent="0.25">
      <c r="A9" s="5">
        <v>21</v>
      </c>
      <c r="B9" s="5" t="s">
        <v>9</v>
      </c>
      <c r="C9" s="6">
        <v>168.81</v>
      </c>
      <c r="D9" s="6">
        <v>30.75</v>
      </c>
      <c r="E9" s="5" t="s">
        <v>6</v>
      </c>
      <c r="F9" s="5">
        <v>232</v>
      </c>
      <c r="G9" s="5" t="s">
        <v>19</v>
      </c>
      <c r="H9" s="6">
        <v>4.04</v>
      </c>
      <c r="I9" s="5">
        <v>6</v>
      </c>
      <c r="J9" s="5" t="s">
        <v>4</v>
      </c>
      <c r="K9" s="5" t="s">
        <v>4</v>
      </c>
      <c r="L9" s="5">
        <v>120</v>
      </c>
      <c r="M9" s="5">
        <v>83</v>
      </c>
      <c r="N9" s="5" t="s">
        <v>17</v>
      </c>
      <c r="O9" s="5" t="str">
        <f>_xlfn.IFS('Data set'!$H9&lt;5.7,"Normal",'Data set'!$H9&lt;=6.4,"Prediabetes",'Data set'!$H9&lt;=7.5,"Diabetes",'Data set'!$H9&gt;=7.5,"Uncontrolled")</f>
        <v>Normal</v>
      </c>
      <c r="P9" s="5" t="str">
        <f>_xlfn.IFS('Data set'!$F9&lt;120,"Low",'Data set'!$F9&lt;=200,"Normal",'Data set'!$F9&lt;=240,"Boarderline",'Data set'!$F9&gt;=241,"High")</f>
        <v>Boarderline</v>
      </c>
      <c r="Q9" s="5" t="str">
        <f>_xlfn.IFS('Data set'!$D9&lt;=18.5,"Low",'Data set'!$D9&lt;=24.9,"Normal",'Data set'!$D9&lt;=29.9,"High",'Data set'!$D9&gt;29.9,"Very High")</f>
        <v>Very High</v>
      </c>
    </row>
    <row r="10" spans="1:17" x14ac:dyDescent="0.25">
      <c r="A10" s="3">
        <v>68</v>
      </c>
      <c r="B10" s="3" t="s">
        <v>9</v>
      </c>
      <c r="C10" s="4">
        <v>91.95</v>
      </c>
      <c r="D10" s="4">
        <v>34.71</v>
      </c>
      <c r="E10" s="3" t="s">
        <v>6</v>
      </c>
      <c r="F10" s="3">
        <v>222</v>
      </c>
      <c r="G10" s="3" t="s">
        <v>20</v>
      </c>
      <c r="H10" s="4">
        <v>9.52</v>
      </c>
      <c r="I10" s="3">
        <v>1</v>
      </c>
      <c r="J10" s="3" t="s">
        <v>3</v>
      </c>
      <c r="K10" s="3" t="s">
        <v>3</v>
      </c>
      <c r="L10" s="3">
        <v>93</v>
      </c>
      <c r="M10" s="3">
        <v>85</v>
      </c>
      <c r="N10" s="3" t="s">
        <v>21</v>
      </c>
      <c r="O10" s="3" t="str">
        <f>_xlfn.IFS('Data set'!$H10&lt;5.7,"Normal",'Data set'!$H10&lt;=6.4,"Prediabetes",'Data set'!$H10&lt;=7.5,"Diabetes",'Data set'!$H10&gt;=7.5,"Uncontrolled")</f>
        <v>Uncontrolled</v>
      </c>
      <c r="P10" s="3" t="str">
        <f>_xlfn.IFS('Data set'!$F10&lt;120,"Low",'Data set'!$F10&lt;=200,"Normal",'Data set'!$F10&lt;=240,"Boarderline",'Data set'!$F10&gt;=241,"High")</f>
        <v>Boarderline</v>
      </c>
      <c r="Q10" s="3" t="str">
        <f>_xlfn.IFS('Data set'!$D10&lt;=18.5,"Low",'Data set'!$D10&lt;=24.9,"Normal",'Data set'!$D10&lt;=29.9,"High",'Data set'!$D10&gt;29.9,"Very High")</f>
        <v>Very High</v>
      </c>
    </row>
    <row r="11" spans="1:17" x14ac:dyDescent="0.25">
      <c r="A11" s="5">
        <v>46</v>
      </c>
      <c r="B11" s="5" t="s">
        <v>9</v>
      </c>
      <c r="C11" s="6">
        <v>245.84</v>
      </c>
      <c r="D11" s="6">
        <v>27.47</v>
      </c>
      <c r="E11" s="5" t="s">
        <v>10</v>
      </c>
      <c r="F11" s="5">
        <v>147</v>
      </c>
      <c r="G11" s="5" t="s">
        <v>22</v>
      </c>
      <c r="H11" s="6">
        <v>7.43</v>
      </c>
      <c r="I11" s="5">
        <v>6</v>
      </c>
      <c r="J11" s="5" t="s">
        <v>3</v>
      </c>
      <c r="K11" s="5" t="s">
        <v>4</v>
      </c>
      <c r="L11" s="5">
        <v>98</v>
      </c>
      <c r="M11" s="5">
        <v>60</v>
      </c>
      <c r="N11" s="5" t="s">
        <v>23</v>
      </c>
      <c r="O11" s="5" t="str">
        <f>_xlfn.IFS('Data set'!$H11&lt;5.7,"Normal",'Data set'!$H11&lt;=6.4,"Prediabetes",'Data set'!$H11&lt;=7.5,"Diabetes",'Data set'!$H11&gt;=7.5,"Uncontrolled")</f>
        <v>Diabetes</v>
      </c>
      <c r="P11" s="5" t="str">
        <f>_xlfn.IFS('Data set'!$F11&lt;120,"Low",'Data set'!$F11&lt;=200,"Normal",'Data set'!$F11&lt;=240,"Boarderline",'Data set'!$F11&gt;=241,"High")</f>
        <v>Normal</v>
      </c>
      <c r="Q11" s="5" t="str">
        <f>_xlfn.IFS('Data set'!$D11&lt;=18.5,"Low",'Data set'!$D11&lt;=24.9,"Normal",'Data set'!$D11&lt;=29.9,"High",'Data set'!$D11&gt;29.9,"Very High")</f>
        <v>High</v>
      </c>
    </row>
    <row r="12" spans="1:17" x14ac:dyDescent="0.25">
      <c r="A12" s="3">
        <v>80</v>
      </c>
      <c r="B12" s="3" t="s">
        <v>9</v>
      </c>
      <c r="C12" s="4">
        <v>80.260000000000005</v>
      </c>
      <c r="D12" s="4">
        <v>26.49</v>
      </c>
      <c r="E12" s="3" t="s">
        <v>6</v>
      </c>
      <c r="F12" s="3">
        <v>252</v>
      </c>
      <c r="G12" s="3" t="s">
        <v>24</v>
      </c>
      <c r="H12" s="4">
        <v>5.4</v>
      </c>
      <c r="I12" s="3">
        <v>4</v>
      </c>
      <c r="J12" s="3" t="s">
        <v>4</v>
      </c>
      <c r="K12" s="3" t="s">
        <v>3</v>
      </c>
      <c r="L12" s="3">
        <v>109</v>
      </c>
      <c r="M12" s="3">
        <v>63</v>
      </c>
      <c r="N12" s="3" t="s">
        <v>5</v>
      </c>
      <c r="O12" s="3" t="str">
        <f>_xlfn.IFS('Data set'!$H12&lt;5.7,"Normal",'Data set'!$H12&lt;=6.4,"Prediabetes",'Data set'!$H12&lt;=7.5,"Diabetes",'Data set'!$H12&gt;=7.5,"Uncontrolled")</f>
        <v>Normal</v>
      </c>
      <c r="P12" s="3" t="str">
        <f>_xlfn.IFS('Data set'!$F12&lt;120,"Low",'Data set'!$F12&lt;=200,"Normal",'Data set'!$F12&lt;=240,"Boarderline",'Data set'!$F12&gt;=241,"High")</f>
        <v>High</v>
      </c>
      <c r="Q12" s="3" t="str">
        <f>_xlfn.IFS('Data set'!$D12&lt;=18.5,"Low",'Data set'!$D12&lt;=24.9,"Normal",'Data set'!$D12&lt;=29.9,"High",'Data set'!$D12&gt;29.9,"Very High")</f>
        <v>High</v>
      </c>
    </row>
    <row r="13" spans="1:17" x14ac:dyDescent="0.25">
      <c r="A13" s="5">
        <v>59</v>
      </c>
      <c r="B13" s="5" t="s">
        <v>0</v>
      </c>
      <c r="C13" s="6">
        <v>233.47</v>
      </c>
      <c r="D13" s="6">
        <v>31.75</v>
      </c>
      <c r="E13" s="5" t="s">
        <v>14</v>
      </c>
      <c r="F13" s="5">
        <v>281</v>
      </c>
      <c r="G13" s="5" t="s">
        <v>25</v>
      </c>
      <c r="H13" s="6">
        <v>6.06</v>
      </c>
      <c r="I13" s="5">
        <v>6</v>
      </c>
      <c r="J13" s="5" t="s">
        <v>4</v>
      </c>
      <c r="K13" s="5" t="s">
        <v>4</v>
      </c>
      <c r="L13" s="5">
        <v>101</v>
      </c>
      <c r="M13" s="5">
        <v>60</v>
      </c>
      <c r="N13" s="5" t="s">
        <v>8</v>
      </c>
      <c r="O13" s="5" t="str">
        <f>_xlfn.IFS('Data set'!$H13&lt;5.7,"Normal",'Data set'!$H13&lt;=6.4,"Prediabetes",'Data set'!$H13&lt;=7.5,"Diabetes",'Data set'!$H13&gt;=7.5,"Uncontrolled")</f>
        <v>Prediabetes</v>
      </c>
      <c r="P13" s="5" t="str">
        <f>_xlfn.IFS('Data set'!$F13&lt;120,"Low",'Data set'!$F13&lt;=200,"Normal",'Data set'!$F13&lt;=240,"Boarderline",'Data set'!$F13&gt;=241,"High")</f>
        <v>High</v>
      </c>
      <c r="Q13" s="5" t="str">
        <f>_xlfn.IFS('Data set'!$D13&lt;=18.5,"Low",'Data set'!$D13&lt;=24.9,"Normal",'Data set'!$D13&lt;=29.9,"High",'Data set'!$D13&gt;29.9,"Very High")</f>
        <v>Very High</v>
      </c>
    </row>
    <row r="14" spans="1:17" x14ac:dyDescent="0.25">
      <c r="A14" s="3">
        <v>55</v>
      </c>
      <c r="B14" s="3" t="s">
        <v>9</v>
      </c>
      <c r="C14" s="4">
        <v>254.45</v>
      </c>
      <c r="D14" s="4">
        <v>38.6</v>
      </c>
      <c r="E14" s="3" t="s">
        <v>14</v>
      </c>
      <c r="F14" s="3">
        <v>194</v>
      </c>
      <c r="G14" s="3" t="s">
        <v>26</v>
      </c>
      <c r="H14" s="4">
        <v>5.99</v>
      </c>
      <c r="I14" s="3">
        <v>5</v>
      </c>
      <c r="J14" s="3" t="s">
        <v>4</v>
      </c>
      <c r="K14" s="3" t="s">
        <v>4</v>
      </c>
      <c r="L14" s="3">
        <v>103</v>
      </c>
      <c r="M14" s="3">
        <v>88</v>
      </c>
      <c r="N14" s="3" t="s">
        <v>8</v>
      </c>
      <c r="O14" s="3" t="str">
        <f>_xlfn.IFS('Data set'!$H14&lt;5.7,"Normal",'Data set'!$H14&lt;=6.4,"Prediabetes",'Data set'!$H14&lt;=7.5,"Diabetes",'Data set'!$H14&gt;=7.5,"Uncontrolled")</f>
        <v>Prediabetes</v>
      </c>
      <c r="P14" s="3" t="str">
        <f>_xlfn.IFS('Data set'!$F14&lt;120,"Low",'Data set'!$F14&lt;=200,"Normal",'Data set'!$F14&lt;=240,"Boarderline",'Data set'!$F14&gt;=241,"High")</f>
        <v>Normal</v>
      </c>
      <c r="Q14" s="3" t="str">
        <f>_xlfn.IFS('Data set'!$D14&lt;=18.5,"Low",'Data set'!$D14&lt;=24.9,"Normal",'Data set'!$D14&lt;=29.9,"High",'Data set'!$D14&gt;29.9,"Very High")</f>
        <v>Very High</v>
      </c>
    </row>
    <row r="15" spans="1:17" x14ac:dyDescent="0.25">
      <c r="A15" s="5">
        <v>52</v>
      </c>
      <c r="B15" s="5" t="s">
        <v>9</v>
      </c>
      <c r="C15" s="6">
        <v>171.49</v>
      </c>
      <c r="D15" s="6">
        <v>38.9</v>
      </c>
      <c r="E15" s="5" t="s">
        <v>6</v>
      </c>
      <c r="F15" s="5">
        <v>254</v>
      </c>
      <c r="G15" s="5" t="s">
        <v>27</v>
      </c>
      <c r="H15" s="6">
        <v>6.92</v>
      </c>
      <c r="I15" s="5">
        <v>2</v>
      </c>
      <c r="J15" s="5" t="s">
        <v>3</v>
      </c>
      <c r="K15" s="5" t="s">
        <v>4</v>
      </c>
      <c r="L15" s="5">
        <v>122</v>
      </c>
      <c r="M15" s="5">
        <v>84</v>
      </c>
      <c r="N15" s="5" t="s">
        <v>8</v>
      </c>
      <c r="O15" s="5" t="str">
        <f>_xlfn.IFS('Data set'!$H15&lt;5.7,"Normal",'Data set'!$H15&lt;=6.4,"Prediabetes",'Data set'!$H15&lt;=7.5,"Diabetes",'Data set'!$H15&gt;=7.5,"Uncontrolled")</f>
        <v>Diabetes</v>
      </c>
      <c r="P15" s="5" t="str">
        <f>_xlfn.IFS('Data set'!$F15&lt;120,"Low",'Data set'!$F15&lt;=200,"Normal",'Data set'!$F15&lt;=240,"Boarderline",'Data set'!$F15&gt;=241,"High")</f>
        <v>High</v>
      </c>
      <c r="Q15" s="5" t="str">
        <f>_xlfn.IFS('Data set'!$D15&lt;=18.5,"Low",'Data set'!$D15&lt;=24.9,"Normal",'Data set'!$D15&lt;=29.9,"High",'Data set'!$D15&gt;29.9,"Very High")</f>
        <v>Very High</v>
      </c>
    </row>
    <row r="16" spans="1:17" x14ac:dyDescent="0.25">
      <c r="A16" s="3">
        <v>28</v>
      </c>
      <c r="B16" s="3" t="s">
        <v>0</v>
      </c>
      <c r="C16" s="4">
        <v>176.03</v>
      </c>
      <c r="D16" s="4">
        <v>22.23</v>
      </c>
      <c r="E16" s="3" t="s">
        <v>10</v>
      </c>
      <c r="F16" s="3">
        <v>181</v>
      </c>
      <c r="G16" s="3" t="s">
        <v>28</v>
      </c>
      <c r="H16" s="4">
        <v>9.4499999999999993</v>
      </c>
      <c r="I16" s="3">
        <v>5</v>
      </c>
      <c r="J16" s="3" t="s">
        <v>3</v>
      </c>
      <c r="K16" s="3" t="s">
        <v>3</v>
      </c>
      <c r="L16" s="3">
        <v>107</v>
      </c>
      <c r="M16" s="3">
        <v>66</v>
      </c>
      <c r="N16" s="3" t="s">
        <v>17</v>
      </c>
      <c r="O16" s="3" t="str">
        <f>_xlfn.IFS('Data set'!$H16&lt;5.7,"Normal",'Data set'!$H16&lt;=6.4,"Prediabetes",'Data set'!$H16&lt;=7.5,"Diabetes",'Data set'!$H16&gt;=7.5,"Uncontrolled")</f>
        <v>Uncontrolled</v>
      </c>
      <c r="P16" s="3" t="str">
        <f>_xlfn.IFS('Data set'!$F16&lt;120,"Low",'Data set'!$F16&lt;=200,"Normal",'Data set'!$F16&lt;=240,"Boarderline",'Data set'!$F16&gt;=241,"High")</f>
        <v>Normal</v>
      </c>
      <c r="Q16" s="3" t="str">
        <f>_xlfn.IFS('Data set'!$D16&lt;=18.5,"Low",'Data set'!$D16&lt;=24.9,"Normal",'Data set'!$D16&lt;=29.9,"High",'Data set'!$D16&gt;29.9,"Very High")</f>
        <v>Normal</v>
      </c>
    </row>
    <row r="17" spans="1:17" x14ac:dyDescent="0.25">
      <c r="A17" s="5">
        <v>77</v>
      </c>
      <c r="B17" s="5" t="s">
        <v>9</v>
      </c>
      <c r="C17" s="6">
        <v>132.49</v>
      </c>
      <c r="D17" s="6">
        <v>38.200000000000003</v>
      </c>
      <c r="E17" s="5" t="s">
        <v>1</v>
      </c>
      <c r="F17" s="5">
        <v>147</v>
      </c>
      <c r="G17" s="5" t="s">
        <v>29</v>
      </c>
      <c r="H17" s="6">
        <v>5.55</v>
      </c>
      <c r="I17" s="5">
        <v>4</v>
      </c>
      <c r="J17" s="5" t="s">
        <v>4</v>
      </c>
      <c r="K17" s="5" t="s">
        <v>4</v>
      </c>
      <c r="L17" s="5">
        <v>137</v>
      </c>
      <c r="M17" s="5">
        <v>70</v>
      </c>
      <c r="N17" s="5" t="s">
        <v>5</v>
      </c>
      <c r="O17" s="5" t="str">
        <f>_xlfn.IFS('Data set'!$H17&lt;5.7,"Normal",'Data set'!$H17&lt;=6.4,"Prediabetes",'Data set'!$H17&lt;=7.5,"Diabetes",'Data set'!$H17&gt;=7.5,"Uncontrolled")</f>
        <v>Normal</v>
      </c>
      <c r="P17" s="5" t="str">
        <f>_xlfn.IFS('Data set'!$F17&lt;120,"Low",'Data set'!$F17&lt;=200,"Normal",'Data set'!$F17&lt;=240,"Boarderline",'Data set'!$F17&gt;=241,"High")</f>
        <v>Normal</v>
      </c>
      <c r="Q17" s="5" t="str">
        <f>_xlfn.IFS('Data set'!$D17&lt;=18.5,"Low",'Data set'!$D17&lt;=24.9,"Normal",'Data set'!$D17&lt;=29.9,"High",'Data set'!$D17&gt;29.9,"Very High")</f>
        <v>Very High</v>
      </c>
    </row>
    <row r="18" spans="1:17" x14ac:dyDescent="0.25">
      <c r="A18" s="3">
        <v>73</v>
      </c>
      <c r="B18" s="3" t="s">
        <v>9</v>
      </c>
      <c r="C18" s="4">
        <v>244.04</v>
      </c>
      <c r="D18" s="4">
        <v>35.18</v>
      </c>
      <c r="E18" s="3" t="s">
        <v>10</v>
      </c>
      <c r="F18" s="3">
        <v>179</v>
      </c>
      <c r="G18" s="3" t="s">
        <v>30</v>
      </c>
      <c r="H18" s="4">
        <v>8.99</v>
      </c>
      <c r="I18" s="3">
        <v>0</v>
      </c>
      <c r="J18" s="3" t="s">
        <v>4</v>
      </c>
      <c r="K18" s="3" t="s">
        <v>4</v>
      </c>
      <c r="L18" s="3">
        <v>120</v>
      </c>
      <c r="M18" s="3">
        <v>64</v>
      </c>
      <c r="N18" s="3" t="s">
        <v>5</v>
      </c>
      <c r="O18" s="3" t="str">
        <f>_xlfn.IFS('Data set'!$H18&lt;5.7,"Normal",'Data set'!$H18&lt;=6.4,"Prediabetes",'Data set'!$H18&lt;=7.5,"Diabetes",'Data set'!$H18&gt;=7.5,"Uncontrolled")</f>
        <v>Uncontrolled</v>
      </c>
      <c r="P18" s="3" t="str">
        <f>_xlfn.IFS('Data set'!$F18&lt;120,"Low",'Data set'!$F18&lt;=200,"Normal",'Data set'!$F18&lt;=240,"Boarderline",'Data set'!$F18&gt;=241,"High")</f>
        <v>Normal</v>
      </c>
      <c r="Q18" s="3" t="str">
        <f>_xlfn.IFS('Data set'!$D18&lt;=18.5,"Low",'Data set'!$D18&lt;=24.9,"Normal",'Data set'!$D18&lt;=29.9,"High",'Data set'!$D18&gt;29.9,"Very High")</f>
        <v>Very High</v>
      </c>
    </row>
    <row r="19" spans="1:17" x14ac:dyDescent="0.25">
      <c r="A19" s="5">
        <v>62</v>
      </c>
      <c r="B19" s="5" t="s">
        <v>9</v>
      </c>
      <c r="C19" s="6">
        <v>155.29</v>
      </c>
      <c r="D19" s="6">
        <v>31.93</v>
      </c>
      <c r="E19" s="5" t="s">
        <v>6</v>
      </c>
      <c r="F19" s="5">
        <v>166</v>
      </c>
      <c r="G19" s="5" t="s">
        <v>31</v>
      </c>
      <c r="H19" s="6">
        <v>8.15</v>
      </c>
      <c r="I19" s="5">
        <v>2</v>
      </c>
      <c r="J19" s="5" t="s">
        <v>3</v>
      </c>
      <c r="K19" s="5" t="s">
        <v>4</v>
      </c>
      <c r="L19" s="5">
        <v>123</v>
      </c>
      <c r="M19" s="5">
        <v>64</v>
      </c>
      <c r="N19" s="5" t="s">
        <v>21</v>
      </c>
      <c r="O19" s="5" t="str">
        <f>_xlfn.IFS('Data set'!$H19&lt;5.7,"Normal",'Data set'!$H19&lt;=6.4,"Prediabetes",'Data set'!$H19&lt;=7.5,"Diabetes",'Data set'!$H19&gt;=7.5,"Uncontrolled")</f>
        <v>Uncontrolled</v>
      </c>
      <c r="P19" s="5" t="str">
        <f>_xlfn.IFS('Data set'!$F19&lt;120,"Low",'Data set'!$F19&lt;=200,"Normal",'Data set'!$F19&lt;=240,"Boarderline",'Data set'!$F19&gt;=241,"High")</f>
        <v>Normal</v>
      </c>
      <c r="Q19" s="5" t="str">
        <f>_xlfn.IFS('Data set'!$D19&lt;=18.5,"Low",'Data set'!$D19&lt;=24.9,"Normal",'Data set'!$D19&lt;=29.9,"High",'Data set'!$D19&gt;29.9,"Very High")</f>
        <v>Very High</v>
      </c>
    </row>
    <row r="20" spans="1:17" x14ac:dyDescent="0.25">
      <c r="A20" s="3">
        <v>72</v>
      </c>
      <c r="B20" s="3" t="s">
        <v>0</v>
      </c>
      <c r="C20" s="4">
        <v>178.48</v>
      </c>
      <c r="D20" s="4">
        <v>29.96</v>
      </c>
      <c r="E20" s="3" t="s">
        <v>1</v>
      </c>
      <c r="F20" s="3">
        <v>193</v>
      </c>
      <c r="G20" s="3" t="s">
        <v>32</v>
      </c>
      <c r="H20" s="4">
        <v>9.43</v>
      </c>
      <c r="I20" s="3">
        <v>1</v>
      </c>
      <c r="J20" s="3" t="s">
        <v>4</v>
      </c>
      <c r="K20" s="3" t="s">
        <v>4</v>
      </c>
      <c r="L20" s="3">
        <v>139</v>
      </c>
      <c r="M20" s="3">
        <v>64</v>
      </c>
      <c r="N20" s="3" t="s">
        <v>5</v>
      </c>
      <c r="O20" s="3" t="str">
        <f>_xlfn.IFS('Data set'!$H20&lt;5.7,"Normal",'Data set'!$H20&lt;=6.4,"Prediabetes",'Data set'!$H20&lt;=7.5,"Diabetes",'Data set'!$H20&gt;=7.5,"Uncontrolled")</f>
        <v>Uncontrolled</v>
      </c>
      <c r="P20" s="3" t="str">
        <f>_xlfn.IFS('Data set'!$F20&lt;120,"Low",'Data set'!$F20&lt;=200,"Normal",'Data set'!$F20&lt;=240,"Boarderline",'Data set'!$F20&gt;=241,"High")</f>
        <v>Normal</v>
      </c>
      <c r="Q20" s="3" t="str">
        <f>_xlfn.IFS('Data set'!$D20&lt;=18.5,"Low",'Data set'!$D20&lt;=24.9,"Normal",'Data set'!$D20&lt;=29.9,"High",'Data set'!$D20&gt;29.9,"Very High")</f>
        <v>Very High</v>
      </c>
    </row>
    <row r="21" spans="1:17" x14ac:dyDescent="0.25">
      <c r="A21" s="5">
        <v>76</v>
      </c>
      <c r="B21" s="5" t="s">
        <v>9</v>
      </c>
      <c r="C21" s="6">
        <v>188.59</v>
      </c>
      <c r="D21" s="6">
        <v>31.69</v>
      </c>
      <c r="E21" s="5" t="s">
        <v>1</v>
      </c>
      <c r="F21" s="5">
        <v>246</v>
      </c>
      <c r="G21" s="5" t="s">
        <v>33</v>
      </c>
      <c r="H21" s="6">
        <v>7.46</v>
      </c>
      <c r="I21" s="5">
        <v>3</v>
      </c>
      <c r="J21" s="5" t="s">
        <v>3</v>
      </c>
      <c r="K21" s="5" t="s">
        <v>4</v>
      </c>
      <c r="L21" s="5">
        <v>137</v>
      </c>
      <c r="M21" s="5">
        <v>82</v>
      </c>
      <c r="N21" s="5" t="s">
        <v>5</v>
      </c>
      <c r="O21" s="5" t="str">
        <f>_xlfn.IFS('Data set'!$H21&lt;5.7,"Normal",'Data set'!$H21&lt;=6.4,"Prediabetes",'Data set'!$H21&lt;=7.5,"Diabetes",'Data set'!$H21&gt;=7.5,"Uncontrolled")</f>
        <v>Diabetes</v>
      </c>
      <c r="P21" s="5" t="str">
        <f>_xlfn.IFS('Data set'!$F21&lt;120,"Low",'Data set'!$F21&lt;=200,"Normal",'Data set'!$F21&lt;=240,"Boarderline",'Data set'!$F21&gt;=241,"High")</f>
        <v>High</v>
      </c>
      <c r="Q21" s="5" t="str">
        <f>_xlfn.IFS('Data set'!$D21&lt;=18.5,"Low",'Data set'!$D21&lt;=24.9,"Normal",'Data set'!$D21&lt;=29.9,"High",'Data set'!$D21&gt;29.9,"Very High")</f>
        <v>Very High</v>
      </c>
    </row>
    <row r="22" spans="1:17" x14ac:dyDescent="0.25">
      <c r="A22" s="3">
        <v>63</v>
      </c>
      <c r="B22" s="3" t="s">
        <v>0</v>
      </c>
      <c r="C22" s="4">
        <v>285.7</v>
      </c>
      <c r="D22" s="4">
        <v>19.96</v>
      </c>
      <c r="E22" s="3" t="s">
        <v>6</v>
      </c>
      <c r="F22" s="3">
        <v>295</v>
      </c>
      <c r="G22" s="3" t="s">
        <v>34</v>
      </c>
      <c r="H22" s="4">
        <v>9.5</v>
      </c>
      <c r="I22" s="3">
        <v>2</v>
      </c>
      <c r="J22" s="3" t="s">
        <v>3</v>
      </c>
      <c r="K22" s="3" t="s">
        <v>3</v>
      </c>
      <c r="L22" s="3">
        <v>127</v>
      </c>
      <c r="M22" s="3">
        <v>85</v>
      </c>
      <c r="N22" s="3" t="s">
        <v>21</v>
      </c>
      <c r="O22" s="3" t="str">
        <f>_xlfn.IFS('Data set'!$H22&lt;5.7,"Normal",'Data set'!$H22&lt;=6.4,"Prediabetes",'Data set'!$H22&lt;=7.5,"Diabetes",'Data set'!$H22&gt;=7.5,"Uncontrolled")</f>
        <v>Uncontrolled</v>
      </c>
      <c r="P22" s="3" t="str">
        <f>_xlfn.IFS('Data set'!$F22&lt;120,"Low",'Data set'!$F22&lt;=200,"Normal",'Data set'!$F22&lt;=240,"Boarderline",'Data set'!$F22&gt;=241,"High")</f>
        <v>High</v>
      </c>
      <c r="Q22" s="3" t="str">
        <f>_xlfn.IFS('Data set'!$D22&lt;=18.5,"Low",'Data set'!$D22&lt;=24.9,"Normal",'Data set'!$D22&lt;=29.9,"High",'Data set'!$D22&gt;29.9,"Very High")</f>
        <v>Normal</v>
      </c>
    </row>
    <row r="23" spans="1:17" x14ac:dyDescent="0.25">
      <c r="A23" s="5">
        <v>40</v>
      </c>
      <c r="B23" s="5" t="s">
        <v>9</v>
      </c>
      <c r="C23" s="6">
        <v>226.91</v>
      </c>
      <c r="D23" s="6">
        <v>28.75</v>
      </c>
      <c r="E23" s="5" t="s">
        <v>6</v>
      </c>
      <c r="F23" s="5">
        <v>173</v>
      </c>
      <c r="G23" s="5" t="s">
        <v>35</v>
      </c>
      <c r="H23" s="6">
        <v>4.1500000000000004</v>
      </c>
      <c r="I23" s="5">
        <v>5</v>
      </c>
      <c r="J23" s="5" t="s">
        <v>3</v>
      </c>
      <c r="K23" s="5" t="s">
        <v>4</v>
      </c>
      <c r="L23" s="5">
        <v>140</v>
      </c>
      <c r="M23" s="5">
        <v>83</v>
      </c>
      <c r="N23" s="5" t="s">
        <v>12</v>
      </c>
      <c r="O23" s="5" t="str">
        <f>_xlfn.IFS('Data set'!$H23&lt;5.7,"Normal",'Data set'!$H23&lt;=6.4,"Prediabetes",'Data set'!$H23&lt;=7.5,"Diabetes",'Data set'!$H23&gt;=7.5,"Uncontrolled")</f>
        <v>Normal</v>
      </c>
      <c r="P23" s="5" t="str">
        <f>_xlfn.IFS('Data set'!$F23&lt;120,"Low",'Data set'!$F23&lt;=200,"Normal",'Data set'!$F23&lt;=240,"Boarderline",'Data set'!$F23&gt;=241,"High")</f>
        <v>Normal</v>
      </c>
      <c r="Q23" s="5" t="str">
        <f>_xlfn.IFS('Data set'!$D23&lt;=18.5,"Low",'Data set'!$D23&lt;=24.9,"Normal",'Data set'!$D23&lt;=29.9,"High",'Data set'!$D23&gt;29.9,"Very High")</f>
        <v>High</v>
      </c>
    </row>
    <row r="24" spans="1:17" x14ac:dyDescent="0.25">
      <c r="A24" s="3">
        <v>79</v>
      </c>
      <c r="B24" s="3" t="s">
        <v>9</v>
      </c>
      <c r="C24" s="4">
        <v>286.18</v>
      </c>
      <c r="D24" s="4">
        <v>20.23</v>
      </c>
      <c r="E24" s="3" t="s">
        <v>10</v>
      </c>
      <c r="F24" s="3">
        <v>179</v>
      </c>
      <c r="G24" s="3" t="s">
        <v>36</v>
      </c>
      <c r="H24" s="4">
        <v>6.77</v>
      </c>
      <c r="I24" s="3">
        <v>4</v>
      </c>
      <c r="J24" s="3" t="s">
        <v>4</v>
      </c>
      <c r="K24" s="3" t="s">
        <v>3</v>
      </c>
      <c r="L24" s="3">
        <v>103</v>
      </c>
      <c r="M24" s="3">
        <v>89</v>
      </c>
      <c r="N24" s="3" t="s">
        <v>5</v>
      </c>
      <c r="O24" s="3" t="str">
        <f>_xlfn.IFS('Data set'!$H24&lt;5.7,"Normal",'Data set'!$H24&lt;=6.4,"Prediabetes",'Data set'!$H24&lt;=7.5,"Diabetes",'Data set'!$H24&gt;=7.5,"Uncontrolled")</f>
        <v>Diabetes</v>
      </c>
      <c r="P24" s="3" t="str">
        <f>_xlfn.IFS('Data set'!$F24&lt;120,"Low",'Data set'!$F24&lt;=200,"Normal",'Data set'!$F24&lt;=240,"Boarderline",'Data set'!$F24&gt;=241,"High")</f>
        <v>Normal</v>
      </c>
      <c r="Q24" s="3" t="str">
        <f>_xlfn.IFS('Data set'!$D24&lt;=18.5,"Low",'Data set'!$D24&lt;=24.9,"Normal",'Data set'!$D24&lt;=29.9,"High",'Data set'!$D24&gt;29.9,"Very High")</f>
        <v>Normal</v>
      </c>
    </row>
    <row r="25" spans="1:17" x14ac:dyDescent="0.25">
      <c r="A25" s="5">
        <v>39</v>
      </c>
      <c r="B25" s="5" t="s">
        <v>0</v>
      </c>
      <c r="C25" s="6">
        <v>226.48</v>
      </c>
      <c r="D25" s="6">
        <v>30.14</v>
      </c>
      <c r="E25" s="5" t="s">
        <v>10</v>
      </c>
      <c r="F25" s="5">
        <v>297</v>
      </c>
      <c r="G25" s="5" t="s">
        <v>37</v>
      </c>
      <c r="H25" s="6">
        <v>8.8800000000000008</v>
      </c>
      <c r="I25" s="5">
        <v>1</v>
      </c>
      <c r="J25" s="5" t="s">
        <v>3</v>
      </c>
      <c r="K25" s="5" t="s">
        <v>3</v>
      </c>
      <c r="L25" s="5">
        <v>94</v>
      </c>
      <c r="M25" s="5">
        <v>62</v>
      </c>
      <c r="N25" s="5" t="s">
        <v>12</v>
      </c>
      <c r="O25" s="5" t="str">
        <f>_xlfn.IFS('Data set'!$H25&lt;5.7,"Normal",'Data set'!$H25&lt;=6.4,"Prediabetes",'Data set'!$H25&lt;=7.5,"Diabetes",'Data set'!$H25&gt;=7.5,"Uncontrolled")</f>
        <v>Uncontrolled</v>
      </c>
      <c r="P25" s="5" t="str">
        <f>_xlfn.IFS('Data set'!$F25&lt;120,"Low",'Data set'!$F25&lt;=200,"Normal",'Data set'!$F25&lt;=240,"Boarderline",'Data set'!$F25&gt;=241,"High")</f>
        <v>High</v>
      </c>
      <c r="Q25" s="5" t="str">
        <f>_xlfn.IFS('Data set'!$D25&lt;=18.5,"Low",'Data set'!$D25&lt;=24.9,"Normal",'Data set'!$D25&lt;=29.9,"High",'Data set'!$D25&gt;29.9,"Very High")</f>
        <v>Very High</v>
      </c>
    </row>
    <row r="26" spans="1:17" x14ac:dyDescent="0.25">
      <c r="A26" s="3">
        <v>22</v>
      </c>
      <c r="B26" s="3" t="s">
        <v>0</v>
      </c>
      <c r="C26" s="4">
        <v>127.76</v>
      </c>
      <c r="D26" s="4">
        <v>18.989999999999998</v>
      </c>
      <c r="E26" s="3" t="s">
        <v>10</v>
      </c>
      <c r="F26" s="3">
        <v>170</v>
      </c>
      <c r="G26" s="3" t="s">
        <v>38</v>
      </c>
      <c r="H26" s="4">
        <v>8.0299999999999994</v>
      </c>
      <c r="I26" s="3">
        <v>2</v>
      </c>
      <c r="J26" s="3" t="s">
        <v>3</v>
      </c>
      <c r="K26" s="3" t="s">
        <v>3</v>
      </c>
      <c r="L26" s="3">
        <v>122</v>
      </c>
      <c r="M26" s="3">
        <v>68</v>
      </c>
      <c r="N26" s="3" t="s">
        <v>17</v>
      </c>
      <c r="O26" s="3" t="str">
        <f>_xlfn.IFS('Data set'!$H26&lt;5.7,"Normal",'Data set'!$H26&lt;=6.4,"Prediabetes",'Data set'!$H26&lt;=7.5,"Diabetes",'Data set'!$H26&gt;=7.5,"Uncontrolled")</f>
        <v>Uncontrolled</v>
      </c>
      <c r="P26" s="3" t="str">
        <f>_xlfn.IFS('Data set'!$F26&lt;120,"Low",'Data set'!$F26&lt;=200,"Normal",'Data set'!$F26&lt;=240,"Boarderline",'Data set'!$F26&gt;=241,"High")</f>
        <v>Normal</v>
      </c>
      <c r="Q26" s="3" t="str">
        <f>_xlfn.IFS('Data set'!$D26&lt;=18.5,"Low",'Data set'!$D26&lt;=24.9,"Normal",'Data set'!$D26&lt;=29.9,"High",'Data set'!$D26&gt;29.9,"Very High")</f>
        <v>Normal</v>
      </c>
    </row>
    <row r="27" spans="1:17" x14ac:dyDescent="0.25">
      <c r="A27" s="5">
        <v>62</v>
      </c>
      <c r="B27" s="5" t="s">
        <v>9</v>
      </c>
      <c r="C27" s="6">
        <v>117.86</v>
      </c>
      <c r="D27" s="6">
        <v>25.04</v>
      </c>
      <c r="E27" s="5" t="s">
        <v>6</v>
      </c>
      <c r="F27" s="5">
        <v>178</v>
      </c>
      <c r="G27" s="5" t="s">
        <v>39</v>
      </c>
      <c r="H27" s="6">
        <v>8.17</v>
      </c>
      <c r="I27" s="5">
        <v>2</v>
      </c>
      <c r="J27" s="5" t="s">
        <v>4</v>
      </c>
      <c r="K27" s="5" t="s">
        <v>4</v>
      </c>
      <c r="L27" s="5">
        <v>131</v>
      </c>
      <c r="M27" s="5">
        <v>89</v>
      </c>
      <c r="N27" s="5" t="s">
        <v>21</v>
      </c>
      <c r="O27" s="5" t="str">
        <f>_xlfn.IFS('Data set'!$H27&lt;5.7,"Normal",'Data set'!$H27&lt;=6.4,"Prediabetes",'Data set'!$H27&lt;=7.5,"Diabetes",'Data set'!$H27&gt;=7.5,"Uncontrolled")</f>
        <v>Uncontrolled</v>
      </c>
      <c r="P27" s="5" t="str">
        <f>_xlfn.IFS('Data set'!$F27&lt;120,"Low",'Data set'!$F27&lt;=200,"Normal",'Data set'!$F27&lt;=240,"Boarderline",'Data set'!$F27&gt;=241,"High")</f>
        <v>Normal</v>
      </c>
      <c r="Q27" s="5" t="str">
        <f>_xlfn.IFS('Data set'!$D27&lt;=18.5,"Low",'Data set'!$D27&lt;=24.9,"Normal",'Data set'!$D27&lt;=29.9,"High",'Data set'!$D27&gt;29.9,"Very High")</f>
        <v>High</v>
      </c>
    </row>
    <row r="28" spans="1:17" x14ac:dyDescent="0.25">
      <c r="A28" s="3">
        <v>41</v>
      </c>
      <c r="B28" s="3" t="s">
        <v>0</v>
      </c>
      <c r="C28" s="4">
        <v>214.86</v>
      </c>
      <c r="D28" s="4">
        <v>25.7</v>
      </c>
      <c r="E28" s="3" t="s">
        <v>10</v>
      </c>
      <c r="F28" s="3">
        <v>294</v>
      </c>
      <c r="G28" s="3" t="s">
        <v>40</v>
      </c>
      <c r="H28" s="4">
        <v>10</v>
      </c>
      <c r="I28" s="3">
        <v>1</v>
      </c>
      <c r="J28" s="3" t="s">
        <v>4</v>
      </c>
      <c r="K28" s="3" t="s">
        <v>4</v>
      </c>
      <c r="L28" s="3">
        <v>91</v>
      </c>
      <c r="M28" s="3">
        <v>64</v>
      </c>
      <c r="N28" s="3" t="s">
        <v>23</v>
      </c>
      <c r="O28" s="3" t="str">
        <f>_xlfn.IFS('Data set'!$H28&lt;5.7,"Normal",'Data set'!$H28&lt;=6.4,"Prediabetes",'Data set'!$H28&lt;=7.5,"Diabetes",'Data set'!$H28&gt;=7.5,"Uncontrolled")</f>
        <v>Uncontrolled</v>
      </c>
      <c r="P28" s="3" t="str">
        <f>_xlfn.IFS('Data set'!$F28&lt;120,"Low",'Data set'!$F28&lt;=200,"Normal",'Data set'!$F28&lt;=240,"Boarderline",'Data set'!$F28&gt;=241,"High")</f>
        <v>High</v>
      </c>
      <c r="Q28" s="3" t="str">
        <f>_xlfn.IFS('Data set'!$D28&lt;=18.5,"Low",'Data set'!$D28&lt;=24.9,"Normal",'Data set'!$D28&lt;=29.9,"High",'Data set'!$D28&gt;29.9,"Very High")</f>
        <v>High</v>
      </c>
    </row>
    <row r="29" spans="1:17" x14ac:dyDescent="0.25">
      <c r="A29" s="5">
        <v>78</v>
      </c>
      <c r="B29" s="5" t="s">
        <v>9</v>
      </c>
      <c r="C29" s="6">
        <v>240.1</v>
      </c>
      <c r="D29" s="6">
        <v>34.79</v>
      </c>
      <c r="E29" s="5" t="s">
        <v>10</v>
      </c>
      <c r="F29" s="5">
        <v>107</v>
      </c>
      <c r="G29" s="5" t="s">
        <v>41</v>
      </c>
      <c r="H29" s="6">
        <v>4.42</v>
      </c>
      <c r="I29" s="5">
        <v>0</v>
      </c>
      <c r="J29" s="5" t="s">
        <v>3</v>
      </c>
      <c r="K29" s="5" t="s">
        <v>3</v>
      </c>
      <c r="L29" s="5">
        <v>119</v>
      </c>
      <c r="M29" s="5">
        <v>89</v>
      </c>
      <c r="N29" s="5" t="s">
        <v>5</v>
      </c>
      <c r="O29" s="5" t="str">
        <f>_xlfn.IFS('Data set'!$H29&lt;5.7,"Normal",'Data set'!$H29&lt;=6.4,"Prediabetes",'Data set'!$H29&lt;=7.5,"Diabetes",'Data set'!$H29&gt;=7.5,"Uncontrolled")</f>
        <v>Normal</v>
      </c>
      <c r="P29" s="5" t="str">
        <f>_xlfn.IFS('Data set'!$F29&lt;120,"Low",'Data set'!$F29&lt;=200,"Normal",'Data set'!$F29&lt;=240,"Boarderline",'Data set'!$F29&gt;=241,"High")</f>
        <v>Low</v>
      </c>
      <c r="Q29" s="5" t="str">
        <f>_xlfn.IFS('Data set'!$D29&lt;=18.5,"Low",'Data set'!$D29&lt;=24.9,"Normal",'Data set'!$D29&lt;=29.9,"High",'Data set'!$D29&gt;29.9,"Very High")</f>
        <v>Very High</v>
      </c>
    </row>
    <row r="30" spans="1:17" x14ac:dyDescent="0.25">
      <c r="A30" s="3">
        <v>70</v>
      </c>
      <c r="B30" s="3" t="s">
        <v>9</v>
      </c>
      <c r="C30" s="4">
        <v>225.1</v>
      </c>
      <c r="D30" s="4">
        <v>37.65</v>
      </c>
      <c r="E30" s="3" t="s">
        <v>10</v>
      </c>
      <c r="F30" s="3">
        <v>223</v>
      </c>
      <c r="G30" s="3" t="s">
        <v>42</v>
      </c>
      <c r="H30" s="4">
        <v>5.43</v>
      </c>
      <c r="I30" s="3">
        <v>4</v>
      </c>
      <c r="J30" s="3" t="s">
        <v>3</v>
      </c>
      <c r="K30" s="3" t="s">
        <v>3</v>
      </c>
      <c r="L30" s="3">
        <v>111</v>
      </c>
      <c r="M30" s="3">
        <v>60</v>
      </c>
      <c r="N30" s="3" t="s">
        <v>21</v>
      </c>
      <c r="O30" s="3" t="str">
        <f>_xlfn.IFS('Data set'!$H30&lt;5.7,"Normal",'Data set'!$H30&lt;=6.4,"Prediabetes",'Data set'!$H30&lt;=7.5,"Diabetes",'Data set'!$H30&gt;=7.5,"Uncontrolled")</f>
        <v>Normal</v>
      </c>
      <c r="P30" s="3" t="str">
        <f>_xlfn.IFS('Data set'!$F30&lt;120,"Low",'Data set'!$F30&lt;=200,"Normal",'Data set'!$F30&lt;=240,"Boarderline",'Data set'!$F30&gt;=241,"High")</f>
        <v>Boarderline</v>
      </c>
      <c r="Q30" s="3" t="str">
        <f>_xlfn.IFS('Data set'!$D30&lt;=18.5,"Low",'Data set'!$D30&lt;=24.9,"Normal",'Data set'!$D30&lt;=29.9,"High",'Data set'!$D30&gt;29.9,"Very High")</f>
        <v>Very High</v>
      </c>
    </row>
    <row r="31" spans="1:17" x14ac:dyDescent="0.25">
      <c r="A31" s="5">
        <v>79</v>
      </c>
      <c r="B31" s="5" t="s">
        <v>0</v>
      </c>
      <c r="C31" s="6">
        <v>212.69</v>
      </c>
      <c r="D31" s="6">
        <v>30.01</v>
      </c>
      <c r="E31" s="5" t="s">
        <v>10</v>
      </c>
      <c r="F31" s="5">
        <v>229</v>
      </c>
      <c r="G31" s="5" t="s">
        <v>43</v>
      </c>
      <c r="H31" s="6">
        <v>6.14</v>
      </c>
      <c r="I31" s="5">
        <v>7</v>
      </c>
      <c r="J31" s="5" t="s">
        <v>4</v>
      </c>
      <c r="K31" s="5" t="s">
        <v>4</v>
      </c>
      <c r="L31" s="5">
        <v>123</v>
      </c>
      <c r="M31" s="5">
        <v>87</v>
      </c>
      <c r="N31" s="5" t="s">
        <v>5</v>
      </c>
      <c r="O31" s="5" t="str">
        <f>_xlfn.IFS('Data set'!$H31&lt;5.7,"Normal",'Data set'!$H31&lt;=6.4,"Prediabetes",'Data set'!$H31&lt;=7.5,"Diabetes",'Data set'!$H31&gt;=7.5,"Uncontrolled")</f>
        <v>Prediabetes</v>
      </c>
      <c r="P31" s="5" t="str">
        <f>_xlfn.IFS('Data set'!$F31&lt;120,"Low",'Data set'!$F31&lt;=200,"Normal",'Data set'!$F31&lt;=240,"Boarderline",'Data set'!$F31&gt;=241,"High")</f>
        <v>Boarderline</v>
      </c>
      <c r="Q31" s="5" t="str">
        <f>_xlfn.IFS('Data set'!$D31&lt;=18.5,"Low",'Data set'!$D31&lt;=24.9,"Normal",'Data set'!$D31&lt;=29.9,"High",'Data set'!$D31&gt;29.9,"Very High")</f>
        <v>Very High</v>
      </c>
    </row>
    <row r="32" spans="1:17" x14ac:dyDescent="0.25">
      <c r="A32" s="3">
        <v>52</v>
      </c>
      <c r="B32" s="3" t="s">
        <v>9</v>
      </c>
      <c r="C32" s="4">
        <v>190.97</v>
      </c>
      <c r="D32" s="4">
        <v>33.31</v>
      </c>
      <c r="E32" s="3" t="s">
        <v>1</v>
      </c>
      <c r="F32" s="3">
        <v>192</v>
      </c>
      <c r="G32" s="3" t="s">
        <v>44</v>
      </c>
      <c r="H32" s="4">
        <v>6.2</v>
      </c>
      <c r="I32" s="3">
        <v>6</v>
      </c>
      <c r="J32" s="3" t="s">
        <v>3</v>
      </c>
      <c r="K32" s="3" t="s">
        <v>3</v>
      </c>
      <c r="L32" s="3">
        <v>122</v>
      </c>
      <c r="M32" s="3">
        <v>79</v>
      </c>
      <c r="N32" s="3" t="s">
        <v>8</v>
      </c>
      <c r="O32" s="3" t="str">
        <f>_xlfn.IFS('Data set'!$H32&lt;5.7,"Normal",'Data set'!$H32&lt;=6.4,"Prediabetes",'Data set'!$H32&lt;=7.5,"Diabetes",'Data set'!$H32&gt;=7.5,"Uncontrolled")</f>
        <v>Prediabetes</v>
      </c>
      <c r="P32" s="3" t="str">
        <f>_xlfn.IFS('Data set'!$F32&lt;120,"Low",'Data set'!$F32&lt;=200,"Normal",'Data set'!$F32&lt;=240,"Boarderline",'Data set'!$F32&gt;=241,"High")</f>
        <v>Normal</v>
      </c>
      <c r="Q32" s="3" t="str">
        <f>_xlfn.IFS('Data set'!$D32&lt;=18.5,"Low",'Data set'!$D32&lt;=24.9,"Normal",'Data set'!$D32&lt;=29.9,"High",'Data set'!$D32&gt;29.9,"Very High")</f>
        <v>Very High</v>
      </c>
    </row>
    <row r="33" spans="1:17" x14ac:dyDescent="0.25">
      <c r="A33" s="5">
        <v>70</v>
      </c>
      <c r="B33" s="5" t="s">
        <v>9</v>
      </c>
      <c r="C33" s="6">
        <v>87.79</v>
      </c>
      <c r="D33" s="6">
        <v>19.28</v>
      </c>
      <c r="E33" s="5" t="s">
        <v>10</v>
      </c>
      <c r="F33" s="5">
        <v>276</v>
      </c>
      <c r="G33" s="5" t="s">
        <v>45</v>
      </c>
      <c r="H33" s="6">
        <v>7.14</v>
      </c>
      <c r="I33" s="5">
        <v>2</v>
      </c>
      <c r="J33" s="5" t="s">
        <v>3</v>
      </c>
      <c r="K33" s="5" t="s">
        <v>4</v>
      </c>
      <c r="L33" s="5">
        <v>105</v>
      </c>
      <c r="M33" s="5">
        <v>75</v>
      </c>
      <c r="N33" s="5" t="s">
        <v>21</v>
      </c>
      <c r="O33" s="5" t="str">
        <f>_xlfn.IFS('Data set'!$H33&lt;5.7,"Normal",'Data set'!$H33&lt;=6.4,"Prediabetes",'Data set'!$H33&lt;=7.5,"Diabetes",'Data set'!$H33&gt;=7.5,"Uncontrolled")</f>
        <v>Diabetes</v>
      </c>
      <c r="P33" s="5" t="str">
        <f>_xlfn.IFS('Data set'!$F33&lt;120,"Low",'Data set'!$F33&lt;=200,"Normal",'Data set'!$F33&lt;=240,"Boarderline",'Data set'!$F33&gt;=241,"High")</f>
        <v>High</v>
      </c>
      <c r="Q33" s="5" t="str">
        <f>_xlfn.IFS('Data set'!$D33&lt;=18.5,"Low",'Data set'!$D33&lt;=24.9,"Normal",'Data set'!$D33&lt;=29.9,"High",'Data set'!$D33&gt;29.9,"Very High")</f>
        <v>Normal</v>
      </c>
    </row>
    <row r="34" spans="1:17" x14ac:dyDescent="0.25">
      <c r="A34" s="3">
        <v>56</v>
      </c>
      <c r="B34" s="3" t="s">
        <v>9</v>
      </c>
      <c r="C34" s="4">
        <v>72.2</v>
      </c>
      <c r="D34" s="4">
        <v>33.69</v>
      </c>
      <c r="E34" s="3" t="s">
        <v>6</v>
      </c>
      <c r="F34" s="3">
        <v>219</v>
      </c>
      <c r="G34" s="3" t="s">
        <v>46</v>
      </c>
      <c r="H34" s="4">
        <v>5.85</v>
      </c>
      <c r="I34" s="3">
        <v>2</v>
      </c>
      <c r="J34" s="3" t="s">
        <v>4</v>
      </c>
      <c r="K34" s="3" t="s">
        <v>4</v>
      </c>
      <c r="L34" s="3">
        <v>99</v>
      </c>
      <c r="M34" s="3">
        <v>90</v>
      </c>
      <c r="N34" s="3" t="s">
        <v>8</v>
      </c>
      <c r="O34" s="3" t="str">
        <f>_xlfn.IFS('Data set'!$H34&lt;5.7,"Normal",'Data set'!$H34&lt;=6.4,"Prediabetes",'Data set'!$H34&lt;=7.5,"Diabetes",'Data set'!$H34&gt;=7.5,"Uncontrolled")</f>
        <v>Prediabetes</v>
      </c>
      <c r="P34" s="3" t="str">
        <f>_xlfn.IFS('Data set'!$F34&lt;120,"Low",'Data set'!$F34&lt;=200,"Normal",'Data set'!$F34&lt;=240,"Boarderline",'Data set'!$F34&gt;=241,"High")</f>
        <v>Boarderline</v>
      </c>
      <c r="Q34" s="3" t="str">
        <f>_xlfn.IFS('Data set'!$D34&lt;=18.5,"Low",'Data set'!$D34&lt;=24.9,"Normal",'Data set'!$D34&lt;=29.9,"High",'Data set'!$D34&gt;29.9,"Very High")</f>
        <v>Very High</v>
      </c>
    </row>
    <row r="35" spans="1:17" x14ac:dyDescent="0.25">
      <c r="A35" s="5">
        <v>32</v>
      </c>
      <c r="B35" s="5" t="s">
        <v>0</v>
      </c>
      <c r="C35" s="6">
        <v>205.9</v>
      </c>
      <c r="D35" s="6">
        <v>36.04</v>
      </c>
      <c r="E35" s="5" t="s">
        <v>14</v>
      </c>
      <c r="F35" s="5">
        <v>192</v>
      </c>
      <c r="G35" s="5" t="s">
        <v>47</v>
      </c>
      <c r="H35" s="6">
        <v>6.97</v>
      </c>
      <c r="I35" s="5">
        <v>4</v>
      </c>
      <c r="J35" s="5" t="s">
        <v>4</v>
      </c>
      <c r="K35" s="5" t="s">
        <v>4</v>
      </c>
      <c r="L35" s="5">
        <v>91</v>
      </c>
      <c r="M35" s="5">
        <v>67</v>
      </c>
      <c r="N35" s="5" t="s">
        <v>12</v>
      </c>
      <c r="O35" s="5" t="str">
        <f>_xlfn.IFS('Data set'!$H35&lt;5.7,"Normal",'Data set'!$H35&lt;=6.4,"Prediabetes",'Data set'!$H35&lt;=7.5,"Diabetes",'Data set'!$H35&gt;=7.5,"Uncontrolled")</f>
        <v>Diabetes</v>
      </c>
      <c r="P35" s="5" t="str">
        <f>_xlfn.IFS('Data set'!$F35&lt;120,"Low",'Data set'!$F35&lt;=200,"Normal",'Data set'!$F35&lt;=240,"Boarderline",'Data set'!$F35&gt;=241,"High")</f>
        <v>Normal</v>
      </c>
      <c r="Q35" s="5" t="str">
        <f>_xlfn.IFS('Data set'!$D35&lt;=18.5,"Low",'Data set'!$D35&lt;=24.9,"Normal",'Data set'!$D35&lt;=29.9,"High",'Data set'!$D35&gt;29.9,"Very High")</f>
        <v>Very High</v>
      </c>
    </row>
    <row r="36" spans="1:17" x14ac:dyDescent="0.25">
      <c r="A36" s="3">
        <v>79</v>
      </c>
      <c r="B36" s="3" t="s">
        <v>0</v>
      </c>
      <c r="C36" s="4">
        <v>141.13</v>
      </c>
      <c r="D36" s="4">
        <v>23.35</v>
      </c>
      <c r="E36" s="3" t="s">
        <v>6</v>
      </c>
      <c r="F36" s="3">
        <v>182</v>
      </c>
      <c r="G36" s="3" t="s">
        <v>48</v>
      </c>
      <c r="H36" s="4">
        <v>8.1999999999999993</v>
      </c>
      <c r="I36" s="3">
        <v>4</v>
      </c>
      <c r="J36" s="3" t="s">
        <v>3</v>
      </c>
      <c r="K36" s="3" t="s">
        <v>3</v>
      </c>
      <c r="L36" s="3">
        <v>102</v>
      </c>
      <c r="M36" s="3">
        <v>70</v>
      </c>
      <c r="N36" s="3" t="s">
        <v>5</v>
      </c>
      <c r="O36" s="3" t="str">
        <f>_xlfn.IFS('Data set'!$H36&lt;5.7,"Normal",'Data set'!$H36&lt;=6.4,"Prediabetes",'Data set'!$H36&lt;=7.5,"Diabetes",'Data set'!$H36&gt;=7.5,"Uncontrolled")</f>
        <v>Uncontrolled</v>
      </c>
      <c r="P36" s="3" t="str">
        <f>_xlfn.IFS('Data set'!$F36&lt;120,"Low",'Data set'!$F36&lt;=200,"Normal",'Data set'!$F36&lt;=240,"Boarderline",'Data set'!$F36&gt;=241,"High")</f>
        <v>Normal</v>
      </c>
      <c r="Q36" s="3" t="str">
        <f>_xlfn.IFS('Data set'!$D36&lt;=18.5,"Low",'Data set'!$D36&lt;=24.9,"Normal",'Data set'!$D36&lt;=29.9,"High",'Data set'!$D36&gt;29.9,"Very High")</f>
        <v>Normal</v>
      </c>
    </row>
    <row r="37" spans="1:17" x14ac:dyDescent="0.25">
      <c r="A37" s="5">
        <v>60</v>
      </c>
      <c r="B37" s="5" t="s">
        <v>0</v>
      </c>
      <c r="C37" s="6">
        <v>73.23</v>
      </c>
      <c r="D37" s="6">
        <v>37.32</v>
      </c>
      <c r="E37" s="5" t="s">
        <v>6</v>
      </c>
      <c r="F37" s="5">
        <v>296</v>
      </c>
      <c r="G37" s="5" t="s">
        <v>49</v>
      </c>
      <c r="H37" s="6">
        <v>8.3699999999999992</v>
      </c>
      <c r="I37" s="5">
        <v>5</v>
      </c>
      <c r="J37" s="5" t="s">
        <v>3</v>
      </c>
      <c r="K37" s="5" t="s">
        <v>4</v>
      </c>
      <c r="L37" s="5">
        <v>113</v>
      </c>
      <c r="M37" s="5">
        <v>85</v>
      </c>
      <c r="N37" s="5" t="s">
        <v>8</v>
      </c>
      <c r="O37" s="5" t="str">
        <f>_xlfn.IFS('Data set'!$H37&lt;5.7,"Normal",'Data set'!$H37&lt;=6.4,"Prediabetes",'Data set'!$H37&lt;=7.5,"Diabetes",'Data set'!$H37&gt;=7.5,"Uncontrolled")</f>
        <v>Uncontrolled</v>
      </c>
      <c r="P37" s="5" t="str">
        <f>_xlfn.IFS('Data set'!$F37&lt;120,"Low",'Data set'!$F37&lt;=200,"Normal",'Data set'!$F37&lt;=240,"Boarderline",'Data set'!$F37&gt;=241,"High")</f>
        <v>High</v>
      </c>
      <c r="Q37" s="5" t="str">
        <f>_xlfn.IFS('Data set'!$D37&lt;=18.5,"Low",'Data set'!$D37&lt;=24.9,"Normal",'Data set'!$D37&lt;=29.9,"High",'Data set'!$D37&gt;29.9,"Very High")</f>
        <v>Very High</v>
      </c>
    </row>
    <row r="38" spans="1:17" x14ac:dyDescent="0.25">
      <c r="A38" s="3">
        <v>64</v>
      </c>
      <c r="B38" s="3" t="s">
        <v>9</v>
      </c>
      <c r="C38" s="4">
        <v>174.11</v>
      </c>
      <c r="D38" s="4">
        <v>35.479999999999997</v>
      </c>
      <c r="E38" s="3" t="s">
        <v>6</v>
      </c>
      <c r="F38" s="3">
        <v>172</v>
      </c>
      <c r="G38" s="3" t="s">
        <v>50</v>
      </c>
      <c r="H38" s="4">
        <v>8.67</v>
      </c>
      <c r="I38" s="3">
        <v>4</v>
      </c>
      <c r="J38" s="3" t="s">
        <v>4</v>
      </c>
      <c r="K38" s="3" t="s">
        <v>4</v>
      </c>
      <c r="L38" s="3">
        <v>90</v>
      </c>
      <c r="M38" s="3">
        <v>90</v>
      </c>
      <c r="N38" s="3" t="s">
        <v>21</v>
      </c>
      <c r="O38" s="3" t="str">
        <f>_xlfn.IFS('Data set'!$H38&lt;5.7,"Normal",'Data set'!$H38&lt;=6.4,"Prediabetes",'Data set'!$H38&lt;=7.5,"Diabetes",'Data set'!$H38&gt;=7.5,"Uncontrolled")</f>
        <v>Uncontrolled</v>
      </c>
      <c r="P38" s="3" t="str">
        <f>_xlfn.IFS('Data set'!$F38&lt;120,"Low",'Data set'!$F38&lt;=200,"Normal",'Data set'!$F38&lt;=240,"Boarderline",'Data set'!$F38&gt;=241,"High")</f>
        <v>Normal</v>
      </c>
      <c r="Q38" s="3" t="str">
        <f>_xlfn.IFS('Data set'!$D38&lt;=18.5,"Low",'Data set'!$D38&lt;=24.9,"Normal",'Data set'!$D38&lt;=29.9,"High",'Data set'!$D38&gt;29.9,"Very High")</f>
        <v>Very High</v>
      </c>
    </row>
    <row r="39" spans="1:17" x14ac:dyDescent="0.25">
      <c r="A39" s="5">
        <v>24</v>
      </c>
      <c r="B39" s="5" t="s">
        <v>9</v>
      </c>
      <c r="C39" s="6">
        <v>115.98</v>
      </c>
      <c r="D39" s="6">
        <v>23.16</v>
      </c>
      <c r="E39" s="5" t="s">
        <v>10</v>
      </c>
      <c r="F39" s="5">
        <v>174</v>
      </c>
      <c r="G39" s="5" t="s">
        <v>51</v>
      </c>
      <c r="H39" s="6">
        <v>9.39</v>
      </c>
      <c r="I39" s="5">
        <v>2</v>
      </c>
      <c r="J39" s="5" t="s">
        <v>3</v>
      </c>
      <c r="K39" s="5" t="s">
        <v>4</v>
      </c>
      <c r="L39" s="5">
        <v>92</v>
      </c>
      <c r="M39" s="5">
        <v>82</v>
      </c>
      <c r="N39" s="5" t="s">
        <v>17</v>
      </c>
      <c r="O39" s="5" t="str">
        <f>_xlfn.IFS('Data set'!$H39&lt;5.7,"Normal",'Data set'!$H39&lt;=6.4,"Prediabetes",'Data set'!$H39&lt;=7.5,"Diabetes",'Data set'!$H39&gt;=7.5,"Uncontrolled")</f>
        <v>Uncontrolled</v>
      </c>
      <c r="P39" s="5" t="str">
        <f>_xlfn.IFS('Data set'!$F39&lt;120,"Low",'Data set'!$F39&lt;=200,"Normal",'Data set'!$F39&lt;=240,"Boarderline",'Data set'!$F39&gt;=241,"High")</f>
        <v>Normal</v>
      </c>
      <c r="Q39" s="5" t="str">
        <f>_xlfn.IFS('Data set'!$D39&lt;=18.5,"Low",'Data set'!$D39&lt;=24.9,"Normal",'Data set'!$D39&lt;=29.9,"High",'Data set'!$D39&gt;29.9,"Very High")</f>
        <v>Normal</v>
      </c>
    </row>
    <row r="40" spans="1:17" x14ac:dyDescent="0.25">
      <c r="A40" s="3">
        <v>53</v>
      </c>
      <c r="B40" s="3" t="s">
        <v>0</v>
      </c>
      <c r="C40" s="4">
        <v>181.96</v>
      </c>
      <c r="D40" s="4">
        <v>30.31</v>
      </c>
      <c r="E40" s="3" t="s">
        <v>10</v>
      </c>
      <c r="F40" s="3">
        <v>103</v>
      </c>
      <c r="G40" s="3" t="s">
        <v>52</v>
      </c>
      <c r="H40" s="4">
        <v>9.85</v>
      </c>
      <c r="I40" s="3">
        <v>5</v>
      </c>
      <c r="J40" s="3" t="s">
        <v>4</v>
      </c>
      <c r="K40" s="3" t="s">
        <v>4</v>
      </c>
      <c r="L40" s="3">
        <v>98</v>
      </c>
      <c r="M40" s="3">
        <v>79</v>
      </c>
      <c r="N40" s="3" t="s">
        <v>8</v>
      </c>
      <c r="O40" s="3" t="str">
        <f>_xlfn.IFS('Data set'!$H40&lt;5.7,"Normal",'Data set'!$H40&lt;=6.4,"Prediabetes",'Data set'!$H40&lt;=7.5,"Diabetes",'Data set'!$H40&gt;=7.5,"Uncontrolled")</f>
        <v>Uncontrolled</v>
      </c>
      <c r="P40" s="3" t="str">
        <f>_xlfn.IFS('Data set'!$F40&lt;120,"Low",'Data set'!$F40&lt;=200,"Normal",'Data set'!$F40&lt;=240,"Boarderline",'Data set'!$F40&gt;=241,"High")</f>
        <v>Low</v>
      </c>
      <c r="Q40" s="3" t="str">
        <f>_xlfn.IFS('Data set'!$D40&lt;=18.5,"Low",'Data set'!$D40&lt;=24.9,"Normal",'Data set'!$D40&lt;=29.9,"High",'Data set'!$D40&gt;29.9,"Very High")</f>
        <v>Very High</v>
      </c>
    </row>
    <row r="41" spans="1:17" x14ac:dyDescent="0.25">
      <c r="A41" s="5">
        <v>18</v>
      </c>
      <c r="B41" s="5" t="s">
        <v>9</v>
      </c>
      <c r="C41" s="6">
        <v>281.98</v>
      </c>
      <c r="D41" s="6">
        <v>25.19</v>
      </c>
      <c r="E41" s="5" t="s">
        <v>6</v>
      </c>
      <c r="F41" s="5">
        <v>211</v>
      </c>
      <c r="G41" s="5" t="s">
        <v>53</v>
      </c>
      <c r="H41" s="6">
        <v>9.34</v>
      </c>
      <c r="I41" s="5">
        <v>3</v>
      </c>
      <c r="J41" s="5" t="s">
        <v>4</v>
      </c>
      <c r="K41" s="5" t="s">
        <v>4</v>
      </c>
      <c r="L41" s="5">
        <v>90</v>
      </c>
      <c r="M41" s="5">
        <v>79</v>
      </c>
      <c r="N41" s="5" t="s">
        <v>17</v>
      </c>
      <c r="O41" s="5" t="str">
        <f>_xlfn.IFS('Data set'!$H41&lt;5.7,"Normal",'Data set'!$H41&lt;=6.4,"Prediabetes",'Data set'!$H41&lt;=7.5,"Diabetes",'Data set'!$H41&gt;=7.5,"Uncontrolled")</f>
        <v>Uncontrolled</v>
      </c>
      <c r="P41" s="5" t="str">
        <f>_xlfn.IFS('Data set'!$F41&lt;120,"Low",'Data set'!$F41&lt;=200,"Normal",'Data set'!$F41&lt;=240,"Boarderline",'Data set'!$F41&gt;=241,"High")</f>
        <v>Boarderline</v>
      </c>
      <c r="Q41" s="5" t="str">
        <f>_xlfn.IFS('Data set'!$D41&lt;=18.5,"Low",'Data set'!$D41&lt;=24.9,"Normal",'Data set'!$D41&lt;=29.9,"High",'Data set'!$D41&gt;29.9,"Very High")</f>
        <v>High</v>
      </c>
    </row>
    <row r="42" spans="1:17" x14ac:dyDescent="0.25">
      <c r="A42" s="3">
        <v>35</v>
      </c>
      <c r="B42" s="3" t="s">
        <v>9</v>
      </c>
      <c r="C42" s="4">
        <v>88.75</v>
      </c>
      <c r="D42" s="4">
        <v>22.26</v>
      </c>
      <c r="E42" s="3" t="s">
        <v>1</v>
      </c>
      <c r="F42" s="3">
        <v>285</v>
      </c>
      <c r="G42" s="3" t="s">
        <v>54</v>
      </c>
      <c r="H42" s="4">
        <v>4.37</v>
      </c>
      <c r="I42" s="3">
        <v>0</v>
      </c>
      <c r="J42" s="3" t="s">
        <v>3</v>
      </c>
      <c r="K42" s="3" t="s">
        <v>4</v>
      </c>
      <c r="L42" s="3">
        <v>112</v>
      </c>
      <c r="M42" s="3">
        <v>89</v>
      </c>
      <c r="N42" s="3" t="s">
        <v>12</v>
      </c>
      <c r="O42" s="3" t="str">
        <f>_xlfn.IFS('Data set'!$H42&lt;5.7,"Normal",'Data set'!$H42&lt;=6.4,"Prediabetes",'Data set'!$H42&lt;=7.5,"Diabetes",'Data set'!$H42&gt;=7.5,"Uncontrolled")</f>
        <v>Normal</v>
      </c>
      <c r="P42" s="3" t="str">
        <f>_xlfn.IFS('Data set'!$F42&lt;120,"Low",'Data set'!$F42&lt;=200,"Normal",'Data set'!$F42&lt;=240,"Boarderline",'Data set'!$F42&gt;=241,"High")</f>
        <v>High</v>
      </c>
      <c r="Q42" s="3" t="str">
        <f>_xlfn.IFS('Data set'!$D42&lt;=18.5,"Low",'Data set'!$D42&lt;=24.9,"Normal",'Data set'!$D42&lt;=29.9,"High",'Data set'!$D42&gt;29.9,"Very High")</f>
        <v>Normal</v>
      </c>
    </row>
    <row r="43" spans="1:17" x14ac:dyDescent="0.25">
      <c r="A43" s="5">
        <v>32</v>
      </c>
      <c r="B43" s="5" t="s">
        <v>9</v>
      </c>
      <c r="C43" s="6">
        <v>71.790000000000006</v>
      </c>
      <c r="D43" s="6">
        <v>23.86</v>
      </c>
      <c r="E43" s="5" t="s">
        <v>10</v>
      </c>
      <c r="F43" s="5">
        <v>202</v>
      </c>
      <c r="G43" s="5" t="s">
        <v>55</v>
      </c>
      <c r="H43" s="6">
        <v>4.58</v>
      </c>
      <c r="I43" s="5">
        <v>1</v>
      </c>
      <c r="J43" s="5" t="s">
        <v>3</v>
      </c>
      <c r="K43" s="5" t="s">
        <v>3</v>
      </c>
      <c r="L43" s="5">
        <v>105</v>
      </c>
      <c r="M43" s="5">
        <v>79</v>
      </c>
      <c r="N43" s="5" t="s">
        <v>12</v>
      </c>
      <c r="O43" s="5" t="str">
        <f>_xlfn.IFS('Data set'!$H43&lt;5.7,"Normal",'Data set'!$H43&lt;=6.4,"Prediabetes",'Data set'!$H43&lt;=7.5,"Diabetes",'Data set'!$H43&gt;=7.5,"Uncontrolled")</f>
        <v>Normal</v>
      </c>
      <c r="P43" s="5" t="str">
        <f>_xlfn.IFS('Data set'!$F43&lt;120,"Low",'Data set'!$F43&lt;=200,"Normal",'Data set'!$F43&lt;=240,"Boarderline",'Data set'!$F43&gt;=241,"High")</f>
        <v>Boarderline</v>
      </c>
      <c r="Q43" s="5" t="str">
        <f>_xlfn.IFS('Data set'!$D43&lt;=18.5,"Low",'Data set'!$D43&lt;=24.9,"Normal",'Data set'!$D43&lt;=29.9,"High",'Data set'!$D43&gt;29.9,"Very High")</f>
        <v>Normal</v>
      </c>
    </row>
    <row r="44" spans="1:17" x14ac:dyDescent="0.25">
      <c r="A44" s="3">
        <v>31</v>
      </c>
      <c r="B44" s="3" t="s">
        <v>9</v>
      </c>
      <c r="C44" s="4">
        <v>248.24</v>
      </c>
      <c r="D44" s="4">
        <v>32.880000000000003</v>
      </c>
      <c r="E44" s="3" t="s">
        <v>6</v>
      </c>
      <c r="F44" s="3">
        <v>243</v>
      </c>
      <c r="G44" s="3" t="s">
        <v>56</v>
      </c>
      <c r="H44" s="4">
        <v>5.91</v>
      </c>
      <c r="I44" s="3">
        <v>5</v>
      </c>
      <c r="J44" s="3" t="s">
        <v>4</v>
      </c>
      <c r="K44" s="3" t="s">
        <v>3</v>
      </c>
      <c r="L44" s="3">
        <v>96</v>
      </c>
      <c r="M44" s="3">
        <v>76</v>
      </c>
      <c r="N44" s="3" t="s">
        <v>12</v>
      </c>
      <c r="O44" s="3" t="str">
        <f>_xlfn.IFS('Data set'!$H44&lt;5.7,"Normal",'Data set'!$H44&lt;=6.4,"Prediabetes",'Data set'!$H44&lt;=7.5,"Diabetes",'Data set'!$H44&gt;=7.5,"Uncontrolled")</f>
        <v>Prediabetes</v>
      </c>
      <c r="P44" s="3" t="str">
        <f>_xlfn.IFS('Data set'!$F44&lt;120,"Low",'Data set'!$F44&lt;=200,"Normal",'Data set'!$F44&lt;=240,"Boarderline",'Data set'!$F44&gt;=241,"High")</f>
        <v>High</v>
      </c>
      <c r="Q44" s="3" t="str">
        <f>_xlfn.IFS('Data set'!$D44&lt;=18.5,"Low",'Data set'!$D44&lt;=24.9,"Normal",'Data set'!$D44&lt;=29.9,"High",'Data set'!$D44&gt;29.9,"Very High")</f>
        <v>Very High</v>
      </c>
    </row>
    <row r="45" spans="1:17" x14ac:dyDescent="0.25">
      <c r="A45" s="5">
        <v>44</v>
      </c>
      <c r="B45" s="5" t="s">
        <v>9</v>
      </c>
      <c r="C45" s="6">
        <v>252.73</v>
      </c>
      <c r="D45" s="6">
        <v>24.17</v>
      </c>
      <c r="E45" s="5" t="s">
        <v>1</v>
      </c>
      <c r="F45" s="5">
        <v>109</v>
      </c>
      <c r="G45" s="5" t="s">
        <v>57</v>
      </c>
      <c r="H45" s="6">
        <v>4.26</v>
      </c>
      <c r="I45" s="5">
        <v>2</v>
      </c>
      <c r="J45" s="5" t="s">
        <v>4</v>
      </c>
      <c r="K45" s="5" t="s">
        <v>4</v>
      </c>
      <c r="L45" s="5">
        <v>91</v>
      </c>
      <c r="M45" s="5">
        <v>60</v>
      </c>
      <c r="N45" s="5" t="s">
        <v>23</v>
      </c>
      <c r="O45" s="5" t="str">
        <f>_xlfn.IFS('Data set'!$H45&lt;5.7,"Normal",'Data set'!$H45&lt;=6.4,"Prediabetes",'Data set'!$H45&lt;=7.5,"Diabetes",'Data set'!$H45&gt;=7.5,"Uncontrolled")</f>
        <v>Normal</v>
      </c>
      <c r="P45" s="5" t="str">
        <f>_xlfn.IFS('Data set'!$F45&lt;120,"Low",'Data set'!$F45&lt;=200,"Normal",'Data set'!$F45&lt;=240,"Boarderline",'Data set'!$F45&gt;=241,"High")</f>
        <v>Low</v>
      </c>
      <c r="Q45" s="5" t="str">
        <f>_xlfn.IFS('Data set'!$D45&lt;=18.5,"Low",'Data set'!$D45&lt;=24.9,"Normal",'Data set'!$D45&lt;=29.9,"High",'Data set'!$D45&gt;29.9,"Very High")</f>
        <v>Normal</v>
      </c>
    </row>
    <row r="46" spans="1:17" x14ac:dyDescent="0.25">
      <c r="A46" s="3">
        <v>48</v>
      </c>
      <c r="B46" s="3" t="s">
        <v>0</v>
      </c>
      <c r="C46" s="4">
        <v>159.94</v>
      </c>
      <c r="D46" s="4">
        <v>20</v>
      </c>
      <c r="E46" s="3" t="s">
        <v>6</v>
      </c>
      <c r="F46" s="3">
        <v>197</v>
      </c>
      <c r="G46" s="3" t="s">
        <v>58</v>
      </c>
      <c r="H46" s="4">
        <v>8.91</v>
      </c>
      <c r="I46" s="3">
        <v>5</v>
      </c>
      <c r="J46" s="3" t="s">
        <v>4</v>
      </c>
      <c r="K46" s="3" t="s">
        <v>3</v>
      </c>
      <c r="L46" s="3">
        <v>124</v>
      </c>
      <c r="M46" s="3">
        <v>88</v>
      </c>
      <c r="N46" s="3" t="s">
        <v>23</v>
      </c>
      <c r="O46" s="3" t="str">
        <f>_xlfn.IFS('Data set'!$H46&lt;5.7,"Normal",'Data set'!$H46&lt;=6.4,"Prediabetes",'Data set'!$H46&lt;=7.5,"Diabetes",'Data set'!$H46&gt;=7.5,"Uncontrolled")</f>
        <v>Uncontrolled</v>
      </c>
      <c r="P46" s="3" t="str">
        <f>_xlfn.IFS('Data set'!$F46&lt;120,"Low",'Data set'!$F46&lt;=200,"Normal",'Data set'!$F46&lt;=240,"Boarderline",'Data set'!$F46&gt;=241,"High")</f>
        <v>Normal</v>
      </c>
      <c r="Q46" s="3" t="str">
        <f>_xlfn.IFS('Data set'!$D46&lt;=18.5,"Low",'Data set'!$D46&lt;=24.9,"Normal",'Data set'!$D46&lt;=29.9,"High",'Data set'!$D46&gt;29.9,"Very High")</f>
        <v>Normal</v>
      </c>
    </row>
    <row r="47" spans="1:17" x14ac:dyDescent="0.25">
      <c r="A47" s="5">
        <v>77</v>
      </c>
      <c r="B47" s="5" t="s">
        <v>9</v>
      </c>
      <c r="C47" s="6">
        <v>80.81</v>
      </c>
      <c r="D47" s="6">
        <v>25.07</v>
      </c>
      <c r="E47" s="5" t="s">
        <v>1</v>
      </c>
      <c r="F47" s="5">
        <v>148</v>
      </c>
      <c r="G47" s="5" t="s">
        <v>59</v>
      </c>
      <c r="H47" s="6">
        <v>8.6</v>
      </c>
      <c r="I47" s="5">
        <v>0</v>
      </c>
      <c r="J47" s="5" t="s">
        <v>4</v>
      </c>
      <c r="K47" s="5" t="s">
        <v>4</v>
      </c>
      <c r="L47" s="5">
        <v>127</v>
      </c>
      <c r="M47" s="5">
        <v>90</v>
      </c>
      <c r="N47" s="5" t="s">
        <v>5</v>
      </c>
      <c r="O47" s="5" t="str">
        <f>_xlfn.IFS('Data set'!$H47&lt;5.7,"Normal",'Data set'!$H47&lt;=6.4,"Prediabetes",'Data set'!$H47&lt;=7.5,"Diabetes",'Data set'!$H47&gt;=7.5,"Uncontrolled")</f>
        <v>Uncontrolled</v>
      </c>
      <c r="P47" s="5" t="str">
        <f>_xlfn.IFS('Data set'!$F47&lt;120,"Low",'Data set'!$F47&lt;=200,"Normal",'Data set'!$F47&lt;=240,"Boarderline",'Data set'!$F47&gt;=241,"High")</f>
        <v>Normal</v>
      </c>
      <c r="Q47" s="5" t="str">
        <f>_xlfn.IFS('Data set'!$D47&lt;=18.5,"Low",'Data set'!$D47&lt;=24.9,"Normal",'Data set'!$D47&lt;=29.9,"High",'Data set'!$D47&gt;29.9,"Very High")</f>
        <v>High</v>
      </c>
    </row>
    <row r="48" spans="1:17" x14ac:dyDescent="0.25">
      <c r="A48" s="3">
        <v>41</v>
      </c>
      <c r="B48" s="3" t="s">
        <v>0</v>
      </c>
      <c r="C48" s="4">
        <v>183.27</v>
      </c>
      <c r="D48" s="4">
        <v>35.99</v>
      </c>
      <c r="E48" s="3" t="s">
        <v>6</v>
      </c>
      <c r="F48" s="3">
        <v>294</v>
      </c>
      <c r="G48" s="3" t="s">
        <v>60</v>
      </c>
      <c r="H48" s="4">
        <v>4.25</v>
      </c>
      <c r="I48" s="3">
        <v>2</v>
      </c>
      <c r="J48" s="3" t="s">
        <v>4</v>
      </c>
      <c r="K48" s="3" t="s">
        <v>4</v>
      </c>
      <c r="L48" s="3">
        <v>115</v>
      </c>
      <c r="M48" s="3">
        <v>67</v>
      </c>
      <c r="N48" s="3" t="s">
        <v>23</v>
      </c>
      <c r="O48" s="3" t="str">
        <f>_xlfn.IFS('Data set'!$H48&lt;5.7,"Normal",'Data set'!$H48&lt;=6.4,"Prediabetes",'Data set'!$H48&lt;=7.5,"Diabetes",'Data set'!$H48&gt;=7.5,"Uncontrolled")</f>
        <v>Normal</v>
      </c>
      <c r="P48" s="3" t="str">
        <f>_xlfn.IFS('Data set'!$F48&lt;120,"Low",'Data set'!$F48&lt;=200,"Normal",'Data set'!$F48&lt;=240,"Boarderline",'Data set'!$F48&gt;=241,"High")</f>
        <v>High</v>
      </c>
      <c r="Q48" s="3" t="str">
        <f>_xlfn.IFS('Data set'!$D48&lt;=18.5,"Low",'Data set'!$D48&lt;=24.9,"Normal",'Data set'!$D48&lt;=29.9,"High",'Data set'!$D48&gt;29.9,"Very High")</f>
        <v>Very High</v>
      </c>
    </row>
    <row r="49" spans="1:17" x14ac:dyDescent="0.25">
      <c r="A49" s="5">
        <v>60</v>
      </c>
      <c r="B49" s="5" t="s">
        <v>9</v>
      </c>
      <c r="C49" s="6">
        <v>272.08999999999997</v>
      </c>
      <c r="D49" s="6">
        <v>26.45</v>
      </c>
      <c r="E49" s="5" t="s">
        <v>10</v>
      </c>
      <c r="F49" s="5">
        <v>113</v>
      </c>
      <c r="G49" s="5" t="s">
        <v>61</v>
      </c>
      <c r="H49" s="6">
        <v>8.2899999999999991</v>
      </c>
      <c r="I49" s="5">
        <v>2</v>
      </c>
      <c r="J49" s="5" t="s">
        <v>3</v>
      </c>
      <c r="K49" s="5" t="s">
        <v>4</v>
      </c>
      <c r="L49" s="5">
        <v>109</v>
      </c>
      <c r="M49" s="5">
        <v>82</v>
      </c>
      <c r="N49" s="5" t="s">
        <v>8</v>
      </c>
      <c r="O49" s="5" t="str">
        <f>_xlfn.IFS('Data set'!$H49&lt;5.7,"Normal",'Data set'!$H49&lt;=6.4,"Prediabetes",'Data set'!$H49&lt;=7.5,"Diabetes",'Data set'!$H49&gt;=7.5,"Uncontrolled")</f>
        <v>Uncontrolled</v>
      </c>
      <c r="P49" s="5" t="str">
        <f>_xlfn.IFS('Data set'!$F49&lt;120,"Low",'Data set'!$F49&lt;=200,"Normal",'Data set'!$F49&lt;=240,"Boarderline",'Data set'!$F49&gt;=241,"High")</f>
        <v>Low</v>
      </c>
      <c r="Q49" s="5" t="str">
        <f>_xlfn.IFS('Data set'!$D49&lt;=18.5,"Low",'Data set'!$D49&lt;=24.9,"Normal",'Data set'!$D49&lt;=29.9,"High",'Data set'!$D49&gt;29.9,"Very High")</f>
        <v>High</v>
      </c>
    </row>
    <row r="50" spans="1:17" x14ac:dyDescent="0.25">
      <c r="A50" s="3">
        <v>46</v>
      </c>
      <c r="B50" s="3" t="s">
        <v>0</v>
      </c>
      <c r="C50" s="4">
        <v>139.04</v>
      </c>
      <c r="D50" s="4">
        <v>30.85</v>
      </c>
      <c r="E50" s="3" t="s">
        <v>14</v>
      </c>
      <c r="F50" s="3">
        <v>155</v>
      </c>
      <c r="G50" s="3" t="s">
        <v>62</v>
      </c>
      <c r="H50" s="4">
        <v>4.0199999999999996</v>
      </c>
      <c r="I50" s="3">
        <v>1</v>
      </c>
      <c r="J50" s="3" t="s">
        <v>3</v>
      </c>
      <c r="K50" s="3" t="s">
        <v>4</v>
      </c>
      <c r="L50" s="3">
        <v>104</v>
      </c>
      <c r="M50" s="3">
        <v>81</v>
      </c>
      <c r="N50" s="3" t="s">
        <v>23</v>
      </c>
      <c r="O50" s="3" t="str">
        <f>_xlfn.IFS('Data set'!$H50&lt;5.7,"Normal",'Data set'!$H50&lt;=6.4,"Prediabetes",'Data set'!$H50&lt;=7.5,"Diabetes",'Data set'!$H50&gt;=7.5,"Uncontrolled")</f>
        <v>Normal</v>
      </c>
      <c r="P50" s="3" t="str">
        <f>_xlfn.IFS('Data set'!$F50&lt;120,"Low",'Data set'!$F50&lt;=200,"Normal",'Data set'!$F50&lt;=240,"Boarderline",'Data set'!$F50&gt;=241,"High")</f>
        <v>Normal</v>
      </c>
      <c r="Q50" s="3" t="str">
        <f>_xlfn.IFS('Data set'!$D50&lt;=18.5,"Low",'Data set'!$D50&lt;=24.9,"Normal",'Data set'!$D50&lt;=29.9,"High",'Data set'!$D50&gt;29.9,"Very High")</f>
        <v>Very High</v>
      </c>
    </row>
    <row r="51" spans="1:17" x14ac:dyDescent="0.25">
      <c r="A51" s="5">
        <v>53</v>
      </c>
      <c r="B51" s="5" t="s">
        <v>9</v>
      </c>
      <c r="C51" s="6">
        <v>162.88999999999999</v>
      </c>
      <c r="D51" s="6">
        <v>30.63</v>
      </c>
      <c r="E51" s="5" t="s">
        <v>10</v>
      </c>
      <c r="F51" s="5">
        <v>262</v>
      </c>
      <c r="G51" s="5" t="s">
        <v>63</v>
      </c>
      <c r="H51" s="6">
        <v>8.7200000000000006</v>
      </c>
      <c r="I51" s="5">
        <v>6</v>
      </c>
      <c r="J51" s="5" t="s">
        <v>3</v>
      </c>
      <c r="K51" s="5" t="s">
        <v>3</v>
      </c>
      <c r="L51" s="5">
        <v>114</v>
      </c>
      <c r="M51" s="5">
        <v>71</v>
      </c>
      <c r="N51" s="5" t="s">
        <v>8</v>
      </c>
      <c r="O51" s="5" t="str">
        <f>_xlfn.IFS('Data set'!$H51&lt;5.7,"Normal",'Data set'!$H51&lt;=6.4,"Prediabetes",'Data set'!$H51&lt;=7.5,"Diabetes",'Data set'!$H51&gt;=7.5,"Uncontrolled")</f>
        <v>Uncontrolled</v>
      </c>
      <c r="P51" s="5" t="str">
        <f>_xlfn.IFS('Data set'!$F51&lt;120,"Low",'Data set'!$F51&lt;=200,"Normal",'Data set'!$F51&lt;=240,"Boarderline",'Data set'!$F51&gt;=241,"High")</f>
        <v>High</v>
      </c>
      <c r="Q51" s="5" t="str">
        <f>_xlfn.IFS('Data set'!$D51&lt;=18.5,"Low",'Data set'!$D51&lt;=24.9,"Normal",'Data set'!$D51&lt;=29.9,"High",'Data set'!$D51&gt;29.9,"Very High")</f>
        <v>Very High</v>
      </c>
    </row>
    <row r="52" spans="1:17" x14ac:dyDescent="0.25">
      <c r="A52" s="3">
        <v>54</v>
      </c>
      <c r="B52" s="3" t="s">
        <v>9</v>
      </c>
      <c r="C52" s="4">
        <v>210.99</v>
      </c>
      <c r="D52" s="4">
        <v>34.22</v>
      </c>
      <c r="E52" s="3" t="s">
        <v>6</v>
      </c>
      <c r="F52" s="3">
        <v>189</v>
      </c>
      <c r="G52" s="3" t="s">
        <v>64</v>
      </c>
      <c r="H52" s="4">
        <v>4.8099999999999996</v>
      </c>
      <c r="I52" s="3">
        <v>0</v>
      </c>
      <c r="J52" s="3" t="s">
        <v>4</v>
      </c>
      <c r="K52" s="3" t="s">
        <v>3</v>
      </c>
      <c r="L52" s="3">
        <v>123</v>
      </c>
      <c r="M52" s="3">
        <v>60</v>
      </c>
      <c r="N52" s="3" t="s">
        <v>8</v>
      </c>
      <c r="O52" s="3" t="str">
        <f>_xlfn.IFS('Data set'!$H52&lt;5.7,"Normal",'Data set'!$H52&lt;=6.4,"Prediabetes",'Data set'!$H52&lt;=7.5,"Diabetes",'Data set'!$H52&gt;=7.5,"Uncontrolled")</f>
        <v>Normal</v>
      </c>
      <c r="P52" s="3" t="str">
        <f>_xlfn.IFS('Data set'!$F52&lt;120,"Low",'Data set'!$F52&lt;=200,"Normal",'Data set'!$F52&lt;=240,"Boarderline",'Data set'!$F52&gt;=241,"High")</f>
        <v>Normal</v>
      </c>
      <c r="Q52" s="3" t="str">
        <f>_xlfn.IFS('Data set'!$D52&lt;=18.5,"Low",'Data set'!$D52&lt;=24.9,"Normal",'Data set'!$D52&lt;=29.9,"High",'Data set'!$D52&gt;29.9,"Very High")</f>
        <v>Very High</v>
      </c>
    </row>
    <row r="53" spans="1:17" x14ac:dyDescent="0.25">
      <c r="A53" s="5">
        <v>75</v>
      </c>
      <c r="B53" s="5" t="s">
        <v>0</v>
      </c>
      <c r="C53" s="6">
        <v>124.79</v>
      </c>
      <c r="D53" s="6">
        <v>26.34</v>
      </c>
      <c r="E53" s="5" t="s">
        <v>1</v>
      </c>
      <c r="F53" s="5">
        <v>178</v>
      </c>
      <c r="G53" s="5" t="s">
        <v>65</v>
      </c>
      <c r="H53" s="6">
        <v>9.9</v>
      </c>
      <c r="I53" s="5">
        <v>6</v>
      </c>
      <c r="J53" s="5" t="s">
        <v>4</v>
      </c>
      <c r="K53" s="5" t="s">
        <v>4</v>
      </c>
      <c r="L53" s="5">
        <v>124</v>
      </c>
      <c r="M53" s="5">
        <v>63</v>
      </c>
      <c r="N53" s="5" t="s">
        <v>5</v>
      </c>
      <c r="O53" s="5" t="str">
        <f>_xlfn.IFS('Data set'!$H53&lt;5.7,"Normal",'Data set'!$H53&lt;=6.4,"Prediabetes",'Data set'!$H53&lt;=7.5,"Diabetes",'Data set'!$H53&gt;=7.5,"Uncontrolled")</f>
        <v>Uncontrolled</v>
      </c>
      <c r="P53" s="5" t="str">
        <f>_xlfn.IFS('Data set'!$F53&lt;120,"Low",'Data set'!$F53&lt;=200,"Normal",'Data set'!$F53&lt;=240,"Boarderline",'Data set'!$F53&gt;=241,"High")</f>
        <v>Normal</v>
      </c>
      <c r="Q53" s="5" t="str">
        <f>_xlfn.IFS('Data set'!$D53&lt;=18.5,"Low",'Data set'!$D53&lt;=24.9,"Normal",'Data set'!$D53&lt;=29.9,"High",'Data set'!$D53&gt;29.9,"Very High")</f>
        <v>High</v>
      </c>
    </row>
    <row r="54" spans="1:17" x14ac:dyDescent="0.25">
      <c r="A54" s="3">
        <v>26</v>
      </c>
      <c r="B54" s="3" t="s">
        <v>0</v>
      </c>
      <c r="C54" s="4">
        <v>202.86</v>
      </c>
      <c r="D54" s="4">
        <v>25.52</v>
      </c>
      <c r="E54" s="3" t="s">
        <v>6</v>
      </c>
      <c r="F54" s="3">
        <v>223</v>
      </c>
      <c r="G54" s="3" t="s">
        <v>66</v>
      </c>
      <c r="H54" s="4">
        <v>8.98</v>
      </c>
      <c r="I54" s="3">
        <v>7</v>
      </c>
      <c r="J54" s="3" t="s">
        <v>4</v>
      </c>
      <c r="K54" s="3" t="s">
        <v>3</v>
      </c>
      <c r="L54" s="3">
        <v>133</v>
      </c>
      <c r="M54" s="3">
        <v>87</v>
      </c>
      <c r="N54" s="3" t="s">
        <v>17</v>
      </c>
      <c r="O54" s="3" t="str">
        <f>_xlfn.IFS('Data set'!$H54&lt;5.7,"Normal",'Data set'!$H54&lt;=6.4,"Prediabetes",'Data set'!$H54&lt;=7.5,"Diabetes",'Data set'!$H54&gt;=7.5,"Uncontrolled")</f>
        <v>Uncontrolled</v>
      </c>
      <c r="P54" s="3" t="str">
        <f>_xlfn.IFS('Data set'!$F54&lt;120,"Low",'Data set'!$F54&lt;=200,"Normal",'Data set'!$F54&lt;=240,"Boarderline",'Data set'!$F54&gt;=241,"High")</f>
        <v>Boarderline</v>
      </c>
      <c r="Q54" s="3" t="str">
        <f>_xlfn.IFS('Data set'!$D54&lt;=18.5,"Low",'Data set'!$D54&lt;=24.9,"Normal",'Data set'!$D54&lt;=29.9,"High",'Data set'!$D54&gt;29.9,"Very High")</f>
        <v>High</v>
      </c>
    </row>
    <row r="55" spans="1:17" x14ac:dyDescent="0.25">
      <c r="A55" s="5">
        <v>18</v>
      </c>
      <c r="B55" s="5" t="s">
        <v>9</v>
      </c>
      <c r="C55" s="6">
        <v>98.67</v>
      </c>
      <c r="D55" s="6">
        <v>37.17</v>
      </c>
      <c r="E55" s="5" t="s">
        <v>1</v>
      </c>
      <c r="F55" s="5">
        <v>179</v>
      </c>
      <c r="G55" s="5" t="s">
        <v>67</v>
      </c>
      <c r="H55" s="6">
        <v>5.26</v>
      </c>
      <c r="I55" s="5">
        <v>2</v>
      </c>
      <c r="J55" s="5" t="s">
        <v>4</v>
      </c>
      <c r="K55" s="5" t="s">
        <v>4</v>
      </c>
      <c r="L55" s="5">
        <v>122</v>
      </c>
      <c r="M55" s="5">
        <v>88</v>
      </c>
      <c r="N55" s="5" t="s">
        <v>17</v>
      </c>
      <c r="O55" s="5" t="str">
        <f>_xlfn.IFS('Data set'!$H55&lt;5.7,"Normal",'Data set'!$H55&lt;=6.4,"Prediabetes",'Data set'!$H55&lt;=7.5,"Diabetes",'Data set'!$H55&gt;=7.5,"Uncontrolled")</f>
        <v>Normal</v>
      </c>
      <c r="P55" s="5" t="str">
        <f>_xlfn.IFS('Data set'!$F55&lt;120,"Low",'Data set'!$F55&lt;=200,"Normal",'Data set'!$F55&lt;=240,"Boarderline",'Data set'!$F55&gt;=241,"High")</f>
        <v>Normal</v>
      </c>
      <c r="Q55" s="5" t="str">
        <f>_xlfn.IFS('Data set'!$D55&lt;=18.5,"Low",'Data set'!$D55&lt;=24.9,"Normal",'Data set'!$D55&lt;=29.9,"High",'Data set'!$D55&gt;29.9,"Very High")</f>
        <v>Very High</v>
      </c>
    </row>
    <row r="56" spans="1:17" x14ac:dyDescent="0.25">
      <c r="A56" s="3">
        <v>66</v>
      </c>
      <c r="B56" s="3" t="s">
        <v>0</v>
      </c>
      <c r="C56" s="4">
        <v>231.26</v>
      </c>
      <c r="D56" s="4">
        <v>21.13</v>
      </c>
      <c r="E56" s="3" t="s">
        <v>10</v>
      </c>
      <c r="F56" s="3">
        <v>133</v>
      </c>
      <c r="G56" s="3" t="s">
        <v>68</v>
      </c>
      <c r="H56" s="4">
        <v>7.47</v>
      </c>
      <c r="I56" s="3">
        <v>6</v>
      </c>
      <c r="J56" s="3" t="s">
        <v>4</v>
      </c>
      <c r="K56" s="3" t="s">
        <v>4</v>
      </c>
      <c r="L56" s="3">
        <v>136</v>
      </c>
      <c r="M56" s="3">
        <v>83</v>
      </c>
      <c r="N56" s="3" t="s">
        <v>21</v>
      </c>
      <c r="O56" s="3" t="str">
        <f>_xlfn.IFS('Data set'!$H56&lt;5.7,"Normal",'Data set'!$H56&lt;=6.4,"Prediabetes",'Data set'!$H56&lt;=7.5,"Diabetes",'Data set'!$H56&gt;=7.5,"Uncontrolled")</f>
        <v>Diabetes</v>
      </c>
      <c r="P56" s="3" t="str">
        <f>_xlfn.IFS('Data set'!$F56&lt;120,"Low",'Data set'!$F56&lt;=200,"Normal",'Data set'!$F56&lt;=240,"Boarderline",'Data set'!$F56&gt;=241,"High")</f>
        <v>Normal</v>
      </c>
      <c r="Q56" s="3" t="str">
        <f>_xlfn.IFS('Data set'!$D56&lt;=18.5,"Low",'Data set'!$D56&lt;=24.9,"Normal",'Data set'!$D56&lt;=29.9,"High",'Data set'!$D56&gt;29.9,"Very High")</f>
        <v>Normal</v>
      </c>
    </row>
    <row r="57" spans="1:17" x14ac:dyDescent="0.25">
      <c r="A57" s="5">
        <v>46</v>
      </c>
      <c r="B57" s="5" t="s">
        <v>9</v>
      </c>
      <c r="C57" s="6">
        <v>291.8</v>
      </c>
      <c r="D57" s="6">
        <v>21.27</v>
      </c>
      <c r="E57" s="5" t="s">
        <v>6</v>
      </c>
      <c r="F57" s="5">
        <v>135</v>
      </c>
      <c r="G57" s="5" t="s">
        <v>69</v>
      </c>
      <c r="H57" s="6">
        <v>8.02</v>
      </c>
      <c r="I57" s="5">
        <v>7</v>
      </c>
      <c r="J57" s="5" t="s">
        <v>4</v>
      </c>
      <c r="K57" s="5" t="s">
        <v>3</v>
      </c>
      <c r="L57" s="5">
        <v>96</v>
      </c>
      <c r="M57" s="5">
        <v>75</v>
      </c>
      <c r="N57" s="5" t="s">
        <v>23</v>
      </c>
      <c r="O57" s="5" t="str">
        <f>_xlfn.IFS('Data set'!$H57&lt;5.7,"Normal",'Data set'!$H57&lt;=6.4,"Prediabetes",'Data set'!$H57&lt;=7.5,"Diabetes",'Data set'!$H57&gt;=7.5,"Uncontrolled")</f>
        <v>Uncontrolled</v>
      </c>
      <c r="P57" s="5" t="str">
        <f>_xlfn.IFS('Data set'!$F57&lt;120,"Low",'Data set'!$F57&lt;=200,"Normal",'Data set'!$F57&lt;=240,"Boarderline",'Data set'!$F57&gt;=241,"High")</f>
        <v>Normal</v>
      </c>
      <c r="Q57" s="5" t="str">
        <f>_xlfn.IFS('Data set'!$D57&lt;=18.5,"Low",'Data set'!$D57&lt;=24.9,"Normal",'Data set'!$D57&lt;=29.9,"High",'Data set'!$D57&gt;29.9,"Very High")</f>
        <v>Normal</v>
      </c>
    </row>
    <row r="58" spans="1:17" x14ac:dyDescent="0.25">
      <c r="A58" s="3">
        <v>54</v>
      </c>
      <c r="B58" s="3" t="s">
        <v>0</v>
      </c>
      <c r="C58" s="4">
        <v>72.17</v>
      </c>
      <c r="D58" s="4">
        <v>33.06</v>
      </c>
      <c r="E58" s="3" t="s">
        <v>14</v>
      </c>
      <c r="F58" s="3">
        <v>222</v>
      </c>
      <c r="G58" s="3" t="s">
        <v>70</v>
      </c>
      <c r="H58" s="4">
        <v>6.77</v>
      </c>
      <c r="I58" s="3">
        <v>5</v>
      </c>
      <c r="J58" s="3" t="s">
        <v>3</v>
      </c>
      <c r="K58" s="3" t="s">
        <v>3</v>
      </c>
      <c r="L58" s="3">
        <v>112</v>
      </c>
      <c r="M58" s="3">
        <v>79</v>
      </c>
      <c r="N58" s="3" t="s">
        <v>8</v>
      </c>
      <c r="O58" s="3" t="str">
        <f>_xlfn.IFS('Data set'!$H58&lt;5.7,"Normal",'Data set'!$H58&lt;=6.4,"Prediabetes",'Data set'!$H58&lt;=7.5,"Diabetes",'Data set'!$H58&gt;=7.5,"Uncontrolled")</f>
        <v>Diabetes</v>
      </c>
      <c r="P58" s="3" t="str">
        <f>_xlfn.IFS('Data set'!$F58&lt;120,"Low",'Data set'!$F58&lt;=200,"Normal",'Data set'!$F58&lt;=240,"Boarderline",'Data set'!$F58&gt;=241,"High")</f>
        <v>Boarderline</v>
      </c>
      <c r="Q58" s="3" t="str">
        <f>_xlfn.IFS('Data set'!$D58&lt;=18.5,"Low",'Data set'!$D58&lt;=24.9,"Normal",'Data set'!$D58&lt;=29.9,"High",'Data set'!$D58&gt;29.9,"Very High")</f>
        <v>Very High</v>
      </c>
    </row>
    <row r="59" spans="1:17" x14ac:dyDescent="0.25">
      <c r="A59" s="5">
        <v>44</v>
      </c>
      <c r="B59" s="5" t="s">
        <v>9</v>
      </c>
      <c r="C59" s="6">
        <v>150.03</v>
      </c>
      <c r="D59" s="6">
        <v>32.54</v>
      </c>
      <c r="E59" s="5" t="s">
        <v>10</v>
      </c>
      <c r="F59" s="5">
        <v>278</v>
      </c>
      <c r="G59" s="5" t="s">
        <v>71</v>
      </c>
      <c r="H59" s="6">
        <v>8.98</v>
      </c>
      <c r="I59" s="5">
        <v>0</v>
      </c>
      <c r="J59" s="5" t="s">
        <v>4</v>
      </c>
      <c r="K59" s="5" t="s">
        <v>3</v>
      </c>
      <c r="L59" s="5">
        <v>129</v>
      </c>
      <c r="M59" s="5">
        <v>88</v>
      </c>
      <c r="N59" s="5" t="s">
        <v>23</v>
      </c>
      <c r="O59" s="5" t="str">
        <f>_xlfn.IFS('Data set'!$H59&lt;5.7,"Normal",'Data set'!$H59&lt;=6.4,"Prediabetes",'Data set'!$H59&lt;=7.5,"Diabetes",'Data set'!$H59&gt;=7.5,"Uncontrolled")</f>
        <v>Uncontrolled</v>
      </c>
      <c r="P59" s="5" t="str">
        <f>_xlfn.IFS('Data set'!$F59&lt;120,"Low",'Data set'!$F59&lt;=200,"Normal",'Data set'!$F59&lt;=240,"Boarderline",'Data set'!$F59&gt;=241,"High")</f>
        <v>High</v>
      </c>
      <c r="Q59" s="5" t="str">
        <f>_xlfn.IFS('Data set'!$D59&lt;=18.5,"Low",'Data set'!$D59&lt;=24.9,"Normal",'Data set'!$D59&lt;=29.9,"High",'Data set'!$D59&gt;29.9,"Very High")</f>
        <v>Very High</v>
      </c>
    </row>
    <row r="60" spans="1:17" x14ac:dyDescent="0.25">
      <c r="A60" s="3">
        <v>52</v>
      </c>
      <c r="B60" s="3" t="s">
        <v>0</v>
      </c>
      <c r="C60" s="4">
        <v>100.34</v>
      </c>
      <c r="D60" s="4">
        <v>30.53</v>
      </c>
      <c r="E60" s="3" t="s">
        <v>10</v>
      </c>
      <c r="F60" s="3">
        <v>123</v>
      </c>
      <c r="G60" s="3" t="s">
        <v>72</v>
      </c>
      <c r="H60" s="4">
        <v>4.2300000000000004</v>
      </c>
      <c r="I60" s="3">
        <v>1</v>
      </c>
      <c r="J60" s="3" t="s">
        <v>3</v>
      </c>
      <c r="K60" s="3" t="s">
        <v>3</v>
      </c>
      <c r="L60" s="3">
        <v>120</v>
      </c>
      <c r="M60" s="3">
        <v>85</v>
      </c>
      <c r="N60" s="3" t="s">
        <v>8</v>
      </c>
      <c r="O60" s="3" t="str">
        <f>_xlfn.IFS('Data set'!$H60&lt;5.7,"Normal",'Data set'!$H60&lt;=6.4,"Prediabetes",'Data set'!$H60&lt;=7.5,"Diabetes",'Data set'!$H60&gt;=7.5,"Uncontrolled")</f>
        <v>Normal</v>
      </c>
      <c r="P60" s="3" t="str">
        <f>_xlfn.IFS('Data set'!$F60&lt;120,"Low",'Data set'!$F60&lt;=200,"Normal",'Data set'!$F60&lt;=240,"Boarderline",'Data set'!$F60&gt;=241,"High")</f>
        <v>Normal</v>
      </c>
      <c r="Q60" s="3" t="str">
        <f>_xlfn.IFS('Data set'!$D60&lt;=18.5,"Low",'Data set'!$D60&lt;=24.9,"Normal",'Data set'!$D60&lt;=29.9,"High",'Data set'!$D60&gt;29.9,"Very High")</f>
        <v>Very High</v>
      </c>
    </row>
    <row r="61" spans="1:17" x14ac:dyDescent="0.25">
      <c r="A61" s="5">
        <v>60</v>
      </c>
      <c r="B61" s="5" t="s">
        <v>0</v>
      </c>
      <c r="C61" s="6">
        <v>140.02000000000001</v>
      </c>
      <c r="D61" s="6">
        <v>25.17</v>
      </c>
      <c r="E61" s="5" t="s">
        <v>10</v>
      </c>
      <c r="F61" s="5">
        <v>176</v>
      </c>
      <c r="G61" s="5" t="s">
        <v>73</v>
      </c>
      <c r="H61" s="6">
        <v>7.48</v>
      </c>
      <c r="I61" s="5">
        <v>4</v>
      </c>
      <c r="J61" s="5" t="s">
        <v>4</v>
      </c>
      <c r="K61" s="5" t="s">
        <v>4</v>
      </c>
      <c r="L61" s="5">
        <v>95</v>
      </c>
      <c r="M61" s="5">
        <v>73</v>
      </c>
      <c r="N61" s="5" t="s">
        <v>8</v>
      </c>
      <c r="O61" s="5" t="str">
        <f>_xlfn.IFS('Data set'!$H61&lt;5.7,"Normal",'Data set'!$H61&lt;=6.4,"Prediabetes",'Data set'!$H61&lt;=7.5,"Diabetes",'Data set'!$H61&gt;=7.5,"Uncontrolled")</f>
        <v>Diabetes</v>
      </c>
      <c r="P61" s="5" t="str">
        <f>_xlfn.IFS('Data set'!$F61&lt;120,"Low",'Data set'!$F61&lt;=200,"Normal",'Data set'!$F61&lt;=240,"Boarderline",'Data set'!$F61&gt;=241,"High")</f>
        <v>Normal</v>
      </c>
      <c r="Q61" s="5" t="str">
        <f>_xlfn.IFS('Data set'!$D61&lt;=18.5,"Low",'Data set'!$D61&lt;=24.9,"Normal",'Data set'!$D61&lt;=29.9,"High",'Data set'!$D61&gt;29.9,"Very High")</f>
        <v>High</v>
      </c>
    </row>
    <row r="62" spans="1:17" x14ac:dyDescent="0.25">
      <c r="A62" s="3">
        <v>49</v>
      </c>
      <c r="B62" s="3" t="s">
        <v>9</v>
      </c>
      <c r="C62" s="4">
        <v>76.84</v>
      </c>
      <c r="D62" s="4">
        <v>31.96</v>
      </c>
      <c r="E62" s="3" t="s">
        <v>10</v>
      </c>
      <c r="F62" s="3">
        <v>142</v>
      </c>
      <c r="G62" s="3" t="s">
        <v>74</v>
      </c>
      <c r="H62" s="4">
        <v>8.66</v>
      </c>
      <c r="I62" s="3">
        <v>1</v>
      </c>
      <c r="J62" s="3" t="s">
        <v>4</v>
      </c>
      <c r="K62" s="3" t="s">
        <v>3</v>
      </c>
      <c r="L62" s="3">
        <v>96</v>
      </c>
      <c r="M62" s="3">
        <v>87</v>
      </c>
      <c r="N62" s="3" t="s">
        <v>23</v>
      </c>
      <c r="O62" s="3" t="str">
        <f>_xlfn.IFS('Data set'!$H62&lt;5.7,"Normal",'Data set'!$H62&lt;=6.4,"Prediabetes",'Data set'!$H62&lt;=7.5,"Diabetes",'Data set'!$H62&gt;=7.5,"Uncontrolled")</f>
        <v>Uncontrolled</v>
      </c>
      <c r="P62" s="3" t="str">
        <f>_xlfn.IFS('Data set'!$F62&lt;120,"Low",'Data set'!$F62&lt;=200,"Normal",'Data set'!$F62&lt;=240,"Boarderline",'Data set'!$F62&gt;=241,"High")</f>
        <v>Normal</v>
      </c>
      <c r="Q62" s="3" t="str">
        <f>_xlfn.IFS('Data set'!$D62&lt;=18.5,"Low",'Data set'!$D62&lt;=24.9,"Normal",'Data set'!$D62&lt;=29.9,"High",'Data set'!$D62&gt;29.9,"Very High")</f>
        <v>Very High</v>
      </c>
    </row>
    <row r="63" spans="1:17" x14ac:dyDescent="0.25">
      <c r="A63" s="5">
        <v>33</v>
      </c>
      <c r="B63" s="5" t="s">
        <v>0</v>
      </c>
      <c r="C63" s="6">
        <v>94.25</v>
      </c>
      <c r="D63" s="6">
        <v>35.369999999999997</v>
      </c>
      <c r="E63" s="5" t="s">
        <v>1</v>
      </c>
      <c r="F63" s="5">
        <v>171</v>
      </c>
      <c r="G63" s="5" t="s">
        <v>68</v>
      </c>
      <c r="H63" s="6">
        <v>5.12</v>
      </c>
      <c r="I63" s="5">
        <v>3</v>
      </c>
      <c r="J63" s="5" t="s">
        <v>3</v>
      </c>
      <c r="K63" s="5" t="s">
        <v>3</v>
      </c>
      <c r="L63" s="5">
        <v>136</v>
      </c>
      <c r="M63" s="5">
        <v>83</v>
      </c>
      <c r="N63" s="5" t="s">
        <v>12</v>
      </c>
      <c r="O63" s="5" t="str">
        <f>_xlfn.IFS('Data set'!$H63&lt;5.7,"Normal",'Data set'!$H63&lt;=6.4,"Prediabetes",'Data set'!$H63&lt;=7.5,"Diabetes",'Data set'!$H63&gt;=7.5,"Uncontrolled")</f>
        <v>Normal</v>
      </c>
      <c r="P63" s="5" t="str">
        <f>_xlfn.IFS('Data set'!$F63&lt;120,"Low",'Data set'!$F63&lt;=200,"Normal",'Data set'!$F63&lt;=240,"Boarderline",'Data set'!$F63&gt;=241,"High")</f>
        <v>Normal</v>
      </c>
      <c r="Q63" s="5" t="str">
        <f>_xlfn.IFS('Data set'!$D63&lt;=18.5,"Low",'Data set'!$D63&lt;=24.9,"Normal",'Data set'!$D63&lt;=29.9,"High",'Data set'!$D63&gt;29.9,"Very High")</f>
        <v>Very High</v>
      </c>
    </row>
    <row r="64" spans="1:17" x14ac:dyDescent="0.25">
      <c r="A64" s="3">
        <v>41</v>
      </c>
      <c r="B64" s="3" t="s">
        <v>0</v>
      </c>
      <c r="C64" s="4">
        <v>284.97000000000003</v>
      </c>
      <c r="D64" s="4">
        <v>23.42</v>
      </c>
      <c r="E64" s="3" t="s">
        <v>1</v>
      </c>
      <c r="F64" s="3">
        <v>170</v>
      </c>
      <c r="G64" s="3" t="s">
        <v>75</v>
      </c>
      <c r="H64" s="4">
        <v>8.5</v>
      </c>
      <c r="I64" s="3">
        <v>4</v>
      </c>
      <c r="J64" s="3" t="s">
        <v>4</v>
      </c>
      <c r="K64" s="3" t="s">
        <v>3</v>
      </c>
      <c r="L64" s="3">
        <v>97</v>
      </c>
      <c r="M64" s="3">
        <v>69</v>
      </c>
      <c r="N64" s="3" t="s">
        <v>23</v>
      </c>
      <c r="O64" s="3" t="str">
        <f>_xlfn.IFS('Data set'!$H64&lt;5.7,"Normal",'Data set'!$H64&lt;=6.4,"Prediabetes",'Data set'!$H64&lt;=7.5,"Diabetes",'Data set'!$H64&gt;=7.5,"Uncontrolled")</f>
        <v>Uncontrolled</v>
      </c>
      <c r="P64" s="3" t="str">
        <f>_xlfn.IFS('Data set'!$F64&lt;120,"Low",'Data set'!$F64&lt;=200,"Normal",'Data set'!$F64&lt;=240,"Boarderline",'Data set'!$F64&gt;=241,"High")</f>
        <v>Normal</v>
      </c>
      <c r="Q64" s="3" t="str">
        <f>_xlfn.IFS('Data set'!$D64&lt;=18.5,"Low",'Data set'!$D64&lt;=24.9,"Normal",'Data set'!$D64&lt;=29.9,"High",'Data set'!$D64&gt;29.9,"Very High")</f>
        <v>Normal</v>
      </c>
    </row>
    <row r="65" spans="1:17" x14ac:dyDescent="0.25">
      <c r="A65" s="5">
        <v>79</v>
      </c>
      <c r="B65" s="5" t="s">
        <v>9</v>
      </c>
      <c r="C65" s="6">
        <v>246.51</v>
      </c>
      <c r="D65" s="6">
        <v>34.299999999999997</v>
      </c>
      <c r="E65" s="5" t="s">
        <v>6</v>
      </c>
      <c r="F65" s="5">
        <v>292</v>
      </c>
      <c r="G65" s="5" t="s">
        <v>76</v>
      </c>
      <c r="H65" s="6">
        <v>7.24</v>
      </c>
      <c r="I65" s="5">
        <v>3</v>
      </c>
      <c r="J65" s="5" t="s">
        <v>3</v>
      </c>
      <c r="K65" s="5" t="s">
        <v>3</v>
      </c>
      <c r="L65" s="5">
        <v>117</v>
      </c>
      <c r="M65" s="5">
        <v>68</v>
      </c>
      <c r="N65" s="5" t="s">
        <v>5</v>
      </c>
      <c r="O65" s="5" t="str">
        <f>_xlfn.IFS('Data set'!$H65&lt;5.7,"Normal",'Data set'!$H65&lt;=6.4,"Prediabetes",'Data set'!$H65&lt;=7.5,"Diabetes",'Data set'!$H65&gt;=7.5,"Uncontrolled")</f>
        <v>Diabetes</v>
      </c>
      <c r="P65" s="5" t="str">
        <f>_xlfn.IFS('Data set'!$F65&lt;120,"Low",'Data set'!$F65&lt;=200,"Normal",'Data set'!$F65&lt;=240,"Boarderline",'Data set'!$F65&gt;=241,"High")</f>
        <v>High</v>
      </c>
      <c r="Q65" s="5" t="str">
        <f>_xlfn.IFS('Data set'!$D65&lt;=18.5,"Low",'Data set'!$D65&lt;=24.9,"Normal",'Data set'!$D65&lt;=29.9,"High",'Data set'!$D65&gt;29.9,"Very High")</f>
        <v>Very High</v>
      </c>
    </row>
    <row r="66" spans="1:17" x14ac:dyDescent="0.25">
      <c r="A66" s="3">
        <v>50</v>
      </c>
      <c r="B66" s="3" t="s">
        <v>0</v>
      </c>
      <c r="C66" s="4">
        <v>139.38</v>
      </c>
      <c r="D66" s="4">
        <v>30.75</v>
      </c>
      <c r="E66" s="3" t="s">
        <v>6</v>
      </c>
      <c r="F66" s="3">
        <v>264</v>
      </c>
      <c r="G66" s="3" t="s">
        <v>77</v>
      </c>
      <c r="H66" s="4">
        <v>5.5</v>
      </c>
      <c r="I66" s="3">
        <v>5</v>
      </c>
      <c r="J66" s="3" t="s">
        <v>4</v>
      </c>
      <c r="K66" s="3" t="s">
        <v>4</v>
      </c>
      <c r="L66" s="3">
        <v>111</v>
      </c>
      <c r="M66" s="3">
        <v>74</v>
      </c>
      <c r="N66" s="3" t="s">
        <v>23</v>
      </c>
      <c r="O66" s="3" t="str">
        <f>_xlfn.IFS('Data set'!$H66&lt;5.7,"Normal",'Data set'!$H66&lt;=6.4,"Prediabetes",'Data set'!$H66&lt;=7.5,"Diabetes",'Data set'!$H66&gt;=7.5,"Uncontrolled")</f>
        <v>Normal</v>
      </c>
      <c r="P66" s="3" t="str">
        <f>_xlfn.IFS('Data set'!$F66&lt;120,"Low",'Data set'!$F66&lt;=200,"Normal",'Data set'!$F66&lt;=240,"Boarderline",'Data set'!$F66&gt;=241,"High")</f>
        <v>High</v>
      </c>
      <c r="Q66" s="3" t="str">
        <f>_xlfn.IFS('Data set'!$D66&lt;=18.5,"Low",'Data set'!$D66&lt;=24.9,"Normal",'Data set'!$D66&lt;=29.9,"High",'Data set'!$D66&gt;29.9,"Very High")</f>
        <v>Very High</v>
      </c>
    </row>
    <row r="67" spans="1:17" x14ac:dyDescent="0.25">
      <c r="A67" s="5">
        <v>22</v>
      </c>
      <c r="B67" s="5" t="s">
        <v>0</v>
      </c>
      <c r="C67" s="6">
        <v>261.41000000000003</v>
      </c>
      <c r="D67" s="6">
        <v>35.89</v>
      </c>
      <c r="E67" s="5" t="s">
        <v>10</v>
      </c>
      <c r="F67" s="5">
        <v>118</v>
      </c>
      <c r="G67" s="5" t="s">
        <v>78</v>
      </c>
      <c r="H67" s="6">
        <v>5.51</v>
      </c>
      <c r="I67" s="5">
        <v>6</v>
      </c>
      <c r="J67" s="5" t="s">
        <v>3</v>
      </c>
      <c r="K67" s="5" t="s">
        <v>3</v>
      </c>
      <c r="L67" s="5">
        <v>109</v>
      </c>
      <c r="M67" s="5">
        <v>70</v>
      </c>
      <c r="N67" s="5" t="s">
        <v>17</v>
      </c>
      <c r="O67" s="5" t="str">
        <f>_xlfn.IFS('Data set'!$H67&lt;5.7,"Normal",'Data set'!$H67&lt;=6.4,"Prediabetes",'Data set'!$H67&lt;=7.5,"Diabetes",'Data set'!$H67&gt;=7.5,"Uncontrolled")</f>
        <v>Normal</v>
      </c>
      <c r="P67" s="5" t="str">
        <f>_xlfn.IFS('Data set'!$F67&lt;120,"Low",'Data set'!$F67&lt;=200,"Normal",'Data set'!$F67&lt;=240,"Boarderline",'Data set'!$F67&gt;=241,"High")</f>
        <v>Low</v>
      </c>
      <c r="Q67" s="5" t="str">
        <f>_xlfn.IFS('Data set'!$D67&lt;=18.5,"Low",'Data set'!$D67&lt;=24.9,"Normal",'Data set'!$D67&lt;=29.9,"High",'Data set'!$D67&gt;29.9,"Very High")</f>
        <v>Very High</v>
      </c>
    </row>
    <row r="68" spans="1:17" x14ac:dyDescent="0.25">
      <c r="A68" s="3">
        <v>54</v>
      </c>
      <c r="B68" s="3" t="s">
        <v>9</v>
      </c>
      <c r="C68" s="4">
        <v>151.84</v>
      </c>
      <c r="D68" s="4">
        <v>31.14</v>
      </c>
      <c r="E68" s="3" t="s">
        <v>14</v>
      </c>
      <c r="F68" s="3">
        <v>297</v>
      </c>
      <c r="G68" s="3" t="s">
        <v>79</v>
      </c>
      <c r="H68" s="4">
        <v>4.6500000000000004</v>
      </c>
      <c r="I68" s="3">
        <v>3</v>
      </c>
      <c r="J68" s="3" t="s">
        <v>4</v>
      </c>
      <c r="K68" s="3" t="s">
        <v>3</v>
      </c>
      <c r="L68" s="3">
        <v>108</v>
      </c>
      <c r="M68" s="3">
        <v>66</v>
      </c>
      <c r="N68" s="3" t="s">
        <v>8</v>
      </c>
      <c r="O68" s="3" t="str">
        <f>_xlfn.IFS('Data set'!$H68&lt;5.7,"Normal",'Data set'!$H68&lt;=6.4,"Prediabetes",'Data set'!$H68&lt;=7.5,"Diabetes",'Data set'!$H68&gt;=7.5,"Uncontrolled")</f>
        <v>Normal</v>
      </c>
      <c r="P68" s="3" t="str">
        <f>_xlfn.IFS('Data set'!$F68&lt;120,"Low",'Data set'!$F68&lt;=200,"Normal",'Data set'!$F68&lt;=240,"Boarderline",'Data set'!$F68&gt;=241,"High")</f>
        <v>High</v>
      </c>
      <c r="Q68" s="3" t="str">
        <f>_xlfn.IFS('Data set'!$D68&lt;=18.5,"Low",'Data set'!$D68&lt;=24.9,"Normal",'Data set'!$D68&lt;=29.9,"High",'Data set'!$D68&gt;29.9,"Very High")</f>
        <v>Very High</v>
      </c>
    </row>
    <row r="69" spans="1:17" x14ac:dyDescent="0.25">
      <c r="A69" s="5">
        <v>49</v>
      </c>
      <c r="B69" s="5" t="s">
        <v>9</v>
      </c>
      <c r="C69" s="6">
        <v>115.36</v>
      </c>
      <c r="D69" s="6">
        <v>29.69</v>
      </c>
      <c r="E69" s="5" t="s">
        <v>1</v>
      </c>
      <c r="F69" s="5">
        <v>190</v>
      </c>
      <c r="G69" s="5" t="s">
        <v>80</v>
      </c>
      <c r="H69" s="6">
        <v>9.75</v>
      </c>
      <c r="I69" s="5">
        <v>4</v>
      </c>
      <c r="J69" s="5" t="s">
        <v>3</v>
      </c>
      <c r="K69" s="5" t="s">
        <v>3</v>
      </c>
      <c r="L69" s="5">
        <v>127</v>
      </c>
      <c r="M69" s="5">
        <v>76</v>
      </c>
      <c r="N69" s="5" t="s">
        <v>23</v>
      </c>
      <c r="O69" s="5" t="str">
        <f>_xlfn.IFS('Data set'!$H69&lt;5.7,"Normal",'Data set'!$H69&lt;=6.4,"Prediabetes",'Data set'!$H69&lt;=7.5,"Diabetes",'Data set'!$H69&gt;=7.5,"Uncontrolled")</f>
        <v>Uncontrolled</v>
      </c>
      <c r="P69" s="5" t="str">
        <f>_xlfn.IFS('Data set'!$F69&lt;120,"Low",'Data set'!$F69&lt;=200,"Normal",'Data set'!$F69&lt;=240,"Boarderline",'Data set'!$F69&gt;=241,"High")</f>
        <v>Normal</v>
      </c>
      <c r="Q69" s="5" t="str">
        <f>_xlfn.IFS('Data set'!$D69&lt;=18.5,"Low",'Data set'!$D69&lt;=24.9,"Normal",'Data set'!$D69&lt;=29.9,"High",'Data set'!$D69&gt;29.9,"Very High")</f>
        <v>High</v>
      </c>
    </row>
    <row r="70" spans="1:17" x14ac:dyDescent="0.25">
      <c r="A70" s="3">
        <v>30</v>
      </c>
      <c r="B70" s="3" t="s">
        <v>9</v>
      </c>
      <c r="C70" s="4">
        <v>296.48</v>
      </c>
      <c r="D70" s="4">
        <v>27.77</v>
      </c>
      <c r="E70" s="3" t="s">
        <v>1</v>
      </c>
      <c r="F70" s="3">
        <v>232</v>
      </c>
      <c r="G70" s="3" t="s">
        <v>81</v>
      </c>
      <c r="H70" s="4">
        <v>6.65</v>
      </c>
      <c r="I70" s="3">
        <v>4</v>
      </c>
      <c r="J70" s="3" t="s">
        <v>4</v>
      </c>
      <c r="K70" s="3" t="s">
        <v>3</v>
      </c>
      <c r="L70" s="3">
        <v>135</v>
      </c>
      <c r="M70" s="3">
        <v>86</v>
      </c>
      <c r="N70" s="3" t="s">
        <v>17</v>
      </c>
      <c r="O70" s="3" t="str">
        <f>_xlfn.IFS('Data set'!$H70&lt;5.7,"Normal",'Data set'!$H70&lt;=6.4,"Prediabetes",'Data set'!$H70&lt;=7.5,"Diabetes",'Data set'!$H70&gt;=7.5,"Uncontrolled")</f>
        <v>Diabetes</v>
      </c>
      <c r="P70" s="3" t="str">
        <f>_xlfn.IFS('Data set'!$F70&lt;120,"Low",'Data set'!$F70&lt;=200,"Normal",'Data set'!$F70&lt;=240,"Boarderline",'Data set'!$F70&gt;=241,"High")</f>
        <v>Boarderline</v>
      </c>
      <c r="Q70" s="3" t="str">
        <f>_xlfn.IFS('Data set'!$D70&lt;=18.5,"Low",'Data set'!$D70&lt;=24.9,"Normal",'Data set'!$D70&lt;=29.9,"High",'Data set'!$D70&gt;29.9,"Very High")</f>
        <v>High</v>
      </c>
    </row>
    <row r="71" spans="1:17" x14ac:dyDescent="0.25">
      <c r="A71" s="5">
        <v>35</v>
      </c>
      <c r="B71" s="5" t="s">
        <v>0</v>
      </c>
      <c r="C71" s="6">
        <v>189.95</v>
      </c>
      <c r="D71" s="6">
        <v>35.549999999999997</v>
      </c>
      <c r="E71" s="5" t="s">
        <v>10</v>
      </c>
      <c r="F71" s="5">
        <v>237</v>
      </c>
      <c r="G71" s="5" t="s">
        <v>82</v>
      </c>
      <c r="H71" s="6">
        <v>4.91</v>
      </c>
      <c r="I71" s="5">
        <v>7</v>
      </c>
      <c r="J71" s="5" t="s">
        <v>4</v>
      </c>
      <c r="K71" s="5" t="s">
        <v>3</v>
      </c>
      <c r="L71" s="5">
        <v>90</v>
      </c>
      <c r="M71" s="5">
        <v>81</v>
      </c>
      <c r="N71" s="5" t="s">
        <v>12</v>
      </c>
      <c r="O71" s="5" t="str">
        <f>_xlfn.IFS('Data set'!$H71&lt;5.7,"Normal",'Data set'!$H71&lt;=6.4,"Prediabetes",'Data set'!$H71&lt;=7.5,"Diabetes",'Data set'!$H71&gt;=7.5,"Uncontrolled")</f>
        <v>Normal</v>
      </c>
      <c r="P71" s="5" t="str">
        <f>_xlfn.IFS('Data set'!$F71&lt;120,"Low",'Data set'!$F71&lt;=200,"Normal",'Data set'!$F71&lt;=240,"Boarderline",'Data set'!$F71&gt;=241,"High")</f>
        <v>Boarderline</v>
      </c>
      <c r="Q71" s="5" t="str">
        <f>_xlfn.IFS('Data set'!$D71&lt;=18.5,"Low",'Data set'!$D71&lt;=24.9,"Normal",'Data set'!$D71&lt;=29.9,"High",'Data set'!$D71&gt;29.9,"Very High")</f>
        <v>Very High</v>
      </c>
    </row>
    <row r="72" spans="1:17" x14ac:dyDescent="0.25">
      <c r="A72" s="3">
        <v>36</v>
      </c>
      <c r="B72" s="3" t="s">
        <v>0</v>
      </c>
      <c r="C72" s="4">
        <v>177.52</v>
      </c>
      <c r="D72" s="4">
        <v>29.33</v>
      </c>
      <c r="E72" s="3" t="s">
        <v>10</v>
      </c>
      <c r="F72" s="3">
        <v>145</v>
      </c>
      <c r="G72" s="3" t="s">
        <v>83</v>
      </c>
      <c r="H72" s="4">
        <v>7.63</v>
      </c>
      <c r="I72" s="3">
        <v>5</v>
      </c>
      <c r="J72" s="3" t="s">
        <v>4</v>
      </c>
      <c r="K72" s="3" t="s">
        <v>3</v>
      </c>
      <c r="L72" s="3">
        <v>138</v>
      </c>
      <c r="M72" s="3">
        <v>80</v>
      </c>
      <c r="N72" s="3" t="s">
        <v>12</v>
      </c>
      <c r="O72" s="3" t="str">
        <f>_xlfn.IFS('Data set'!$H72&lt;5.7,"Normal",'Data set'!$H72&lt;=6.4,"Prediabetes",'Data set'!$H72&lt;=7.5,"Diabetes",'Data set'!$H72&gt;=7.5,"Uncontrolled")</f>
        <v>Uncontrolled</v>
      </c>
      <c r="P72" s="3" t="str">
        <f>_xlfn.IFS('Data set'!$F72&lt;120,"Low",'Data set'!$F72&lt;=200,"Normal",'Data set'!$F72&lt;=240,"Boarderline",'Data set'!$F72&gt;=241,"High")</f>
        <v>Normal</v>
      </c>
      <c r="Q72" s="3" t="str">
        <f>_xlfn.IFS('Data set'!$D72&lt;=18.5,"Low",'Data set'!$D72&lt;=24.9,"Normal",'Data set'!$D72&lt;=29.9,"High",'Data set'!$D72&gt;29.9,"Very High")</f>
        <v>High</v>
      </c>
    </row>
    <row r="73" spans="1:17" x14ac:dyDescent="0.25">
      <c r="A73" s="5">
        <v>49</v>
      </c>
      <c r="B73" s="5" t="s">
        <v>9</v>
      </c>
      <c r="C73" s="6">
        <v>171.44</v>
      </c>
      <c r="D73" s="6">
        <v>39.85</v>
      </c>
      <c r="E73" s="5" t="s">
        <v>6</v>
      </c>
      <c r="F73" s="5">
        <v>235</v>
      </c>
      <c r="G73" s="5" t="s">
        <v>84</v>
      </c>
      <c r="H73" s="6">
        <v>8.51</v>
      </c>
      <c r="I73" s="5">
        <v>7</v>
      </c>
      <c r="J73" s="5" t="s">
        <v>4</v>
      </c>
      <c r="K73" s="5" t="s">
        <v>3</v>
      </c>
      <c r="L73" s="5">
        <v>103</v>
      </c>
      <c r="M73" s="5">
        <v>61</v>
      </c>
      <c r="N73" s="5" t="s">
        <v>23</v>
      </c>
      <c r="O73" s="5" t="str">
        <f>_xlfn.IFS('Data set'!$H73&lt;5.7,"Normal",'Data set'!$H73&lt;=6.4,"Prediabetes",'Data set'!$H73&lt;=7.5,"Diabetes",'Data set'!$H73&gt;=7.5,"Uncontrolled")</f>
        <v>Uncontrolled</v>
      </c>
      <c r="P73" s="5" t="str">
        <f>_xlfn.IFS('Data set'!$F73&lt;120,"Low",'Data set'!$F73&lt;=200,"Normal",'Data set'!$F73&lt;=240,"Boarderline",'Data set'!$F73&gt;=241,"High")</f>
        <v>Boarderline</v>
      </c>
      <c r="Q73" s="5" t="str">
        <f>_xlfn.IFS('Data set'!$D73&lt;=18.5,"Low",'Data set'!$D73&lt;=24.9,"Normal",'Data set'!$D73&lt;=29.9,"High",'Data set'!$D73&gt;29.9,"Very High")</f>
        <v>Very High</v>
      </c>
    </row>
    <row r="74" spans="1:17" x14ac:dyDescent="0.25">
      <c r="A74" s="3">
        <v>33</v>
      </c>
      <c r="B74" s="3" t="s">
        <v>0</v>
      </c>
      <c r="C74" s="4">
        <v>104.47</v>
      </c>
      <c r="D74" s="4">
        <v>39.82</v>
      </c>
      <c r="E74" s="3" t="s">
        <v>1</v>
      </c>
      <c r="F74" s="3">
        <v>263</v>
      </c>
      <c r="G74" s="3" t="s">
        <v>85</v>
      </c>
      <c r="H74" s="4">
        <v>6.87</v>
      </c>
      <c r="I74" s="3">
        <v>0</v>
      </c>
      <c r="J74" s="3" t="s">
        <v>3</v>
      </c>
      <c r="K74" s="3" t="s">
        <v>4</v>
      </c>
      <c r="L74" s="3">
        <v>138</v>
      </c>
      <c r="M74" s="3">
        <v>71</v>
      </c>
      <c r="N74" s="3" t="s">
        <v>12</v>
      </c>
      <c r="O74" s="3" t="str">
        <f>_xlfn.IFS('Data set'!$H74&lt;5.7,"Normal",'Data set'!$H74&lt;=6.4,"Prediabetes",'Data set'!$H74&lt;=7.5,"Diabetes",'Data set'!$H74&gt;=7.5,"Uncontrolled")</f>
        <v>Diabetes</v>
      </c>
      <c r="P74" s="3" t="str">
        <f>_xlfn.IFS('Data set'!$F74&lt;120,"Low",'Data set'!$F74&lt;=200,"Normal",'Data set'!$F74&lt;=240,"Boarderline",'Data set'!$F74&gt;=241,"High")</f>
        <v>High</v>
      </c>
      <c r="Q74" s="3" t="str">
        <f>_xlfn.IFS('Data set'!$D74&lt;=18.5,"Low",'Data set'!$D74&lt;=24.9,"Normal",'Data set'!$D74&lt;=29.9,"High",'Data set'!$D74&gt;29.9,"Very High")</f>
        <v>Very High</v>
      </c>
    </row>
    <row r="75" spans="1:17" x14ac:dyDescent="0.25">
      <c r="A75" s="5">
        <v>78</v>
      </c>
      <c r="B75" s="5" t="s">
        <v>9</v>
      </c>
      <c r="C75" s="6">
        <v>225</v>
      </c>
      <c r="D75" s="6">
        <v>22.54</v>
      </c>
      <c r="E75" s="5" t="s">
        <v>14</v>
      </c>
      <c r="F75" s="5">
        <v>215</v>
      </c>
      <c r="G75" s="5" t="s">
        <v>75</v>
      </c>
      <c r="H75" s="6">
        <v>6.66</v>
      </c>
      <c r="I75" s="5">
        <v>4</v>
      </c>
      <c r="J75" s="5" t="s">
        <v>3</v>
      </c>
      <c r="K75" s="5" t="s">
        <v>3</v>
      </c>
      <c r="L75" s="5">
        <v>97</v>
      </c>
      <c r="M75" s="5">
        <v>69</v>
      </c>
      <c r="N75" s="5" t="s">
        <v>5</v>
      </c>
      <c r="O75" s="5" t="str">
        <f>_xlfn.IFS('Data set'!$H75&lt;5.7,"Normal",'Data set'!$H75&lt;=6.4,"Prediabetes",'Data set'!$H75&lt;=7.5,"Diabetes",'Data set'!$H75&gt;=7.5,"Uncontrolled")</f>
        <v>Diabetes</v>
      </c>
      <c r="P75" s="5" t="str">
        <f>_xlfn.IFS('Data set'!$F75&lt;120,"Low",'Data set'!$F75&lt;=200,"Normal",'Data set'!$F75&lt;=240,"Boarderline",'Data set'!$F75&gt;=241,"High")</f>
        <v>Boarderline</v>
      </c>
      <c r="Q75" s="5" t="str">
        <f>_xlfn.IFS('Data set'!$D75&lt;=18.5,"Low",'Data set'!$D75&lt;=24.9,"Normal",'Data set'!$D75&lt;=29.9,"High",'Data set'!$D75&gt;29.9,"Very High")</f>
        <v>Normal</v>
      </c>
    </row>
    <row r="76" spans="1:17" x14ac:dyDescent="0.25">
      <c r="A76" s="3">
        <v>61</v>
      </c>
      <c r="B76" s="3" t="s">
        <v>9</v>
      </c>
      <c r="C76" s="4">
        <v>212.93</v>
      </c>
      <c r="D76" s="4">
        <v>24.97</v>
      </c>
      <c r="E76" s="3" t="s">
        <v>10</v>
      </c>
      <c r="F76" s="3">
        <v>196</v>
      </c>
      <c r="G76" s="3" t="s">
        <v>86</v>
      </c>
      <c r="H76" s="4">
        <v>4.12</v>
      </c>
      <c r="I76" s="3">
        <v>5</v>
      </c>
      <c r="J76" s="3" t="s">
        <v>4</v>
      </c>
      <c r="K76" s="3" t="s">
        <v>4</v>
      </c>
      <c r="L76" s="3">
        <v>97</v>
      </c>
      <c r="M76" s="3">
        <v>60</v>
      </c>
      <c r="N76" s="3" t="s">
        <v>21</v>
      </c>
      <c r="O76" s="3" t="str">
        <f>_xlfn.IFS('Data set'!$H76&lt;5.7,"Normal",'Data set'!$H76&lt;=6.4,"Prediabetes",'Data set'!$H76&lt;=7.5,"Diabetes",'Data set'!$H76&gt;=7.5,"Uncontrolled")</f>
        <v>Normal</v>
      </c>
      <c r="P76" s="3" t="str">
        <f>_xlfn.IFS('Data set'!$F76&lt;120,"Low",'Data set'!$F76&lt;=200,"Normal",'Data set'!$F76&lt;=240,"Boarderline",'Data set'!$F76&gt;=241,"High")</f>
        <v>Normal</v>
      </c>
      <c r="Q76" s="3" t="str">
        <f>_xlfn.IFS('Data set'!$D76&lt;=18.5,"Low",'Data set'!$D76&lt;=24.9,"Normal",'Data set'!$D76&lt;=29.9,"High",'Data set'!$D76&gt;29.9,"Very High")</f>
        <v>High</v>
      </c>
    </row>
    <row r="77" spans="1:17" x14ac:dyDescent="0.25">
      <c r="A77" s="5">
        <v>36</v>
      </c>
      <c r="B77" s="5" t="s">
        <v>0</v>
      </c>
      <c r="C77" s="6">
        <v>199.71</v>
      </c>
      <c r="D77" s="6">
        <v>18.96</v>
      </c>
      <c r="E77" s="5" t="s">
        <v>6</v>
      </c>
      <c r="F77" s="5">
        <v>180</v>
      </c>
      <c r="G77" s="5" t="s">
        <v>87</v>
      </c>
      <c r="H77" s="6">
        <v>8.59</v>
      </c>
      <c r="I77" s="5">
        <v>3</v>
      </c>
      <c r="J77" s="5" t="s">
        <v>4</v>
      </c>
      <c r="K77" s="5" t="s">
        <v>3</v>
      </c>
      <c r="L77" s="5">
        <v>96</v>
      </c>
      <c r="M77" s="5">
        <v>68</v>
      </c>
      <c r="N77" s="5" t="s">
        <v>12</v>
      </c>
      <c r="O77" s="5" t="str">
        <f>_xlfn.IFS('Data set'!$H77&lt;5.7,"Normal",'Data set'!$H77&lt;=6.4,"Prediabetes",'Data set'!$H77&lt;=7.5,"Diabetes",'Data set'!$H77&gt;=7.5,"Uncontrolled")</f>
        <v>Uncontrolled</v>
      </c>
      <c r="P77" s="5" t="str">
        <f>_xlfn.IFS('Data set'!$F77&lt;120,"Low",'Data set'!$F77&lt;=200,"Normal",'Data set'!$F77&lt;=240,"Boarderline",'Data set'!$F77&gt;=241,"High")</f>
        <v>Normal</v>
      </c>
      <c r="Q77" s="5" t="str">
        <f>_xlfn.IFS('Data set'!$D77&lt;=18.5,"Low",'Data set'!$D77&lt;=24.9,"Normal",'Data set'!$D77&lt;=29.9,"High",'Data set'!$D77&gt;29.9,"Very High")</f>
        <v>Normal</v>
      </c>
    </row>
    <row r="78" spans="1:17" x14ac:dyDescent="0.25">
      <c r="A78" s="3">
        <v>59</v>
      </c>
      <c r="B78" s="3" t="s">
        <v>0</v>
      </c>
      <c r="C78" s="4">
        <v>268.83999999999997</v>
      </c>
      <c r="D78" s="4">
        <v>19.61</v>
      </c>
      <c r="E78" s="3" t="s">
        <v>10</v>
      </c>
      <c r="F78" s="3">
        <v>212</v>
      </c>
      <c r="G78" s="3" t="s">
        <v>88</v>
      </c>
      <c r="H78" s="4">
        <v>9.67</v>
      </c>
      <c r="I78" s="3">
        <v>0</v>
      </c>
      <c r="J78" s="3" t="s">
        <v>3</v>
      </c>
      <c r="K78" s="3" t="s">
        <v>3</v>
      </c>
      <c r="L78" s="3">
        <v>116</v>
      </c>
      <c r="M78" s="3">
        <v>74</v>
      </c>
      <c r="N78" s="3" t="s">
        <v>8</v>
      </c>
      <c r="O78" s="3" t="str">
        <f>_xlfn.IFS('Data set'!$H78&lt;5.7,"Normal",'Data set'!$H78&lt;=6.4,"Prediabetes",'Data set'!$H78&lt;=7.5,"Diabetes",'Data set'!$H78&gt;=7.5,"Uncontrolled")</f>
        <v>Uncontrolled</v>
      </c>
      <c r="P78" s="3" t="str">
        <f>_xlfn.IFS('Data set'!$F78&lt;120,"Low",'Data set'!$F78&lt;=200,"Normal",'Data set'!$F78&lt;=240,"Boarderline",'Data set'!$F78&gt;=241,"High")</f>
        <v>Boarderline</v>
      </c>
      <c r="Q78" s="3" t="str">
        <f>_xlfn.IFS('Data set'!$D78&lt;=18.5,"Low",'Data set'!$D78&lt;=24.9,"Normal",'Data set'!$D78&lt;=29.9,"High",'Data set'!$D78&gt;29.9,"Very High")</f>
        <v>Normal</v>
      </c>
    </row>
    <row r="79" spans="1:17" x14ac:dyDescent="0.25">
      <c r="A79" s="5">
        <v>29</v>
      </c>
      <c r="B79" s="5" t="s">
        <v>9</v>
      </c>
      <c r="C79" s="6">
        <v>111.23</v>
      </c>
      <c r="D79" s="6">
        <v>25.13</v>
      </c>
      <c r="E79" s="5" t="s">
        <v>10</v>
      </c>
      <c r="F79" s="5">
        <v>199</v>
      </c>
      <c r="G79" s="5" t="s">
        <v>89</v>
      </c>
      <c r="H79" s="6">
        <v>5.51</v>
      </c>
      <c r="I79" s="5">
        <v>4</v>
      </c>
      <c r="J79" s="5" t="s">
        <v>3</v>
      </c>
      <c r="K79" s="5" t="s">
        <v>4</v>
      </c>
      <c r="L79" s="5">
        <v>116</v>
      </c>
      <c r="M79" s="5">
        <v>79</v>
      </c>
      <c r="N79" s="5" t="s">
        <v>17</v>
      </c>
      <c r="O79" s="5" t="str">
        <f>_xlfn.IFS('Data set'!$H79&lt;5.7,"Normal",'Data set'!$H79&lt;=6.4,"Prediabetes",'Data set'!$H79&lt;=7.5,"Diabetes",'Data set'!$H79&gt;=7.5,"Uncontrolled")</f>
        <v>Normal</v>
      </c>
      <c r="P79" s="5" t="str">
        <f>_xlfn.IFS('Data set'!$F79&lt;120,"Low",'Data set'!$F79&lt;=200,"Normal",'Data set'!$F79&lt;=240,"Boarderline",'Data set'!$F79&gt;=241,"High")</f>
        <v>Normal</v>
      </c>
      <c r="Q79" s="5" t="str">
        <f>_xlfn.IFS('Data set'!$D79&lt;=18.5,"Low",'Data set'!$D79&lt;=24.9,"Normal",'Data set'!$D79&lt;=29.9,"High",'Data set'!$D79&gt;29.9,"Very High")</f>
        <v>High</v>
      </c>
    </row>
    <row r="80" spans="1:17" x14ac:dyDescent="0.25">
      <c r="A80" s="3">
        <v>65</v>
      </c>
      <c r="B80" s="3" t="s">
        <v>0</v>
      </c>
      <c r="C80" s="4">
        <v>84.51</v>
      </c>
      <c r="D80" s="4">
        <v>25.68</v>
      </c>
      <c r="E80" s="3" t="s">
        <v>14</v>
      </c>
      <c r="F80" s="3">
        <v>116</v>
      </c>
      <c r="G80" s="3" t="s">
        <v>90</v>
      </c>
      <c r="H80" s="4">
        <v>9.7799999999999994</v>
      </c>
      <c r="I80" s="3">
        <v>0</v>
      </c>
      <c r="J80" s="3" t="s">
        <v>3</v>
      </c>
      <c r="K80" s="3" t="s">
        <v>3</v>
      </c>
      <c r="L80" s="3">
        <v>134</v>
      </c>
      <c r="M80" s="3">
        <v>61</v>
      </c>
      <c r="N80" s="3" t="s">
        <v>21</v>
      </c>
      <c r="O80" s="3" t="str">
        <f>_xlfn.IFS('Data set'!$H80&lt;5.7,"Normal",'Data set'!$H80&lt;=6.4,"Prediabetes",'Data set'!$H80&lt;=7.5,"Diabetes",'Data set'!$H80&gt;=7.5,"Uncontrolled")</f>
        <v>Uncontrolled</v>
      </c>
      <c r="P80" s="3" t="str">
        <f>_xlfn.IFS('Data set'!$F80&lt;120,"Low",'Data set'!$F80&lt;=200,"Normal",'Data set'!$F80&lt;=240,"Boarderline",'Data set'!$F80&gt;=241,"High")</f>
        <v>Low</v>
      </c>
      <c r="Q80" s="3" t="str">
        <f>_xlfn.IFS('Data set'!$D80&lt;=18.5,"Low",'Data set'!$D80&lt;=24.9,"Normal",'Data set'!$D80&lt;=29.9,"High",'Data set'!$D80&gt;29.9,"Very High")</f>
        <v>High</v>
      </c>
    </row>
    <row r="81" spans="1:17" x14ac:dyDescent="0.25">
      <c r="A81" s="5">
        <v>21</v>
      </c>
      <c r="B81" s="5" t="s">
        <v>0</v>
      </c>
      <c r="C81" s="6">
        <v>100.07</v>
      </c>
      <c r="D81" s="6">
        <v>19.41</v>
      </c>
      <c r="E81" s="5" t="s">
        <v>10</v>
      </c>
      <c r="F81" s="5">
        <v>171</v>
      </c>
      <c r="G81" s="5" t="s">
        <v>91</v>
      </c>
      <c r="H81" s="6">
        <v>8.19</v>
      </c>
      <c r="I81" s="5">
        <v>7</v>
      </c>
      <c r="J81" s="5" t="s">
        <v>3</v>
      </c>
      <c r="K81" s="5" t="s">
        <v>4</v>
      </c>
      <c r="L81" s="5">
        <v>117</v>
      </c>
      <c r="M81" s="5">
        <v>86</v>
      </c>
      <c r="N81" s="5" t="s">
        <v>17</v>
      </c>
      <c r="O81" s="5" t="str">
        <f>_xlfn.IFS('Data set'!$H81&lt;5.7,"Normal",'Data set'!$H81&lt;=6.4,"Prediabetes",'Data set'!$H81&lt;=7.5,"Diabetes",'Data set'!$H81&gt;=7.5,"Uncontrolled")</f>
        <v>Uncontrolled</v>
      </c>
      <c r="P81" s="5" t="str">
        <f>_xlfn.IFS('Data set'!$F81&lt;120,"Low",'Data set'!$F81&lt;=200,"Normal",'Data set'!$F81&lt;=240,"Boarderline",'Data set'!$F81&gt;=241,"High")</f>
        <v>Normal</v>
      </c>
      <c r="Q81" s="5" t="str">
        <f>_xlfn.IFS('Data set'!$D81&lt;=18.5,"Low",'Data set'!$D81&lt;=24.9,"Normal",'Data set'!$D81&lt;=29.9,"High",'Data set'!$D81&gt;29.9,"Very High")</f>
        <v>Normal</v>
      </c>
    </row>
    <row r="82" spans="1:17" x14ac:dyDescent="0.25">
      <c r="A82" s="3">
        <v>79</v>
      </c>
      <c r="B82" s="3" t="s">
        <v>9</v>
      </c>
      <c r="C82" s="4">
        <v>117.53</v>
      </c>
      <c r="D82" s="4">
        <v>35.61</v>
      </c>
      <c r="E82" s="3" t="s">
        <v>14</v>
      </c>
      <c r="F82" s="3">
        <v>213</v>
      </c>
      <c r="G82" s="3" t="s">
        <v>92</v>
      </c>
      <c r="H82" s="4">
        <v>5.34</v>
      </c>
      <c r="I82" s="3">
        <v>7</v>
      </c>
      <c r="J82" s="3" t="s">
        <v>4</v>
      </c>
      <c r="K82" s="3" t="s">
        <v>3</v>
      </c>
      <c r="L82" s="3">
        <v>127</v>
      </c>
      <c r="M82" s="3">
        <v>84</v>
      </c>
      <c r="N82" s="3" t="s">
        <v>5</v>
      </c>
      <c r="O82" s="3" t="str">
        <f>_xlfn.IFS('Data set'!$H82&lt;5.7,"Normal",'Data set'!$H82&lt;=6.4,"Prediabetes",'Data set'!$H82&lt;=7.5,"Diabetes",'Data set'!$H82&gt;=7.5,"Uncontrolled")</f>
        <v>Normal</v>
      </c>
      <c r="P82" s="3" t="str">
        <f>_xlfn.IFS('Data set'!$F82&lt;120,"Low",'Data set'!$F82&lt;=200,"Normal",'Data set'!$F82&lt;=240,"Boarderline",'Data set'!$F82&gt;=241,"High")</f>
        <v>Boarderline</v>
      </c>
      <c r="Q82" s="3" t="str">
        <f>_xlfn.IFS('Data set'!$D82&lt;=18.5,"Low",'Data set'!$D82&lt;=24.9,"Normal",'Data set'!$D82&lt;=29.9,"High",'Data set'!$D82&gt;29.9,"Very High")</f>
        <v>Very High</v>
      </c>
    </row>
    <row r="83" spans="1:17" x14ac:dyDescent="0.25">
      <c r="A83" s="5">
        <v>71</v>
      </c>
      <c r="B83" s="5" t="s">
        <v>9</v>
      </c>
      <c r="C83" s="6">
        <v>262.88</v>
      </c>
      <c r="D83" s="6">
        <v>30.59</v>
      </c>
      <c r="E83" s="5" t="s">
        <v>14</v>
      </c>
      <c r="F83" s="5">
        <v>197</v>
      </c>
      <c r="G83" s="5" t="s">
        <v>93</v>
      </c>
      <c r="H83" s="6">
        <v>5.91</v>
      </c>
      <c r="I83" s="5">
        <v>3</v>
      </c>
      <c r="J83" s="5" t="s">
        <v>3</v>
      </c>
      <c r="K83" s="5" t="s">
        <v>4</v>
      </c>
      <c r="L83" s="5">
        <v>135</v>
      </c>
      <c r="M83" s="5">
        <v>71</v>
      </c>
      <c r="N83" s="5" t="s">
        <v>5</v>
      </c>
      <c r="O83" s="5" t="str">
        <f>_xlfn.IFS('Data set'!$H83&lt;5.7,"Normal",'Data set'!$H83&lt;=6.4,"Prediabetes",'Data set'!$H83&lt;=7.5,"Diabetes",'Data set'!$H83&gt;=7.5,"Uncontrolled")</f>
        <v>Prediabetes</v>
      </c>
      <c r="P83" s="5" t="str">
        <f>_xlfn.IFS('Data set'!$F83&lt;120,"Low",'Data set'!$F83&lt;=200,"Normal",'Data set'!$F83&lt;=240,"Boarderline",'Data set'!$F83&gt;=241,"High")</f>
        <v>Normal</v>
      </c>
      <c r="Q83" s="5" t="str">
        <f>_xlfn.IFS('Data set'!$D83&lt;=18.5,"Low",'Data set'!$D83&lt;=24.9,"Normal",'Data set'!$D83&lt;=29.9,"High",'Data set'!$D83&gt;29.9,"Very High")</f>
        <v>Very High</v>
      </c>
    </row>
    <row r="84" spans="1:17" x14ac:dyDescent="0.25">
      <c r="A84" s="3">
        <v>29</v>
      </c>
      <c r="B84" s="3" t="s">
        <v>0</v>
      </c>
      <c r="C84" s="4">
        <v>156.26</v>
      </c>
      <c r="D84" s="4">
        <v>29.71</v>
      </c>
      <c r="E84" s="3" t="s">
        <v>14</v>
      </c>
      <c r="F84" s="3">
        <v>124</v>
      </c>
      <c r="G84" s="3" t="s">
        <v>94</v>
      </c>
      <c r="H84" s="4">
        <v>4.5199999999999996</v>
      </c>
      <c r="I84" s="3">
        <v>7</v>
      </c>
      <c r="J84" s="3" t="s">
        <v>3</v>
      </c>
      <c r="K84" s="3" t="s">
        <v>4</v>
      </c>
      <c r="L84" s="3">
        <v>116</v>
      </c>
      <c r="M84" s="3">
        <v>84</v>
      </c>
      <c r="N84" s="3" t="s">
        <v>17</v>
      </c>
      <c r="O84" s="3" t="str">
        <f>_xlfn.IFS('Data set'!$H84&lt;5.7,"Normal",'Data set'!$H84&lt;=6.4,"Prediabetes",'Data set'!$H84&lt;=7.5,"Diabetes",'Data set'!$H84&gt;=7.5,"Uncontrolled")</f>
        <v>Normal</v>
      </c>
      <c r="P84" s="3" t="str">
        <f>_xlfn.IFS('Data set'!$F84&lt;120,"Low",'Data set'!$F84&lt;=200,"Normal",'Data set'!$F84&lt;=240,"Boarderline",'Data set'!$F84&gt;=241,"High")</f>
        <v>Normal</v>
      </c>
      <c r="Q84" s="3" t="str">
        <f>_xlfn.IFS('Data set'!$D84&lt;=18.5,"Low",'Data set'!$D84&lt;=24.9,"Normal",'Data set'!$D84&lt;=29.9,"High",'Data set'!$D84&gt;29.9,"Very High")</f>
        <v>High</v>
      </c>
    </row>
    <row r="85" spans="1:17" x14ac:dyDescent="0.25">
      <c r="A85" s="5">
        <v>27</v>
      </c>
      <c r="B85" s="5" t="s">
        <v>9</v>
      </c>
      <c r="C85" s="6">
        <v>194.12</v>
      </c>
      <c r="D85" s="6">
        <v>37.96</v>
      </c>
      <c r="E85" s="5" t="s">
        <v>1</v>
      </c>
      <c r="F85" s="5">
        <v>189</v>
      </c>
      <c r="G85" s="5" t="s">
        <v>95</v>
      </c>
      <c r="H85" s="6">
        <v>7.38</v>
      </c>
      <c r="I85" s="5">
        <v>1</v>
      </c>
      <c r="J85" s="5" t="s">
        <v>3</v>
      </c>
      <c r="K85" s="5" t="s">
        <v>4</v>
      </c>
      <c r="L85" s="5">
        <v>103</v>
      </c>
      <c r="M85" s="5">
        <v>76</v>
      </c>
      <c r="N85" s="5" t="s">
        <v>17</v>
      </c>
      <c r="O85" s="5" t="str">
        <f>_xlfn.IFS('Data set'!$H85&lt;5.7,"Normal",'Data set'!$H85&lt;=6.4,"Prediabetes",'Data set'!$H85&lt;=7.5,"Diabetes",'Data set'!$H85&gt;=7.5,"Uncontrolled")</f>
        <v>Diabetes</v>
      </c>
      <c r="P85" s="5" t="str">
        <f>_xlfn.IFS('Data set'!$F85&lt;120,"Low",'Data set'!$F85&lt;=200,"Normal",'Data set'!$F85&lt;=240,"Boarderline",'Data set'!$F85&gt;=241,"High")</f>
        <v>Normal</v>
      </c>
      <c r="Q85" s="5" t="str">
        <f>_xlfn.IFS('Data set'!$D85&lt;=18.5,"Low",'Data set'!$D85&lt;=24.9,"Normal",'Data set'!$D85&lt;=29.9,"High",'Data set'!$D85&gt;29.9,"Very High")</f>
        <v>Very High</v>
      </c>
    </row>
    <row r="86" spans="1:17" x14ac:dyDescent="0.25">
      <c r="A86" s="3">
        <v>48</v>
      </c>
      <c r="B86" s="3" t="s">
        <v>0</v>
      </c>
      <c r="C86" s="4">
        <v>143.34</v>
      </c>
      <c r="D86" s="4">
        <v>29.7</v>
      </c>
      <c r="E86" s="3" t="s">
        <v>14</v>
      </c>
      <c r="F86" s="3">
        <v>207</v>
      </c>
      <c r="G86" s="3" t="s">
        <v>96</v>
      </c>
      <c r="H86" s="4">
        <v>9</v>
      </c>
      <c r="I86" s="3">
        <v>0</v>
      </c>
      <c r="J86" s="3" t="s">
        <v>3</v>
      </c>
      <c r="K86" s="3" t="s">
        <v>4</v>
      </c>
      <c r="L86" s="3">
        <v>138</v>
      </c>
      <c r="M86" s="3">
        <v>61</v>
      </c>
      <c r="N86" s="3" t="s">
        <v>23</v>
      </c>
      <c r="O86" s="3" t="str">
        <f>_xlfn.IFS('Data set'!$H86&lt;5.7,"Normal",'Data set'!$H86&lt;=6.4,"Prediabetes",'Data set'!$H86&lt;=7.5,"Diabetes",'Data set'!$H86&gt;=7.5,"Uncontrolled")</f>
        <v>Uncontrolled</v>
      </c>
      <c r="P86" s="3" t="str">
        <f>_xlfn.IFS('Data set'!$F86&lt;120,"Low",'Data set'!$F86&lt;=200,"Normal",'Data set'!$F86&lt;=240,"Boarderline",'Data set'!$F86&gt;=241,"High")</f>
        <v>Boarderline</v>
      </c>
      <c r="Q86" s="3" t="str">
        <f>_xlfn.IFS('Data set'!$D86&lt;=18.5,"Low",'Data set'!$D86&lt;=24.9,"Normal",'Data set'!$D86&lt;=29.9,"High",'Data set'!$D86&gt;29.9,"Very High")</f>
        <v>High</v>
      </c>
    </row>
    <row r="87" spans="1:17" x14ac:dyDescent="0.25">
      <c r="A87" s="5">
        <v>50</v>
      </c>
      <c r="B87" s="5" t="s">
        <v>9</v>
      </c>
      <c r="C87" s="6">
        <v>103.26</v>
      </c>
      <c r="D87" s="6">
        <v>32.78</v>
      </c>
      <c r="E87" s="5" t="s">
        <v>14</v>
      </c>
      <c r="F87" s="5">
        <v>274</v>
      </c>
      <c r="G87" s="5" t="s">
        <v>97</v>
      </c>
      <c r="H87" s="6">
        <v>8.59</v>
      </c>
      <c r="I87" s="5">
        <v>0</v>
      </c>
      <c r="J87" s="5" t="s">
        <v>3</v>
      </c>
      <c r="K87" s="5" t="s">
        <v>3</v>
      </c>
      <c r="L87" s="5">
        <v>98</v>
      </c>
      <c r="M87" s="5">
        <v>90</v>
      </c>
      <c r="N87" s="5" t="s">
        <v>23</v>
      </c>
      <c r="O87" s="5" t="str">
        <f>_xlfn.IFS('Data set'!$H87&lt;5.7,"Normal",'Data set'!$H87&lt;=6.4,"Prediabetes",'Data set'!$H87&lt;=7.5,"Diabetes",'Data set'!$H87&gt;=7.5,"Uncontrolled")</f>
        <v>Uncontrolled</v>
      </c>
      <c r="P87" s="5" t="str">
        <f>_xlfn.IFS('Data set'!$F87&lt;120,"Low",'Data set'!$F87&lt;=200,"Normal",'Data set'!$F87&lt;=240,"Boarderline",'Data set'!$F87&gt;=241,"High")</f>
        <v>High</v>
      </c>
      <c r="Q87" s="5" t="str">
        <f>_xlfn.IFS('Data set'!$D87&lt;=18.5,"Low",'Data set'!$D87&lt;=24.9,"Normal",'Data set'!$D87&lt;=29.9,"High",'Data set'!$D87&gt;29.9,"Very High")</f>
        <v>Very High</v>
      </c>
    </row>
    <row r="88" spans="1:17" x14ac:dyDescent="0.25">
      <c r="A88" s="3">
        <v>22</v>
      </c>
      <c r="B88" s="3" t="s">
        <v>9</v>
      </c>
      <c r="C88" s="4">
        <v>238.3</v>
      </c>
      <c r="D88" s="4">
        <v>30.31</v>
      </c>
      <c r="E88" s="3" t="s">
        <v>6</v>
      </c>
      <c r="F88" s="3">
        <v>257</v>
      </c>
      <c r="G88" s="3" t="s">
        <v>98</v>
      </c>
      <c r="H88" s="4">
        <v>5.58</v>
      </c>
      <c r="I88" s="3">
        <v>4</v>
      </c>
      <c r="J88" s="3" t="s">
        <v>4</v>
      </c>
      <c r="K88" s="3" t="s">
        <v>4</v>
      </c>
      <c r="L88" s="3">
        <v>127</v>
      </c>
      <c r="M88" s="3">
        <v>86</v>
      </c>
      <c r="N88" s="3" t="s">
        <v>17</v>
      </c>
      <c r="O88" s="3" t="str">
        <f>_xlfn.IFS('Data set'!$H88&lt;5.7,"Normal",'Data set'!$H88&lt;=6.4,"Prediabetes",'Data set'!$H88&lt;=7.5,"Diabetes",'Data set'!$H88&gt;=7.5,"Uncontrolled")</f>
        <v>Normal</v>
      </c>
      <c r="P88" s="3" t="str">
        <f>_xlfn.IFS('Data set'!$F88&lt;120,"Low",'Data set'!$F88&lt;=200,"Normal",'Data set'!$F88&lt;=240,"Boarderline",'Data set'!$F88&gt;=241,"High")</f>
        <v>High</v>
      </c>
      <c r="Q88" s="3" t="str">
        <f>_xlfn.IFS('Data set'!$D88&lt;=18.5,"Low",'Data set'!$D88&lt;=24.9,"Normal",'Data set'!$D88&lt;=29.9,"High",'Data set'!$D88&gt;29.9,"Very High")</f>
        <v>Very High</v>
      </c>
    </row>
    <row r="89" spans="1:17" x14ac:dyDescent="0.25">
      <c r="A89" s="5">
        <v>57</v>
      </c>
      <c r="B89" s="5" t="s">
        <v>0</v>
      </c>
      <c r="C89" s="6">
        <v>134.02000000000001</v>
      </c>
      <c r="D89" s="6">
        <v>30.52</v>
      </c>
      <c r="E89" s="5" t="s">
        <v>10</v>
      </c>
      <c r="F89" s="5">
        <v>257</v>
      </c>
      <c r="G89" s="5" t="s">
        <v>99</v>
      </c>
      <c r="H89" s="6">
        <v>7.81</v>
      </c>
      <c r="I89" s="5">
        <v>4</v>
      </c>
      <c r="J89" s="5" t="s">
        <v>3</v>
      </c>
      <c r="K89" s="5" t="s">
        <v>3</v>
      </c>
      <c r="L89" s="5">
        <v>119</v>
      </c>
      <c r="M89" s="5">
        <v>75</v>
      </c>
      <c r="N89" s="5" t="s">
        <v>8</v>
      </c>
      <c r="O89" s="5" t="str">
        <f>_xlfn.IFS('Data set'!$H89&lt;5.7,"Normal",'Data set'!$H89&lt;=6.4,"Prediabetes",'Data set'!$H89&lt;=7.5,"Diabetes",'Data set'!$H89&gt;=7.5,"Uncontrolled")</f>
        <v>Uncontrolled</v>
      </c>
      <c r="P89" s="5" t="str">
        <f>_xlfn.IFS('Data set'!$F89&lt;120,"Low",'Data set'!$F89&lt;=200,"Normal",'Data set'!$F89&lt;=240,"Boarderline",'Data set'!$F89&gt;=241,"High")</f>
        <v>High</v>
      </c>
      <c r="Q89" s="5" t="str">
        <f>_xlfn.IFS('Data set'!$D89&lt;=18.5,"Low",'Data set'!$D89&lt;=24.9,"Normal",'Data set'!$D89&lt;=29.9,"High",'Data set'!$D89&gt;29.9,"Very High")</f>
        <v>Very High</v>
      </c>
    </row>
    <row r="90" spans="1:17" x14ac:dyDescent="0.25">
      <c r="A90" s="3">
        <v>51</v>
      </c>
      <c r="B90" s="3" t="s">
        <v>0</v>
      </c>
      <c r="C90" s="4">
        <v>257.98</v>
      </c>
      <c r="D90" s="4">
        <v>21.11</v>
      </c>
      <c r="E90" s="3" t="s">
        <v>10</v>
      </c>
      <c r="F90" s="3">
        <v>173</v>
      </c>
      <c r="G90" s="3" t="s">
        <v>100</v>
      </c>
      <c r="H90" s="4">
        <v>7.85</v>
      </c>
      <c r="I90" s="3">
        <v>7</v>
      </c>
      <c r="J90" s="3" t="s">
        <v>4</v>
      </c>
      <c r="K90" s="3" t="s">
        <v>3</v>
      </c>
      <c r="L90" s="3">
        <v>137</v>
      </c>
      <c r="M90" s="3">
        <v>66</v>
      </c>
      <c r="N90" s="3" t="s">
        <v>8</v>
      </c>
      <c r="O90" s="3" t="str">
        <f>_xlfn.IFS('Data set'!$H90&lt;5.7,"Normal",'Data set'!$H90&lt;=6.4,"Prediabetes",'Data set'!$H90&lt;=7.5,"Diabetes",'Data set'!$H90&gt;=7.5,"Uncontrolled")</f>
        <v>Uncontrolled</v>
      </c>
      <c r="P90" s="3" t="str">
        <f>_xlfn.IFS('Data set'!$F90&lt;120,"Low",'Data set'!$F90&lt;=200,"Normal",'Data set'!$F90&lt;=240,"Boarderline",'Data set'!$F90&gt;=241,"High")</f>
        <v>Normal</v>
      </c>
      <c r="Q90" s="3" t="str">
        <f>_xlfn.IFS('Data set'!$D90&lt;=18.5,"Low",'Data set'!$D90&lt;=24.9,"Normal",'Data set'!$D90&lt;=29.9,"High",'Data set'!$D90&gt;29.9,"Very High")</f>
        <v>Normal</v>
      </c>
    </row>
    <row r="91" spans="1:17" x14ac:dyDescent="0.25">
      <c r="A91" s="5">
        <v>69</v>
      </c>
      <c r="B91" s="5" t="s">
        <v>9</v>
      </c>
      <c r="C91" s="6">
        <v>258.26</v>
      </c>
      <c r="D91" s="6">
        <v>26.36</v>
      </c>
      <c r="E91" s="5" t="s">
        <v>10</v>
      </c>
      <c r="F91" s="5">
        <v>164</v>
      </c>
      <c r="G91" s="5" t="s">
        <v>101</v>
      </c>
      <c r="H91" s="6">
        <v>4.2699999999999996</v>
      </c>
      <c r="I91" s="5">
        <v>3</v>
      </c>
      <c r="J91" s="5" t="s">
        <v>4</v>
      </c>
      <c r="K91" s="5" t="s">
        <v>3</v>
      </c>
      <c r="L91" s="5">
        <v>117</v>
      </c>
      <c r="M91" s="5">
        <v>88</v>
      </c>
      <c r="N91" s="5" t="s">
        <v>21</v>
      </c>
      <c r="O91" s="5" t="str">
        <f>_xlfn.IFS('Data set'!$H91&lt;5.7,"Normal",'Data set'!$H91&lt;=6.4,"Prediabetes",'Data set'!$H91&lt;=7.5,"Diabetes",'Data set'!$H91&gt;=7.5,"Uncontrolled")</f>
        <v>Normal</v>
      </c>
      <c r="P91" s="5" t="str">
        <f>_xlfn.IFS('Data set'!$F91&lt;120,"Low",'Data set'!$F91&lt;=200,"Normal",'Data set'!$F91&lt;=240,"Boarderline",'Data set'!$F91&gt;=241,"High")</f>
        <v>Normal</v>
      </c>
      <c r="Q91" s="5" t="str">
        <f>_xlfn.IFS('Data set'!$D91&lt;=18.5,"Low",'Data set'!$D91&lt;=24.9,"Normal",'Data set'!$D91&lt;=29.9,"High",'Data set'!$D91&gt;29.9,"Very High")</f>
        <v>High</v>
      </c>
    </row>
    <row r="92" spans="1:17" x14ac:dyDescent="0.25">
      <c r="A92" s="3">
        <v>33</v>
      </c>
      <c r="B92" s="3" t="s">
        <v>0</v>
      </c>
      <c r="C92" s="4">
        <v>168.52</v>
      </c>
      <c r="D92" s="4">
        <v>31.56</v>
      </c>
      <c r="E92" s="3" t="s">
        <v>1</v>
      </c>
      <c r="F92" s="3">
        <v>177</v>
      </c>
      <c r="G92" s="3" t="s">
        <v>102</v>
      </c>
      <c r="H92" s="4">
        <v>4.46</v>
      </c>
      <c r="I92" s="3">
        <v>6</v>
      </c>
      <c r="J92" s="3" t="s">
        <v>3</v>
      </c>
      <c r="K92" s="3" t="s">
        <v>3</v>
      </c>
      <c r="L92" s="3">
        <v>112</v>
      </c>
      <c r="M92" s="3">
        <v>84</v>
      </c>
      <c r="N92" s="3" t="s">
        <v>12</v>
      </c>
      <c r="O92" s="3" t="str">
        <f>_xlfn.IFS('Data set'!$H92&lt;5.7,"Normal",'Data set'!$H92&lt;=6.4,"Prediabetes",'Data set'!$H92&lt;=7.5,"Diabetes",'Data set'!$H92&gt;=7.5,"Uncontrolled")</f>
        <v>Normal</v>
      </c>
      <c r="P92" s="3" t="str">
        <f>_xlfn.IFS('Data set'!$F92&lt;120,"Low",'Data set'!$F92&lt;=200,"Normal",'Data set'!$F92&lt;=240,"Boarderline",'Data set'!$F92&gt;=241,"High")</f>
        <v>Normal</v>
      </c>
      <c r="Q92" s="3" t="str">
        <f>_xlfn.IFS('Data set'!$D92&lt;=18.5,"Low",'Data set'!$D92&lt;=24.9,"Normal",'Data set'!$D92&lt;=29.9,"High",'Data set'!$D92&gt;29.9,"Very High")</f>
        <v>Very High</v>
      </c>
    </row>
    <row r="93" spans="1:17" x14ac:dyDescent="0.25">
      <c r="A93" s="5">
        <v>69</v>
      </c>
      <c r="B93" s="5" t="s">
        <v>0</v>
      </c>
      <c r="C93" s="6">
        <v>105.53</v>
      </c>
      <c r="D93" s="6">
        <v>24.65</v>
      </c>
      <c r="E93" s="5" t="s">
        <v>14</v>
      </c>
      <c r="F93" s="5">
        <v>296</v>
      </c>
      <c r="G93" s="5" t="s">
        <v>103</v>
      </c>
      <c r="H93" s="6">
        <v>9.7899999999999991</v>
      </c>
      <c r="I93" s="5">
        <v>6</v>
      </c>
      <c r="J93" s="5" t="s">
        <v>4</v>
      </c>
      <c r="K93" s="5" t="s">
        <v>4</v>
      </c>
      <c r="L93" s="5">
        <v>112</v>
      </c>
      <c r="M93" s="5">
        <v>83</v>
      </c>
      <c r="N93" s="5" t="s">
        <v>21</v>
      </c>
      <c r="O93" s="5" t="str">
        <f>_xlfn.IFS('Data set'!$H93&lt;5.7,"Normal",'Data set'!$H93&lt;=6.4,"Prediabetes",'Data set'!$H93&lt;=7.5,"Diabetes",'Data set'!$H93&gt;=7.5,"Uncontrolled")</f>
        <v>Uncontrolled</v>
      </c>
      <c r="P93" s="5" t="str">
        <f>_xlfn.IFS('Data set'!$F93&lt;120,"Low",'Data set'!$F93&lt;=200,"Normal",'Data set'!$F93&lt;=240,"Boarderline",'Data set'!$F93&gt;=241,"High")</f>
        <v>High</v>
      </c>
      <c r="Q93" s="5" t="str">
        <f>_xlfn.IFS('Data set'!$D93&lt;=18.5,"Low",'Data set'!$D93&lt;=24.9,"Normal",'Data set'!$D93&lt;=29.9,"High",'Data set'!$D93&gt;29.9,"Very High")</f>
        <v>Normal</v>
      </c>
    </row>
    <row r="94" spans="1:17" x14ac:dyDescent="0.25">
      <c r="A94" s="3">
        <v>46</v>
      </c>
      <c r="B94" s="3" t="s">
        <v>0</v>
      </c>
      <c r="C94" s="4">
        <v>254.36</v>
      </c>
      <c r="D94" s="4">
        <v>29.92</v>
      </c>
      <c r="E94" s="3" t="s">
        <v>1</v>
      </c>
      <c r="F94" s="3">
        <v>268</v>
      </c>
      <c r="G94" s="3" t="s">
        <v>104</v>
      </c>
      <c r="H94" s="4">
        <v>6.96</v>
      </c>
      <c r="I94" s="3">
        <v>5</v>
      </c>
      <c r="J94" s="3" t="s">
        <v>4</v>
      </c>
      <c r="K94" s="3" t="s">
        <v>4</v>
      </c>
      <c r="L94" s="3">
        <v>136</v>
      </c>
      <c r="M94" s="3">
        <v>73</v>
      </c>
      <c r="N94" s="3" t="s">
        <v>23</v>
      </c>
      <c r="O94" s="3" t="str">
        <f>_xlfn.IFS('Data set'!$H94&lt;5.7,"Normal",'Data set'!$H94&lt;=6.4,"Prediabetes",'Data set'!$H94&lt;=7.5,"Diabetes",'Data set'!$H94&gt;=7.5,"Uncontrolled")</f>
        <v>Diabetes</v>
      </c>
      <c r="P94" s="3" t="str">
        <f>_xlfn.IFS('Data set'!$F94&lt;120,"Low",'Data set'!$F94&lt;=200,"Normal",'Data set'!$F94&lt;=240,"Boarderline",'Data set'!$F94&gt;=241,"High")</f>
        <v>High</v>
      </c>
      <c r="Q94" s="3" t="str">
        <f>_xlfn.IFS('Data set'!$D94&lt;=18.5,"Low",'Data set'!$D94&lt;=24.9,"Normal",'Data set'!$D94&lt;=29.9,"High",'Data set'!$D94&gt;29.9,"Very High")</f>
        <v>Very High</v>
      </c>
    </row>
    <row r="95" spans="1:17" x14ac:dyDescent="0.25">
      <c r="A95" s="5">
        <v>63</v>
      </c>
      <c r="B95" s="5" t="s">
        <v>9</v>
      </c>
      <c r="C95" s="6">
        <v>108.84</v>
      </c>
      <c r="D95" s="6">
        <v>38.04</v>
      </c>
      <c r="E95" s="5" t="s">
        <v>14</v>
      </c>
      <c r="F95" s="5">
        <v>113</v>
      </c>
      <c r="G95" s="5" t="s">
        <v>105</v>
      </c>
      <c r="H95" s="6">
        <v>8.31</v>
      </c>
      <c r="I95" s="5">
        <v>2</v>
      </c>
      <c r="J95" s="5" t="s">
        <v>4</v>
      </c>
      <c r="K95" s="5" t="s">
        <v>4</v>
      </c>
      <c r="L95" s="5">
        <v>117</v>
      </c>
      <c r="M95" s="5">
        <v>84</v>
      </c>
      <c r="N95" s="5" t="s">
        <v>21</v>
      </c>
      <c r="O95" s="5" t="str">
        <f>_xlfn.IFS('Data set'!$H95&lt;5.7,"Normal",'Data set'!$H95&lt;=6.4,"Prediabetes",'Data set'!$H95&lt;=7.5,"Diabetes",'Data set'!$H95&gt;=7.5,"Uncontrolled")</f>
        <v>Uncontrolled</v>
      </c>
      <c r="P95" s="5" t="str">
        <f>_xlfn.IFS('Data set'!$F95&lt;120,"Low",'Data set'!$F95&lt;=200,"Normal",'Data set'!$F95&lt;=240,"Boarderline",'Data set'!$F95&gt;=241,"High")</f>
        <v>Low</v>
      </c>
      <c r="Q95" s="5" t="str">
        <f>_xlfn.IFS('Data set'!$D95&lt;=18.5,"Low",'Data set'!$D95&lt;=24.9,"Normal",'Data set'!$D95&lt;=29.9,"High",'Data set'!$D95&gt;29.9,"Very High")</f>
        <v>Very High</v>
      </c>
    </row>
    <row r="96" spans="1:17" x14ac:dyDescent="0.25">
      <c r="A96" s="3">
        <v>70</v>
      </c>
      <c r="B96" s="3" t="s">
        <v>0</v>
      </c>
      <c r="C96" s="4">
        <v>171.87</v>
      </c>
      <c r="D96" s="4">
        <v>23.11</v>
      </c>
      <c r="E96" s="3" t="s">
        <v>14</v>
      </c>
      <c r="F96" s="3">
        <v>267</v>
      </c>
      <c r="G96" s="3" t="s">
        <v>106</v>
      </c>
      <c r="H96" s="4">
        <v>9.93</v>
      </c>
      <c r="I96" s="3">
        <v>5</v>
      </c>
      <c r="J96" s="3" t="s">
        <v>3</v>
      </c>
      <c r="K96" s="3" t="s">
        <v>4</v>
      </c>
      <c r="L96" s="3">
        <v>102</v>
      </c>
      <c r="M96" s="3">
        <v>81</v>
      </c>
      <c r="N96" s="3" t="s">
        <v>21</v>
      </c>
      <c r="O96" s="3" t="str">
        <f>_xlfn.IFS('Data set'!$H96&lt;5.7,"Normal",'Data set'!$H96&lt;=6.4,"Prediabetes",'Data set'!$H96&lt;=7.5,"Diabetes",'Data set'!$H96&gt;=7.5,"Uncontrolled")</f>
        <v>Uncontrolled</v>
      </c>
      <c r="P96" s="3" t="str">
        <f>_xlfn.IFS('Data set'!$F96&lt;120,"Low",'Data set'!$F96&lt;=200,"Normal",'Data set'!$F96&lt;=240,"Boarderline",'Data set'!$F96&gt;=241,"High")</f>
        <v>High</v>
      </c>
      <c r="Q96" s="3" t="str">
        <f>_xlfn.IFS('Data set'!$D96&lt;=18.5,"Low",'Data set'!$D96&lt;=24.9,"Normal",'Data set'!$D96&lt;=29.9,"High",'Data set'!$D96&gt;29.9,"Very High")</f>
        <v>Normal</v>
      </c>
    </row>
    <row r="97" spans="1:17" x14ac:dyDescent="0.25">
      <c r="A97" s="5">
        <v>51</v>
      </c>
      <c r="B97" s="5" t="s">
        <v>9</v>
      </c>
      <c r="C97" s="6">
        <v>166.46</v>
      </c>
      <c r="D97" s="6">
        <v>37.44</v>
      </c>
      <c r="E97" s="5" t="s">
        <v>6</v>
      </c>
      <c r="F97" s="5">
        <v>269</v>
      </c>
      <c r="G97" s="5" t="s">
        <v>107</v>
      </c>
      <c r="H97" s="6">
        <v>7.93</v>
      </c>
      <c r="I97" s="5">
        <v>5</v>
      </c>
      <c r="J97" s="5" t="s">
        <v>3</v>
      </c>
      <c r="K97" s="5" t="s">
        <v>3</v>
      </c>
      <c r="L97" s="5">
        <v>93</v>
      </c>
      <c r="M97" s="5">
        <v>90</v>
      </c>
      <c r="N97" s="5" t="s">
        <v>8</v>
      </c>
      <c r="O97" s="5" t="str">
        <f>_xlfn.IFS('Data set'!$H97&lt;5.7,"Normal",'Data set'!$H97&lt;=6.4,"Prediabetes",'Data set'!$H97&lt;=7.5,"Diabetes",'Data set'!$H97&gt;=7.5,"Uncontrolled")</f>
        <v>Uncontrolled</v>
      </c>
      <c r="P97" s="5" t="str">
        <f>_xlfn.IFS('Data set'!$F97&lt;120,"Low",'Data set'!$F97&lt;=200,"Normal",'Data set'!$F97&lt;=240,"Boarderline",'Data set'!$F97&gt;=241,"High")</f>
        <v>High</v>
      </c>
      <c r="Q97" s="5" t="str">
        <f>_xlfn.IFS('Data set'!$D97&lt;=18.5,"Low",'Data set'!$D97&lt;=24.9,"Normal",'Data set'!$D97&lt;=29.9,"High",'Data set'!$D97&gt;29.9,"Very High")</f>
        <v>Very High</v>
      </c>
    </row>
    <row r="98" spans="1:17" x14ac:dyDescent="0.25">
      <c r="A98" s="3">
        <v>34</v>
      </c>
      <c r="B98" s="3" t="s">
        <v>0</v>
      </c>
      <c r="C98" s="4">
        <v>216.01</v>
      </c>
      <c r="D98" s="4">
        <v>22.71</v>
      </c>
      <c r="E98" s="3" t="s">
        <v>10</v>
      </c>
      <c r="F98" s="3">
        <v>219</v>
      </c>
      <c r="G98" s="3" t="s">
        <v>108</v>
      </c>
      <c r="H98" s="4">
        <v>8.39</v>
      </c>
      <c r="I98" s="3">
        <v>3</v>
      </c>
      <c r="J98" s="3" t="s">
        <v>4</v>
      </c>
      <c r="K98" s="3" t="s">
        <v>4</v>
      </c>
      <c r="L98" s="3">
        <v>128</v>
      </c>
      <c r="M98" s="3">
        <v>78</v>
      </c>
      <c r="N98" s="3" t="s">
        <v>12</v>
      </c>
      <c r="O98" s="3" t="str">
        <f>_xlfn.IFS('Data set'!$H98&lt;5.7,"Normal",'Data set'!$H98&lt;=6.4,"Prediabetes",'Data set'!$H98&lt;=7.5,"Diabetes",'Data set'!$H98&gt;=7.5,"Uncontrolled")</f>
        <v>Uncontrolled</v>
      </c>
      <c r="P98" s="3" t="str">
        <f>_xlfn.IFS('Data set'!$F98&lt;120,"Low",'Data set'!$F98&lt;=200,"Normal",'Data set'!$F98&lt;=240,"Boarderline",'Data set'!$F98&gt;=241,"High")</f>
        <v>Boarderline</v>
      </c>
      <c r="Q98" s="3" t="str">
        <f>_xlfn.IFS('Data set'!$D98&lt;=18.5,"Low",'Data set'!$D98&lt;=24.9,"Normal",'Data set'!$D98&lt;=29.9,"High",'Data set'!$D98&gt;29.9,"Very High")</f>
        <v>Normal</v>
      </c>
    </row>
    <row r="99" spans="1:17" x14ac:dyDescent="0.25">
      <c r="A99" s="5">
        <v>54</v>
      </c>
      <c r="B99" s="5" t="s">
        <v>0</v>
      </c>
      <c r="C99" s="6">
        <v>128.28</v>
      </c>
      <c r="D99" s="6">
        <v>21.57</v>
      </c>
      <c r="E99" s="5" t="s">
        <v>10</v>
      </c>
      <c r="F99" s="5">
        <v>173</v>
      </c>
      <c r="G99" s="5" t="s">
        <v>109</v>
      </c>
      <c r="H99" s="6">
        <v>8.31</v>
      </c>
      <c r="I99" s="5">
        <v>3</v>
      </c>
      <c r="J99" s="5" t="s">
        <v>4</v>
      </c>
      <c r="K99" s="5" t="s">
        <v>4</v>
      </c>
      <c r="L99" s="5">
        <v>137</v>
      </c>
      <c r="M99" s="5">
        <v>65</v>
      </c>
      <c r="N99" s="5" t="s">
        <v>8</v>
      </c>
      <c r="O99" s="5" t="str">
        <f>_xlfn.IFS('Data set'!$H99&lt;5.7,"Normal",'Data set'!$H99&lt;=6.4,"Prediabetes",'Data set'!$H99&lt;=7.5,"Diabetes",'Data set'!$H99&gt;=7.5,"Uncontrolled")</f>
        <v>Uncontrolled</v>
      </c>
      <c r="P99" s="5" t="str">
        <f>_xlfn.IFS('Data set'!$F99&lt;120,"Low",'Data set'!$F99&lt;=200,"Normal",'Data set'!$F99&lt;=240,"Boarderline",'Data set'!$F99&gt;=241,"High")</f>
        <v>Normal</v>
      </c>
      <c r="Q99" s="5" t="str">
        <f>_xlfn.IFS('Data set'!$D99&lt;=18.5,"Low",'Data set'!$D99&lt;=24.9,"Normal",'Data set'!$D99&lt;=29.9,"High",'Data set'!$D99&gt;29.9,"Very High")</f>
        <v>Normal</v>
      </c>
    </row>
    <row r="100" spans="1:17" x14ac:dyDescent="0.25">
      <c r="A100" s="3">
        <v>34</v>
      </c>
      <c r="B100" s="3" t="s">
        <v>0</v>
      </c>
      <c r="C100" s="4">
        <v>72.3</v>
      </c>
      <c r="D100" s="4">
        <v>33.159999999999997</v>
      </c>
      <c r="E100" s="3" t="s">
        <v>14</v>
      </c>
      <c r="F100" s="3">
        <v>258</v>
      </c>
      <c r="G100" s="3" t="s">
        <v>110</v>
      </c>
      <c r="H100" s="4">
        <v>7.34</v>
      </c>
      <c r="I100" s="3">
        <v>2</v>
      </c>
      <c r="J100" s="3" t="s">
        <v>3</v>
      </c>
      <c r="K100" s="3" t="s">
        <v>3</v>
      </c>
      <c r="L100" s="3">
        <v>110</v>
      </c>
      <c r="M100" s="3">
        <v>68</v>
      </c>
      <c r="N100" s="3" t="s">
        <v>12</v>
      </c>
      <c r="O100" s="3" t="str">
        <f>_xlfn.IFS('Data set'!$H100&lt;5.7,"Normal",'Data set'!$H100&lt;=6.4,"Prediabetes",'Data set'!$H100&lt;=7.5,"Diabetes",'Data set'!$H100&gt;=7.5,"Uncontrolled")</f>
        <v>Diabetes</v>
      </c>
      <c r="P100" s="3" t="str">
        <f>_xlfn.IFS('Data set'!$F100&lt;120,"Low",'Data set'!$F100&lt;=200,"Normal",'Data set'!$F100&lt;=240,"Boarderline",'Data set'!$F100&gt;=241,"High")</f>
        <v>High</v>
      </c>
      <c r="Q100" s="3" t="str">
        <f>_xlfn.IFS('Data set'!$D100&lt;=18.5,"Low",'Data set'!$D100&lt;=24.9,"Normal",'Data set'!$D100&lt;=29.9,"High",'Data set'!$D100&gt;29.9,"Very High")</f>
        <v>Very High</v>
      </c>
    </row>
    <row r="101" spans="1:17" x14ac:dyDescent="0.25">
      <c r="A101" s="5">
        <v>47</v>
      </c>
      <c r="B101" s="5" t="s">
        <v>0</v>
      </c>
      <c r="C101" s="6">
        <v>77.2</v>
      </c>
      <c r="D101" s="6">
        <v>20.52</v>
      </c>
      <c r="E101" s="5" t="s">
        <v>14</v>
      </c>
      <c r="F101" s="5">
        <v>286</v>
      </c>
      <c r="G101" s="5" t="s">
        <v>111</v>
      </c>
      <c r="H101" s="6">
        <v>6.15</v>
      </c>
      <c r="I101" s="5">
        <v>4</v>
      </c>
      <c r="J101" s="5" t="s">
        <v>4</v>
      </c>
      <c r="K101" s="5" t="s">
        <v>3</v>
      </c>
      <c r="L101" s="5">
        <v>123</v>
      </c>
      <c r="M101" s="5">
        <v>71</v>
      </c>
      <c r="N101" s="5" t="s">
        <v>23</v>
      </c>
      <c r="O101" s="5" t="str">
        <f>_xlfn.IFS('Data set'!$H101&lt;5.7,"Normal",'Data set'!$H101&lt;=6.4,"Prediabetes",'Data set'!$H101&lt;=7.5,"Diabetes",'Data set'!$H101&gt;=7.5,"Uncontrolled")</f>
        <v>Prediabetes</v>
      </c>
      <c r="P101" s="5" t="str">
        <f>_xlfn.IFS('Data set'!$F101&lt;120,"Low",'Data set'!$F101&lt;=200,"Normal",'Data set'!$F101&lt;=240,"Boarderline",'Data set'!$F101&gt;=241,"High")</f>
        <v>High</v>
      </c>
      <c r="Q101" s="5" t="str">
        <f>_xlfn.IFS('Data set'!$D101&lt;=18.5,"Low",'Data set'!$D101&lt;=24.9,"Normal",'Data set'!$D101&lt;=29.9,"High",'Data set'!$D101&gt;29.9,"Very High")</f>
        <v>Normal</v>
      </c>
    </row>
    <row r="102" spans="1:17" x14ac:dyDescent="0.25">
      <c r="A102" s="3">
        <v>25</v>
      </c>
      <c r="B102" s="3" t="s">
        <v>9</v>
      </c>
      <c r="C102" s="4">
        <v>261.83999999999997</v>
      </c>
      <c r="D102" s="4">
        <v>36.96</v>
      </c>
      <c r="E102" s="3" t="s">
        <v>14</v>
      </c>
      <c r="F102" s="3">
        <v>296</v>
      </c>
      <c r="G102" s="3" t="s">
        <v>112</v>
      </c>
      <c r="H102" s="4">
        <v>5.18</v>
      </c>
      <c r="I102" s="3">
        <v>5</v>
      </c>
      <c r="J102" s="3" t="s">
        <v>4</v>
      </c>
      <c r="K102" s="3" t="s">
        <v>3</v>
      </c>
      <c r="L102" s="3">
        <v>102</v>
      </c>
      <c r="M102" s="3">
        <v>85</v>
      </c>
      <c r="N102" s="3" t="s">
        <v>17</v>
      </c>
      <c r="O102" s="3" t="str">
        <f>_xlfn.IFS('Data set'!$H102&lt;5.7,"Normal",'Data set'!$H102&lt;=6.4,"Prediabetes",'Data set'!$H102&lt;=7.5,"Diabetes",'Data set'!$H102&gt;=7.5,"Uncontrolled")</f>
        <v>Normal</v>
      </c>
      <c r="P102" s="3" t="str">
        <f>_xlfn.IFS('Data set'!$F102&lt;120,"Low",'Data set'!$F102&lt;=200,"Normal",'Data set'!$F102&lt;=240,"Boarderline",'Data set'!$F102&gt;=241,"High")</f>
        <v>High</v>
      </c>
      <c r="Q102" s="3" t="str">
        <f>_xlfn.IFS('Data set'!$D102&lt;=18.5,"Low",'Data set'!$D102&lt;=24.9,"Normal",'Data set'!$D102&lt;=29.9,"High",'Data set'!$D102&gt;29.9,"Very High")</f>
        <v>Very High</v>
      </c>
    </row>
    <row r="103" spans="1:17" x14ac:dyDescent="0.25">
      <c r="A103" s="5">
        <v>52</v>
      </c>
      <c r="B103" s="5" t="s">
        <v>9</v>
      </c>
      <c r="C103" s="6">
        <v>98.56</v>
      </c>
      <c r="D103" s="6">
        <v>18.45</v>
      </c>
      <c r="E103" s="5" t="s">
        <v>1</v>
      </c>
      <c r="F103" s="5">
        <v>283</v>
      </c>
      <c r="G103" s="5" t="s">
        <v>113</v>
      </c>
      <c r="H103" s="6">
        <v>9.23</v>
      </c>
      <c r="I103" s="5">
        <v>3</v>
      </c>
      <c r="J103" s="5" t="s">
        <v>3</v>
      </c>
      <c r="K103" s="5" t="s">
        <v>4</v>
      </c>
      <c r="L103" s="5">
        <v>124</v>
      </c>
      <c r="M103" s="5">
        <v>89</v>
      </c>
      <c r="N103" s="5" t="s">
        <v>8</v>
      </c>
      <c r="O103" s="5" t="str">
        <f>_xlfn.IFS('Data set'!$H103&lt;5.7,"Normal",'Data set'!$H103&lt;=6.4,"Prediabetes",'Data set'!$H103&lt;=7.5,"Diabetes",'Data set'!$H103&gt;=7.5,"Uncontrolled")</f>
        <v>Uncontrolled</v>
      </c>
      <c r="P103" s="5" t="str">
        <f>_xlfn.IFS('Data set'!$F103&lt;120,"Low",'Data set'!$F103&lt;=200,"Normal",'Data set'!$F103&lt;=240,"Boarderline",'Data set'!$F103&gt;=241,"High")</f>
        <v>High</v>
      </c>
      <c r="Q103" s="5" t="str">
        <f>_xlfn.IFS('Data set'!$D103&lt;=18.5,"Low",'Data set'!$D103&lt;=24.9,"Normal",'Data set'!$D103&lt;=29.9,"High",'Data set'!$D103&gt;29.9,"Very High")</f>
        <v>Low</v>
      </c>
    </row>
    <row r="104" spans="1:17" x14ac:dyDescent="0.25">
      <c r="A104" s="3">
        <v>22</v>
      </c>
      <c r="B104" s="3" t="s">
        <v>9</v>
      </c>
      <c r="C104" s="4">
        <v>146.46</v>
      </c>
      <c r="D104" s="4">
        <v>29.35</v>
      </c>
      <c r="E104" s="3" t="s">
        <v>10</v>
      </c>
      <c r="F104" s="3">
        <v>255</v>
      </c>
      <c r="G104" s="3" t="s">
        <v>114</v>
      </c>
      <c r="H104" s="4">
        <v>4.0199999999999996</v>
      </c>
      <c r="I104" s="3">
        <v>1</v>
      </c>
      <c r="J104" s="3" t="s">
        <v>4</v>
      </c>
      <c r="K104" s="3" t="s">
        <v>3</v>
      </c>
      <c r="L104" s="3">
        <v>118</v>
      </c>
      <c r="M104" s="3">
        <v>64</v>
      </c>
      <c r="N104" s="3" t="s">
        <v>17</v>
      </c>
      <c r="O104" s="3" t="str">
        <f>_xlfn.IFS('Data set'!$H104&lt;5.7,"Normal",'Data set'!$H104&lt;=6.4,"Prediabetes",'Data set'!$H104&lt;=7.5,"Diabetes",'Data set'!$H104&gt;=7.5,"Uncontrolled")</f>
        <v>Normal</v>
      </c>
      <c r="P104" s="3" t="str">
        <f>_xlfn.IFS('Data set'!$F104&lt;120,"Low",'Data set'!$F104&lt;=200,"Normal",'Data set'!$F104&lt;=240,"Boarderline",'Data set'!$F104&gt;=241,"High")</f>
        <v>High</v>
      </c>
      <c r="Q104" s="3" t="str">
        <f>_xlfn.IFS('Data set'!$D104&lt;=18.5,"Low",'Data set'!$D104&lt;=24.9,"Normal",'Data set'!$D104&lt;=29.9,"High",'Data set'!$D104&gt;29.9,"Very High")</f>
        <v>High</v>
      </c>
    </row>
    <row r="105" spans="1:17" x14ac:dyDescent="0.25">
      <c r="A105" s="5">
        <v>59</v>
      </c>
      <c r="B105" s="5" t="s">
        <v>0</v>
      </c>
      <c r="C105" s="6">
        <v>79.98</v>
      </c>
      <c r="D105" s="6">
        <v>23.82</v>
      </c>
      <c r="E105" s="5" t="s">
        <v>14</v>
      </c>
      <c r="F105" s="5">
        <v>156</v>
      </c>
      <c r="G105" s="5" t="s">
        <v>115</v>
      </c>
      <c r="H105" s="6">
        <v>8.1</v>
      </c>
      <c r="I105" s="5">
        <v>0</v>
      </c>
      <c r="J105" s="5" t="s">
        <v>4</v>
      </c>
      <c r="K105" s="5" t="s">
        <v>3</v>
      </c>
      <c r="L105" s="5">
        <v>132</v>
      </c>
      <c r="M105" s="5">
        <v>73</v>
      </c>
      <c r="N105" s="5" t="s">
        <v>8</v>
      </c>
      <c r="O105" s="5" t="str">
        <f>_xlfn.IFS('Data set'!$H105&lt;5.7,"Normal",'Data set'!$H105&lt;=6.4,"Prediabetes",'Data set'!$H105&lt;=7.5,"Diabetes",'Data set'!$H105&gt;=7.5,"Uncontrolled")</f>
        <v>Uncontrolled</v>
      </c>
      <c r="P105" s="5" t="str">
        <f>_xlfn.IFS('Data set'!$F105&lt;120,"Low",'Data set'!$F105&lt;=200,"Normal",'Data set'!$F105&lt;=240,"Boarderline",'Data set'!$F105&gt;=241,"High")</f>
        <v>Normal</v>
      </c>
      <c r="Q105" s="5" t="str">
        <f>_xlfn.IFS('Data set'!$D105&lt;=18.5,"Low",'Data set'!$D105&lt;=24.9,"Normal",'Data set'!$D105&lt;=29.9,"High",'Data set'!$D105&gt;29.9,"Very High")</f>
        <v>Normal</v>
      </c>
    </row>
    <row r="106" spans="1:17" x14ac:dyDescent="0.25">
      <c r="A106" s="3">
        <v>21</v>
      </c>
      <c r="B106" s="3" t="s">
        <v>0</v>
      </c>
      <c r="C106" s="4">
        <v>149.65</v>
      </c>
      <c r="D106" s="4">
        <v>39.369999999999997</v>
      </c>
      <c r="E106" s="3" t="s">
        <v>6</v>
      </c>
      <c r="F106" s="3">
        <v>273</v>
      </c>
      <c r="G106" s="3" t="s">
        <v>116</v>
      </c>
      <c r="H106" s="4">
        <v>9.64</v>
      </c>
      <c r="I106" s="3">
        <v>0</v>
      </c>
      <c r="J106" s="3" t="s">
        <v>4</v>
      </c>
      <c r="K106" s="3" t="s">
        <v>3</v>
      </c>
      <c r="L106" s="3">
        <v>128</v>
      </c>
      <c r="M106" s="3">
        <v>79</v>
      </c>
      <c r="N106" s="3" t="s">
        <v>17</v>
      </c>
      <c r="O106" s="3" t="str">
        <f>_xlfn.IFS('Data set'!$H106&lt;5.7,"Normal",'Data set'!$H106&lt;=6.4,"Prediabetes",'Data set'!$H106&lt;=7.5,"Diabetes",'Data set'!$H106&gt;=7.5,"Uncontrolled")</f>
        <v>Uncontrolled</v>
      </c>
      <c r="P106" s="3" t="str">
        <f>_xlfn.IFS('Data set'!$F106&lt;120,"Low",'Data set'!$F106&lt;=200,"Normal",'Data set'!$F106&lt;=240,"Boarderline",'Data set'!$F106&gt;=241,"High")</f>
        <v>High</v>
      </c>
      <c r="Q106" s="3" t="str">
        <f>_xlfn.IFS('Data set'!$D106&lt;=18.5,"Low",'Data set'!$D106&lt;=24.9,"Normal",'Data set'!$D106&lt;=29.9,"High",'Data set'!$D106&gt;29.9,"Very High")</f>
        <v>Very High</v>
      </c>
    </row>
    <row r="107" spans="1:17" x14ac:dyDescent="0.25">
      <c r="A107" s="5">
        <v>75</v>
      </c>
      <c r="B107" s="5" t="s">
        <v>0</v>
      </c>
      <c r="C107" s="6">
        <v>230.52</v>
      </c>
      <c r="D107" s="6">
        <v>37.97</v>
      </c>
      <c r="E107" s="5" t="s">
        <v>6</v>
      </c>
      <c r="F107" s="5">
        <v>237</v>
      </c>
      <c r="G107" s="5" t="s">
        <v>117</v>
      </c>
      <c r="H107" s="6">
        <v>7.09</v>
      </c>
      <c r="I107" s="5">
        <v>3</v>
      </c>
      <c r="J107" s="5" t="s">
        <v>3</v>
      </c>
      <c r="K107" s="5" t="s">
        <v>3</v>
      </c>
      <c r="L107" s="5">
        <v>92</v>
      </c>
      <c r="M107" s="5">
        <v>72</v>
      </c>
      <c r="N107" s="5" t="s">
        <v>5</v>
      </c>
      <c r="O107" s="5" t="str">
        <f>_xlfn.IFS('Data set'!$H107&lt;5.7,"Normal",'Data set'!$H107&lt;=6.4,"Prediabetes",'Data set'!$H107&lt;=7.5,"Diabetes",'Data set'!$H107&gt;=7.5,"Uncontrolled")</f>
        <v>Diabetes</v>
      </c>
      <c r="P107" s="5" t="str">
        <f>_xlfn.IFS('Data set'!$F107&lt;120,"Low",'Data set'!$F107&lt;=200,"Normal",'Data set'!$F107&lt;=240,"Boarderline",'Data set'!$F107&gt;=241,"High")</f>
        <v>Boarderline</v>
      </c>
      <c r="Q107" s="5" t="str">
        <f>_xlfn.IFS('Data set'!$D107&lt;=18.5,"Low",'Data set'!$D107&lt;=24.9,"Normal",'Data set'!$D107&lt;=29.9,"High",'Data set'!$D107&gt;29.9,"Very High")</f>
        <v>Very High</v>
      </c>
    </row>
    <row r="108" spans="1:17" x14ac:dyDescent="0.25">
      <c r="A108" s="3">
        <v>65</v>
      </c>
      <c r="B108" s="3" t="s">
        <v>0</v>
      </c>
      <c r="C108" s="4">
        <v>122.05</v>
      </c>
      <c r="D108" s="4">
        <v>26.96</v>
      </c>
      <c r="E108" s="3" t="s">
        <v>1</v>
      </c>
      <c r="F108" s="3">
        <v>140</v>
      </c>
      <c r="G108" s="3" t="s">
        <v>118</v>
      </c>
      <c r="H108" s="4">
        <v>5.17</v>
      </c>
      <c r="I108" s="3">
        <v>3</v>
      </c>
      <c r="J108" s="3" t="s">
        <v>4</v>
      </c>
      <c r="K108" s="3" t="s">
        <v>3</v>
      </c>
      <c r="L108" s="3">
        <v>134</v>
      </c>
      <c r="M108" s="3">
        <v>60</v>
      </c>
      <c r="N108" s="3" t="s">
        <v>21</v>
      </c>
      <c r="O108" s="3" t="str">
        <f>_xlfn.IFS('Data set'!$H108&lt;5.7,"Normal",'Data set'!$H108&lt;=6.4,"Prediabetes",'Data set'!$H108&lt;=7.5,"Diabetes",'Data set'!$H108&gt;=7.5,"Uncontrolled")</f>
        <v>Normal</v>
      </c>
      <c r="P108" s="3" t="str">
        <f>_xlfn.IFS('Data set'!$F108&lt;120,"Low",'Data set'!$F108&lt;=200,"Normal",'Data set'!$F108&lt;=240,"Boarderline",'Data set'!$F108&gt;=241,"High")</f>
        <v>Normal</v>
      </c>
      <c r="Q108" s="3" t="str">
        <f>_xlfn.IFS('Data set'!$D108&lt;=18.5,"Low",'Data set'!$D108&lt;=24.9,"Normal",'Data set'!$D108&lt;=29.9,"High",'Data set'!$D108&gt;29.9,"Very High")</f>
        <v>High</v>
      </c>
    </row>
    <row r="109" spans="1:17" x14ac:dyDescent="0.25">
      <c r="A109" s="5">
        <v>42</v>
      </c>
      <c r="B109" s="5" t="s">
        <v>0</v>
      </c>
      <c r="C109" s="6">
        <v>180.34</v>
      </c>
      <c r="D109" s="6">
        <v>23.55</v>
      </c>
      <c r="E109" s="5" t="s">
        <v>14</v>
      </c>
      <c r="F109" s="5">
        <v>145</v>
      </c>
      <c r="G109" s="5" t="s">
        <v>119</v>
      </c>
      <c r="H109" s="6">
        <v>5.47</v>
      </c>
      <c r="I109" s="5">
        <v>1</v>
      </c>
      <c r="J109" s="5" t="s">
        <v>3</v>
      </c>
      <c r="K109" s="5" t="s">
        <v>3</v>
      </c>
      <c r="L109" s="5">
        <v>111</v>
      </c>
      <c r="M109" s="5">
        <v>77</v>
      </c>
      <c r="N109" s="5" t="s">
        <v>23</v>
      </c>
      <c r="O109" s="5" t="str">
        <f>_xlfn.IFS('Data set'!$H109&lt;5.7,"Normal",'Data set'!$H109&lt;=6.4,"Prediabetes",'Data set'!$H109&lt;=7.5,"Diabetes",'Data set'!$H109&gt;=7.5,"Uncontrolled")</f>
        <v>Normal</v>
      </c>
      <c r="P109" s="5" t="str">
        <f>_xlfn.IFS('Data set'!$F109&lt;120,"Low",'Data set'!$F109&lt;=200,"Normal",'Data set'!$F109&lt;=240,"Boarderline",'Data set'!$F109&gt;=241,"High")</f>
        <v>Normal</v>
      </c>
      <c r="Q109" s="5" t="str">
        <f>_xlfn.IFS('Data set'!$D109&lt;=18.5,"Low",'Data set'!$D109&lt;=24.9,"Normal",'Data set'!$D109&lt;=29.9,"High",'Data set'!$D109&gt;29.9,"Very High")</f>
        <v>Normal</v>
      </c>
    </row>
    <row r="110" spans="1:17" x14ac:dyDescent="0.25">
      <c r="A110" s="3">
        <v>24</v>
      </c>
      <c r="B110" s="3" t="s">
        <v>9</v>
      </c>
      <c r="C110" s="4">
        <v>90.54</v>
      </c>
      <c r="D110" s="4">
        <v>21.85</v>
      </c>
      <c r="E110" s="3" t="s">
        <v>6</v>
      </c>
      <c r="F110" s="3">
        <v>132</v>
      </c>
      <c r="G110" s="3" t="s">
        <v>120</v>
      </c>
      <c r="H110" s="4">
        <v>8.3699999999999992</v>
      </c>
      <c r="I110" s="3">
        <v>1</v>
      </c>
      <c r="J110" s="3" t="s">
        <v>4</v>
      </c>
      <c r="K110" s="3" t="s">
        <v>3</v>
      </c>
      <c r="L110" s="3">
        <v>95</v>
      </c>
      <c r="M110" s="3">
        <v>84</v>
      </c>
      <c r="N110" s="3" t="s">
        <v>17</v>
      </c>
      <c r="O110" s="3" t="str">
        <f>_xlfn.IFS('Data set'!$H110&lt;5.7,"Normal",'Data set'!$H110&lt;=6.4,"Prediabetes",'Data set'!$H110&lt;=7.5,"Diabetes",'Data set'!$H110&gt;=7.5,"Uncontrolled")</f>
        <v>Uncontrolled</v>
      </c>
      <c r="P110" s="3" t="str">
        <f>_xlfn.IFS('Data set'!$F110&lt;120,"Low",'Data set'!$F110&lt;=200,"Normal",'Data set'!$F110&lt;=240,"Boarderline",'Data set'!$F110&gt;=241,"High")</f>
        <v>Normal</v>
      </c>
      <c r="Q110" s="3" t="str">
        <f>_xlfn.IFS('Data set'!$D110&lt;=18.5,"Low",'Data set'!$D110&lt;=24.9,"Normal",'Data set'!$D110&lt;=29.9,"High",'Data set'!$D110&gt;29.9,"Very High")</f>
        <v>Normal</v>
      </c>
    </row>
    <row r="111" spans="1:17" x14ac:dyDescent="0.25">
      <c r="A111" s="5">
        <v>74</v>
      </c>
      <c r="B111" s="5" t="s">
        <v>9</v>
      </c>
      <c r="C111" s="6">
        <v>257.98</v>
      </c>
      <c r="D111" s="6">
        <v>30.7</v>
      </c>
      <c r="E111" s="5" t="s">
        <v>1</v>
      </c>
      <c r="F111" s="5">
        <v>185</v>
      </c>
      <c r="G111" s="5" t="s">
        <v>121</v>
      </c>
      <c r="H111" s="6">
        <v>9.1999999999999993</v>
      </c>
      <c r="I111" s="5">
        <v>3</v>
      </c>
      <c r="J111" s="5" t="s">
        <v>3</v>
      </c>
      <c r="K111" s="5" t="s">
        <v>3</v>
      </c>
      <c r="L111" s="5">
        <v>137</v>
      </c>
      <c r="M111" s="5">
        <v>85</v>
      </c>
      <c r="N111" s="5" t="s">
        <v>5</v>
      </c>
      <c r="O111" s="5" t="str">
        <f>_xlfn.IFS('Data set'!$H111&lt;5.7,"Normal",'Data set'!$H111&lt;=6.4,"Prediabetes",'Data set'!$H111&lt;=7.5,"Diabetes",'Data set'!$H111&gt;=7.5,"Uncontrolled")</f>
        <v>Uncontrolled</v>
      </c>
      <c r="P111" s="5" t="str">
        <f>_xlfn.IFS('Data set'!$F111&lt;120,"Low",'Data set'!$F111&lt;=200,"Normal",'Data set'!$F111&lt;=240,"Boarderline",'Data set'!$F111&gt;=241,"High")</f>
        <v>Normal</v>
      </c>
      <c r="Q111" s="5" t="str">
        <f>_xlfn.IFS('Data set'!$D111&lt;=18.5,"Low",'Data set'!$D111&lt;=24.9,"Normal",'Data set'!$D111&lt;=29.9,"High",'Data set'!$D111&gt;29.9,"Very High")</f>
        <v>Very High</v>
      </c>
    </row>
    <row r="112" spans="1:17" x14ac:dyDescent="0.25">
      <c r="A112" s="3">
        <v>24</v>
      </c>
      <c r="B112" s="3" t="s">
        <v>9</v>
      </c>
      <c r="C112" s="4">
        <v>191.83</v>
      </c>
      <c r="D112" s="4">
        <v>23.5</v>
      </c>
      <c r="E112" s="3" t="s">
        <v>14</v>
      </c>
      <c r="F112" s="3">
        <v>222</v>
      </c>
      <c r="G112" s="3" t="s">
        <v>31</v>
      </c>
      <c r="H112" s="4">
        <v>6.95</v>
      </c>
      <c r="I112" s="3">
        <v>4</v>
      </c>
      <c r="J112" s="3" t="s">
        <v>4</v>
      </c>
      <c r="K112" s="3" t="s">
        <v>4</v>
      </c>
      <c r="L112" s="3">
        <v>123</v>
      </c>
      <c r="M112" s="3">
        <v>64</v>
      </c>
      <c r="N112" s="3" t="s">
        <v>17</v>
      </c>
      <c r="O112" s="3" t="str">
        <f>_xlfn.IFS('Data set'!$H112&lt;5.7,"Normal",'Data set'!$H112&lt;=6.4,"Prediabetes",'Data set'!$H112&lt;=7.5,"Diabetes",'Data set'!$H112&gt;=7.5,"Uncontrolled")</f>
        <v>Diabetes</v>
      </c>
      <c r="P112" s="3" t="str">
        <f>_xlfn.IFS('Data set'!$F112&lt;120,"Low",'Data set'!$F112&lt;=200,"Normal",'Data set'!$F112&lt;=240,"Boarderline",'Data set'!$F112&gt;=241,"High")</f>
        <v>Boarderline</v>
      </c>
      <c r="Q112" s="3" t="str">
        <f>_xlfn.IFS('Data set'!$D112&lt;=18.5,"Low",'Data set'!$D112&lt;=24.9,"Normal",'Data set'!$D112&lt;=29.9,"High",'Data set'!$D112&gt;29.9,"Very High")</f>
        <v>Normal</v>
      </c>
    </row>
    <row r="113" spans="1:17" x14ac:dyDescent="0.25">
      <c r="A113" s="5">
        <v>31</v>
      </c>
      <c r="B113" s="5" t="s">
        <v>9</v>
      </c>
      <c r="C113" s="6">
        <v>199.02</v>
      </c>
      <c r="D113" s="6">
        <v>25.91</v>
      </c>
      <c r="E113" s="5" t="s">
        <v>14</v>
      </c>
      <c r="F113" s="5">
        <v>105</v>
      </c>
      <c r="G113" s="5" t="s">
        <v>122</v>
      </c>
      <c r="H113" s="6">
        <v>4.33</v>
      </c>
      <c r="I113" s="5">
        <v>7</v>
      </c>
      <c r="J113" s="5" t="s">
        <v>4</v>
      </c>
      <c r="K113" s="5" t="s">
        <v>4</v>
      </c>
      <c r="L113" s="5">
        <v>96</v>
      </c>
      <c r="M113" s="5">
        <v>71</v>
      </c>
      <c r="N113" s="5" t="s">
        <v>12</v>
      </c>
      <c r="O113" s="5" t="str">
        <f>_xlfn.IFS('Data set'!$H113&lt;5.7,"Normal",'Data set'!$H113&lt;=6.4,"Prediabetes",'Data set'!$H113&lt;=7.5,"Diabetes",'Data set'!$H113&gt;=7.5,"Uncontrolled")</f>
        <v>Normal</v>
      </c>
      <c r="P113" s="5" t="str">
        <f>_xlfn.IFS('Data set'!$F113&lt;120,"Low",'Data set'!$F113&lt;=200,"Normal",'Data set'!$F113&lt;=240,"Boarderline",'Data set'!$F113&gt;=241,"High")</f>
        <v>Low</v>
      </c>
      <c r="Q113" s="5" t="str">
        <f>_xlfn.IFS('Data set'!$D113&lt;=18.5,"Low",'Data set'!$D113&lt;=24.9,"Normal",'Data set'!$D113&lt;=29.9,"High",'Data set'!$D113&gt;29.9,"Very High")</f>
        <v>High</v>
      </c>
    </row>
    <row r="114" spans="1:17" x14ac:dyDescent="0.25">
      <c r="A114" s="3">
        <v>40</v>
      </c>
      <c r="B114" s="3" t="s">
        <v>0</v>
      </c>
      <c r="C114" s="4">
        <v>157.43</v>
      </c>
      <c r="D114" s="4">
        <v>22.43</v>
      </c>
      <c r="E114" s="3" t="s">
        <v>14</v>
      </c>
      <c r="F114" s="3">
        <v>284</v>
      </c>
      <c r="G114" s="3" t="s">
        <v>123</v>
      </c>
      <c r="H114" s="4">
        <v>9.41</v>
      </c>
      <c r="I114" s="3">
        <v>4</v>
      </c>
      <c r="J114" s="3" t="s">
        <v>4</v>
      </c>
      <c r="K114" s="3" t="s">
        <v>3</v>
      </c>
      <c r="L114" s="3">
        <v>100</v>
      </c>
      <c r="M114" s="3">
        <v>65</v>
      </c>
      <c r="N114" s="3" t="s">
        <v>12</v>
      </c>
      <c r="O114" s="3" t="str">
        <f>_xlfn.IFS('Data set'!$H114&lt;5.7,"Normal",'Data set'!$H114&lt;=6.4,"Prediabetes",'Data set'!$H114&lt;=7.5,"Diabetes",'Data set'!$H114&gt;=7.5,"Uncontrolled")</f>
        <v>Uncontrolled</v>
      </c>
      <c r="P114" s="3" t="str">
        <f>_xlfn.IFS('Data set'!$F114&lt;120,"Low",'Data set'!$F114&lt;=200,"Normal",'Data set'!$F114&lt;=240,"Boarderline",'Data set'!$F114&gt;=241,"High")</f>
        <v>High</v>
      </c>
      <c r="Q114" s="3" t="str">
        <f>_xlfn.IFS('Data set'!$D114&lt;=18.5,"Low",'Data set'!$D114&lt;=24.9,"Normal",'Data set'!$D114&lt;=29.9,"High",'Data set'!$D114&gt;29.9,"Very High")</f>
        <v>Normal</v>
      </c>
    </row>
    <row r="115" spans="1:17" x14ac:dyDescent="0.25">
      <c r="A115" s="5">
        <v>49</v>
      </c>
      <c r="B115" s="5" t="s">
        <v>9</v>
      </c>
      <c r="C115" s="6">
        <v>182.61</v>
      </c>
      <c r="D115" s="6">
        <v>25.2</v>
      </c>
      <c r="E115" s="5" t="s">
        <v>10</v>
      </c>
      <c r="F115" s="5">
        <v>127</v>
      </c>
      <c r="G115" s="5" t="s">
        <v>124</v>
      </c>
      <c r="H115" s="6">
        <v>8.73</v>
      </c>
      <c r="I115" s="5">
        <v>6</v>
      </c>
      <c r="J115" s="5" t="s">
        <v>4</v>
      </c>
      <c r="K115" s="5" t="s">
        <v>4</v>
      </c>
      <c r="L115" s="5">
        <v>98</v>
      </c>
      <c r="M115" s="5">
        <v>85</v>
      </c>
      <c r="N115" s="5" t="s">
        <v>23</v>
      </c>
      <c r="O115" s="5" t="str">
        <f>_xlfn.IFS('Data set'!$H115&lt;5.7,"Normal",'Data set'!$H115&lt;=6.4,"Prediabetes",'Data set'!$H115&lt;=7.5,"Diabetes",'Data set'!$H115&gt;=7.5,"Uncontrolled")</f>
        <v>Uncontrolled</v>
      </c>
      <c r="P115" s="5" t="str">
        <f>_xlfn.IFS('Data set'!$F115&lt;120,"Low",'Data set'!$F115&lt;=200,"Normal",'Data set'!$F115&lt;=240,"Boarderline",'Data set'!$F115&gt;=241,"High")</f>
        <v>Normal</v>
      </c>
      <c r="Q115" s="5" t="str">
        <f>_xlfn.IFS('Data set'!$D115&lt;=18.5,"Low",'Data set'!$D115&lt;=24.9,"Normal",'Data set'!$D115&lt;=29.9,"High",'Data set'!$D115&gt;29.9,"Very High")</f>
        <v>High</v>
      </c>
    </row>
    <row r="116" spans="1:17" x14ac:dyDescent="0.25">
      <c r="A116" s="3">
        <v>22</v>
      </c>
      <c r="B116" s="3" t="s">
        <v>9</v>
      </c>
      <c r="C116" s="4">
        <v>242.93</v>
      </c>
      <c r="D116" s="4">
        <v>23.61</v>
      </c>
      <c r="E116" s="3" t="s">
        <v>14</v>
      </c>
      <c r="F116" s="3">
        <v>252</v>
      </c>
      <c r="G116" s="3" t="s">
        <v>27</v>
      </c>
      <c r="H116" s="4">
        <v>4.0599999999999996</v>
      </c>
      <c r="I116" s="3">
        <v>6</v>
      </c>
      <c r="J116" s="3" t="s">
        <v>3</v>
      </c>
      <c r="K116" s="3" t="s">
        <v>3</v>
      </c>
      <c r="L116" s="3">
        <v>122</v>
      </c>
      <c r="M116" s="3">
        <v>84</v>
      </c>
      <c r="N116" s="3" t="s">
        <v>17</v>
      </c>
      <c r="O116" s="3" t="str">
        <f>_xlfn.IFS('Data set'!$H116&lt;5.7,"Normal",'Data set'!$H116&lt;=6.4,"Prediabetes",'Data set'!$H116&lt;=7.5,"Diabetes",'Data set'!$H116&gt;=7.5,"Uncontrolled")</f>
        <v>Normal</v>
      </c>
      <c r="P116" s="3" t="str">
        <f>_xlfn.IFS('Data set'!$F116&lt;120,"Low",'Data set'!$F116&lt;=200,"Normal",'Data set'!$F116&lt;=240,"Boarderline",'Data set'!$F116&gt;=241,"High")</f>
        <v>High</v>
      </c>
      <c r="Q116" s="3" t="str">
        <f>_xlfn.IFS('Data set'!$D116&lt;=18.5,"Low",'Data set'!$D116&lt;=24.9,"Normal",'Data set'!$D116&lt;=29.9,"High",'Data set'!$D116&gt;29.9,"Very High")</f>
        <v>Normal</v>
      </c>
    </row>
    <row r="117" spans="1:17" x14ac:dyDescent="0.25">
      <c r="A117" s="5">
        <v>77</v>
      </c>
      <c r="B117" s="5" t="s">
        <v>9</v>
      </c>
      <c r="C117" s="6">
        <v>299.39</v>
      </c>
      <c r="D117" s="6">
        <v>23.28</v>
      </c>
      <c r="E117" s="5" t="s">
        <v>10</v>
      </c>
      <c r="F117" s="5">
        <v>156</v>
      </c>
      <c r="G117" s="5" t="s">
        <v>125</v>
      </c>
      <c r="H117" s="6">
        <v>7.48</v>
      </c>
      <c r="I117" s="5">
        <v>4</v>
      </c>
      <c r="J117" s="5" t="s">
        <v>3</v>
      </c>
      <c r="K117" s="5" t="s">
        <v>3</v>
      </c>
      <c r="L117" s="5">
        <v>134</v>
      </c>
      <c r="M117" s="5">
        <v>79</v>
      </c>
      <c r="N117" s="5" t="s">
        <v>5</v>
      </c>
      <c r="O117" s="5" t="str">
        <f>_xlfn.IFS('Data set'!$H117&lt;5.7,"Normal",'Data set'!$H117&lt;=6.4,"Prediabetes",'Data set'!$H117&lt;=7.5,"Diabetes",'Data set'!$H117&gt;=7.5,"Uncontrolled")</f>
        <v>Diabetes</v>
      </c>
      <c r="P117" s="5" t="str">
        <f>_xlfn.IFS('Data set'!$F117&lt;120,"Low",'Data set'!$F117&lt;=200,"Normal",'Data set'!$F117&lt;=240,"Boarderline",'Data set'!$F117&gt;=241,"High")</f>
        <v>Normal</v>
      </c>
      <c r="Q117" s="5" t="str">
        <f>_xlfn.IFS('Data set'!$D117&lt;=18.5,"Low",'Data set'!$D117&lt;=24.9,"Normal",'Data set'!$D117&lt;=29.9,"High",'Data set'!$D117&gt;29.9,"Very High")</f>
        <v>Normal</v>
      </c>
    </row>
    <row r="118" spans="1:17" x14ac:dyDescent="0.25">
      <c r="A118" s="3">
        <v>69</v>
      </c>
      <c r="B118" s="3" t="s">
        <v>9</v>
      </c>
      <c r="C118" s="4">
        <v>145.51</v>
      </c>
      <c r="D118" s="4">
        <v>28.15</v>
      </c>
      <c r="E118" s="3" t="s">
        <v>14</v>
      </c>
      <c r="F118" s="3">
        <v>187</v>
      </c>
      <c r="G118" s="3" t="s">
        <v>126</v>
      </c>
      <c r="H118" s="4">
        <v>8.85</v>
      </c>
      <c r="I118" s="3">
        <v>6</v>
      </c>
      <c r="J118" s="3" t="s">
        <v>4</v>
      </c>
      <c r="K118" s="3" t="s">
        <v>3</v>
      </c>
      <c r="L118" s="3">
        <v>93</v>
      </c>
      <c r="M118" s="3">
        <v>89</v>
      </c>
      <c r="N118" s="3" t="s">
        <v>21</v>
      </c>
      <c r="O118" s="3" t="str">
        <f>_xlfn.IFS('Data set'!$H118&lt;5.7,"Normal",'Data set'!$H118&lt;=6.4,"Prediabetes",'Data set'!$H118&lt;=7.5,"Diabetes",'Data set'!$H118&gt;=7.5,"Uncontrolled")</f>
        <v>Uncontrolled</v>
      </c>
      <c r="P118" s="3" t="str">
        <f>_xlfn.IFS('Data set'!$F118&lt;120,"Low",'Data set'!$F118&lt;=200,"Normal",'Data set'!$F118&lt;=240,"Boarderline",'Data set'!$F118&gt;=241,"High")</f>
        <v>Normal</v>
      </c>
      <c r="Q118" s="3" t="str">
        <f>_xlfn.IFS('Data set'!$D118&lt;=18.5,"Low",'Data set'!$D118&lt;=24.9,"Normal",'Data set'!$D118&lt;=29.9,"High",'Data set'!$D118&gt;29.9,"Very High")</f>
        <v>High</v>
      </c>
    </row>
    <row r="119" spans="1:17" x14ac:dyDescent="0.25">
      <c r="A119" s="5">
        <v>65</v>
      </c>
      <c r="B119" s="5" t="s">
        <v>0</v>
      </c>
      <c r="C119" s="6">
        <v>221.08</v>
      </c>
      <c r="D119" s="6">
        <v>18.52</v>
      </c>
      <c r="E119" s="5" t="s">
        <v>14</v>
      </c>
      <c r="F119" s="5">
        <v>194</v>
      </c>
      <c r="G119" s="5" t="s">
        <v>104</v>
      </c>
      <c r="H119" s="6">
        <v>7.44</v>
      </c>
      <c r="I119" s="5">
        <v>6</v>
      </c>
      <c r="J119" s="5" t="s">
        <v>3</v>
      </c>
      <c r="K119" s="5" t="s">
        <v>4</v>
      </c>
      <c r="L119" s="5">
        <v>136</v>
      </c>
      <c r="M119" s="5">
        <v>73</v>
      </c>
      <c r="N119" s="5" t="s">
        <v>21</v>
      </c>
      <c r="O119" s="5" t="str">
        <f>_xlfn.IFS('Data set'!$H119&lt;5.7,"Normal",'Data set'!$H119&lt;=6.4,"Prediabetes",'Data set'!$H119&lt;=7.5,"Diabetes",'Data set'!$H119&gt;=7.5,"Uncontrolled")</f>
        <v>Diabetes</v>
      </c>
      <c r="P119" s="5" t="str">
        <f>_xlfn.IFS('Data set'!$F119&lt;120,"Low",'Data set'!$F119&lt;=200,"Normal",'Data set'!$F119&lt;=240,"Boarderline",'Data set'!$F119&gt;=241,"High")</f>
        <v>Normal</v>
      </c>
      <c r="Q119" s="5" t="str">
        <f>_xlfn.IFS('Data set'!$D119&lt;=18.5,"Low",'Data set'!$D119&lt;=24.9,"Normal",'Data set'!$D119&lt;=29.9,"High",'Data set'!$D119&gt;29.9,"Very High")</f>
        <v>Normal</v>
      </c>
    </row>
    <row r="120" spans="1:17" x14ac:dyDescent="0.25">
      <c r="A120" s="3">
        <v>63</v>
      </c>
      <c r="B120" s="3" t="s">
        <v>9</v>
      </c>
      <c r="C120" s="4">
        <v>255.1</v>
      </c>
      <c r="D120" s="4">
        <v>26.51</v>
      </c>
      <c r="E120" s="3" t="s">
        <v>1</v>
      </c>
      <c r="F120" s="3">
        <v>183</v>
      </c>
      <c r="G120" s="3" t="s">
        <v>127</v>
      </c>
      <c r="H120" s="4">
        <v>7.05</v>
      </c>
      <c r="I120" s="3">
        <v>3</v>
      </c>
      <c r="J120" s="3" t="s">
        <v>3</v>
      </c>
      <c r="K120" s="3" t="s">
        <v>4</v>
      </c>
      <c r="L120" s="3">
        <v>93</v>
      </c>
      <c r="M120" s="3">
        <v>86</v>
      </c>
      <c r="N120" s="3" t="s">
        <v>21</v>
      </c>
      <c r="O120" s="3" t="str">
        <f>_xlfn.IFS('Data set'!$H120&lt;5.7,"Normal",'Data set'!$H120&lt;=6.4,"Prediabetes",'Data set'!$H120&lt;=7.5,"Diabetes",'Data set'!$H120&gt;=7.5,"Uncontrolled")</f>
        <v>Diabetes</v>
      </c>
      <c r="P120" s="3" t="str">
        <f>_xlfn.IFS('Data set'!$F120&lt;120,"Low",'Data set'!$F120&lt;=200,"Normal",'Data set'!$F120&lt;=240,"Boarderline",'Data set'!$F120&gt;=241,"High")</f>
        <v>Normal</v>
      </c>
      <c r="Q120" s="3" t="str">
        <f>_xlfn.IFS('Data set'!$D120&lt;=18.5,"Low",'Data set'!$D120&lt;=24.9,"Normal",'Data set'!$D120&lt;=29.9,"High",'Data set'!$D120&gt;29.9,"Very High")</f>
        <v>High</v>
      </c>
    </row>
    <row r="121" spans="1:17" x14ac:dyDescent="0.25">
      <c r="A121" s="5">
        <v>47</v>
      </c>
      <c r="B121" s="5" t="s">
        <v>0</v>
      </c>
      <c r="C121" s="6">
        <v>153.99</v>
      </c>
      <c r="D121" s="6">
        <v>38.81</v>
      </c>
      <c r="E121" s="5" t="s">
        <v>10</v>
      </c>
      <c r="F121" s="5">
        <v>222</v>
      </c>
      <c r="G121" s="5" t="s">
        <v>128</v>
      </c>
      <c r="H121" s="6">
        <v>7.5</v>
      </c>
      <c r="I121" s="5">
        <v>5</v>
      </c>
      <c r="J121" s="5" t="s">
        <v>4</v>
      </c>
      <c r="K121" s="5" t="s">
        <v>4</v>
      </c>
      <c r="L121" s="5">
        <v>113</v>
      </c>
      <c r="M121" s="5">
        <v>75</v>
      </c>
      <c r="N121" s="5" t="s">
        <v>23</v>
      </c>
      <c r="O121" s="5" t="str">
        <f>_xlfn.IFS('Data set'!$H121&lt;5.7,"Normal",'Data set'!$H121&lt;=6.4,"Prediabetes",'Data set'!$H121&lt;=7.5,"Diabetes",'Data set'!$H121&gt;=7.5,"Uncontrolled")</f>
        <v>Diabetes</v>
      </c>
      <c r="P121" s="5" t="str">
        <f>_xlfn.IFS('Data set'!$F121&lt;120,"Low",'Data set'!$F121&lt;=200,"Normal",'Data set'!$F121&lt;=240,"Boarderline",'Data set'!$F121&gt;=241,"High")</f>
        <v>Boarderline</v>
      </c>
      <c r="Q121" s="5" t="str">
        <f>_xlfn.IFS('Data set'!$D121&lt;=18.5,"Low",'Data set'!$D121&lt;=24.9,"Normal",'Data set'!$D121&lt;=29.9,"High",'Data set'!$D121&gt;29.9,"Very High")</f>
        <v>Very High</v>
      </c>
    </row>
    <row r="122" spans="1:17" x14ac:dyDescent="0.25">
      <c r="A122" s="3">
        <v>59</v>
      </c>
      <c r="B122" s="3" t="s">
        <v>9</v>
      </c>
      <c r="C122" s="4">
        <v>276</v>
      </c>
      <c r="D122" s="4">
        <v>34.28</v>
      </c>
      <c r="E122" s="3" t="s">
        <v>1</v>
      </c>
      <c r="F122" s="3">
        <v>156</v>
      </c>
      <c r="G122" s="3" t="s">
        <v>129</v>
      </c>
      <c r="H122" s="4">
        <v>5.42</v>
      </c>
      <c r="I122" s="3">
        <v>4</v>
      </c>
      <c r="J122" s="3" t="s">
        <v>3</v>
      </c>
      <c r="K122" s="3" t="s">
        <v>3</v>
      </c>
      <c r="L122" s="3">
        <v>101</v>
      </c>
      <c r="M122" s="3">
        <v>84</v>
      </c>
      <c r="N122" s="3" t="s">
        <v>8</v>
      </c>
      <c r="O122" s="3" t="str">
        <f>_xlfn.IFS('Data set'!$H122&lt;5.7,"Normal",'Data set'!$H122&lt;=6.4,"Prediabetes",'Data set'!$H122&lt;=7.5,"Diabetes",'Data set'!$H122&gt;=7.5,"Uncontrolled")</f>
        <v>Normal</v>
      </c>
      <c r="P122" s="3" t="str">
        <f>_xlfn.IFS('Data set'!$F122&lt;120,"Low",'Data set'!$F122&lt;=200,"Normal",'Data set'!$F122&lt;=240,"Boarderline",'Data set'!$F122&gt;=241,"High")</f>
        <v>Normal</v>
      </c>
      <c r="Q122" s="3" t="str">
        <f>_xlfn.IFS('Data set'!$D122&lt;=18.5,"Low",'Data set'!$D122&lt;=24.9,"Normal",'Data set'!$D122&lt;=29.9,"High",'Data set'!$D122&gt;29.9,"Very High")</f>
        <v>Very High</v>
      </c>
    </row>
    <row r="123" spans="1:17" x14ac:dyDescent="0.25">
      <c r="A123" s="5">
        <v>18</v>
      </c>
      <c r="B123" s="5" t="s">
        <v>0</v>
      </c>
      <c r="C123" s="6">
        <v>150.11000000000001</v>
      </c>
      <c r="D123" s="6">
        <v>38.770000000000003</v>
      </c>
      <c r="E123" s="5" t="s">
        <v>1</v>
      </c>
      <c r="F123" s="5">
        <v>215</v>
      </c>
      <c r="G123" s="5" t="s">
        <v>130</v>
      </c>
      <c r="H123" s="6">
        <v>8.8800000000000008</v>
      </c>
      <c r="I123" s="5">
        <v>7</v>
      </c>
      <c r="J123" s="5" t="s">
        <v>3</v>
      </c>
      <c r="K123" s="5" t="s">
        <v>4</v>
      </c>
      <c r="L123" s="5">
        <v>140</v>
      </c>
      <c r="M123" s="5">
        <v>61</v>
      </c>
      <c r="N123" s="5" t="s">
        <v>17</v>
      </c>
      <c r="O123" s="5" t="str">
        <f>_xlfn.IFS('Data set'!$H123&lt;5.7,"Normal",'Data set'!$H123&lt;=6.4,"Prediabetes",'Data set'!$H123&lt;=7.5,"Diabetes",'Data set'!$H123&gt;=7.5,"Uncontrolled")</f>
        <v>Uncontrolled</v>
      </c>
      <c r="P123" s="5" t="str">
        <f>_xlfn.IFS('Data set'!$F123&lt;120,"Low",'Data set'!$F123&lt;=200,"Normal",'Data set'!$F123&lt;=240,"Boarderline",'Data set'!$F123&gt;=241,"High")</f>
        <v>Boarderline</v>
      </c>
      <c r="Q123" s="5" t="str">
        <f>_xlfn.IFS('Data set'!$D123&lt;=18.5,"Low",'Data set'!$D123&lt;=24.9,"Normal",'Data set'!$D123&lt;=29.9,"High",'Data set'!$D123&gt;29.9,"Very High")</f>
        <v>Very High</v>
      </c>
    </row>
    <row r="124" spans="1:17" x14ac:dyDescent="0.25">
      <c r="A124" s="3">
        <v>35</v>
      </c>
      <c r="B124" s="3" t="s">
        <v>9</v>
      </c>
      <c r="C124" s="4">
        <v>264.31</v>
      </c>
      <c r="D124" s="4">
        <v>19.7</v>
      </c>
      <c r="E124" s="3" t="s">
        <v>14</v>
      </c>
      <c r="F124" s="3">
        <v>269</v>
      </c>
      <c r="G124" s="3" t="s">
        <v>131</v>
      </c>
      <c r="H124" s="4">
        <v>9.9</v>
      </c>
      <c r="I124" s="3">
        <v>5</v>
      </c>
      <c r="J124" s="3" t="s">
        <v>3</v>
      </c>
      <c r="K124" s="3" t="s">
        <v>3</v>
      </c>
      <c r="L124" s="3">
        <v>133</v>
      </c>
      <c r="M124" s="3">
        <v>82</v>
      </c>
      <c r="N124" s="3" t="s">
        <v>12</v>
      </c>
      <c r="O124" s="3" t="str">
        <f>_xlfn.IFS('Data set'!$H124&lt;5.7,"Normal",'Data set'!$H124&lt;=6.4,"Prediabetes",'Data set'!$H124&lt;=7.5,"Diabetes",'Data set'!$H124&gt;=7.5,"Uncontrolled")</f>
        <v>Uncontrolled</v>
      </c>
      <c r="P124" s="3" t="str">
        <f>_xlfn.IFS('Data set'!$F124&lt;120,"Low",'Data set'!$F124&lt;=200,"Normal",'Data set'!$F124&lt;=240,"Boarderline",'Data set'!$F124&gt;=241,"High")</f>
        <v>High</v>
      </c>
      <c r="Q124" s="3" t="str">
        <f>_xlfn.IFS('Data set'!$D124&lt;=18.5,"Low",'Data set'!$D124&lt;=24.9,"Normal",'Data set'!$D124&lt;=29.9,"High",'Data set'!$D124&gt;29.9,"Very High")</f>
        <v>Normal</v>
      </c>
    </row>
    <row r="125" spans="1:17" x14ac:dyDescent="0.25">
      <c r="A125" s="5">
        <v>54</v>
      </c>
      <c r="B125" s="5" t="s">
        <v>0</v>
      </c>
      <c r="C125" s="6">
        <v>203.46</v>
      </c>
      <c r="D125" s="6">
        <v>39.29</v>
      </c>
      <c r="E125" s="5" t="s">
        <v>6</v>
      </c>
      <c r="F125" s="5">
        <v>249</v>
      </c>
      <c r="G125" s="5" t="s">
        <v>132</v>
      </c>
      <c r="H125" s="6">
        <v>4.7</v>
      </c>
      <c r="I125" s="5">
        <v>3</v>
      </c>
      <c r="J125" s="5" t="s">
        <v>4</v>
      </c>
      <c r="K125" s="5" t="s">
        <v>4</v>
      </c>
      <c r="L125" s="5">
        <v>131</v>
      </c>
      <c r="M125" s="5">
        <v>81</v>
      </c>
      <c r="N125" s="5" t="s">
        <v>8</v>
      </c>
      <c r="O125" s="5" t="str">
        <f>_xlfn.IFS('Data set'!$H125&lt;5.7,"Normal",'Data set'!$H125&lt;=6.4,"Prediabetes",'Data set'!$H125&lt;=7.5,"Diabetes",'Data set'!$H125&gt;=7.5,"Uncontrolled")</f>
        <v>Normal</v>
      </c>
      <c r="P125" s="5" t="str">
        <f>_xlfn.IFS('Data set'!$F125&lt;120,"Low",'Data set'!$F125&lt;=200,"Normal",'Data set'!$F125&lt;=240,"Boarderline",'Data set'!$F125&gt;=241,"High")</f>
        <v>High</v>
      </c>
      <c r="Q125" s="5" t="str">
        <f>_xlfn.IFS('Data set'!$D125&lt;=18.5,"Low",'Data set'!$D125&lt;=24.9,"Normal",'Data set'!$D125&lt;=29.9,"High",'Data set'!$D125&gt;29.9,"Very High")</f>
        <v>Very High</v>
      </c>
    </row>
    <row r="126" spans="1:17" x14ac:dyDescent="0.25">
      <c r="A126" s="3">
        <v>55</v>
      </c>
      <c r="B126" s="3" t="s">
        <v>9</v>
      </c>
      <c r="C126" s="4">
        <v>173.03</v>
      </c>
      <c r="D126" s="4">
        <v>23.2</v>
      </c>
      <c r="E126" s="3" t="s">
        <v>10</v>
      </c>
      <c r="F126" s="3">
        <v>265</v>
      </c>
      <c r="G126" s="3" t="s">
        <v>133</v>
      </c>
      <c r="H126" s="4">
        <v>5.14</v>
      </c>
      <c r="I126" s="3">
        <v>7</v>
      </c>
      <c r="J126" s="3" t="s">
        <v>4</v>
      </c>
      <c r="K126" s="3" t="s">
        <v>3</v>
      </c>
      <c r="L126" s="3">
        <v>110</v>
      </c>
      <c r="M126" s="3">
        <v>73</v>
      </c>
      <c r="N126" s="3" t="s">
        <v>8</v>
      </c>
      <c r="O126" s="3" t="str">
        <f>_xlfn.IFS('Data set'!$H126&lt;5.7,"Normal",'Data set'!$H126&lt;=6.4,"Prediabetes",'Data set'!$H126&lt;=7.5,"Diabetes",'Data set'!$H126&gt;=7.5,"Uncontrolled")</f>
        <v>Normal</v>
      </c>
      <c r="P126" s="3" t="str">
        <f>_xlfn.IFS('Data set'!$F126&lt;120,"Low",'Data set'!$F126&lt;=200,"Normal",'Data set'!$F126&lt;=240,"Boarderline",'Data set'!$F126&gt;=241,"High")</f>
        <v>High</v>
      </c>
      <c r="Q126" s="3" t="str">
        <f>_xlfn.IFS('Data set'!$D126&lt;=18.5,"Low",'Data set'!$D126&lt;=24.9,"Normal",'Data set'!$D126&lt;=29.9,"High",'Data set'!$D126&gt;29.9,"Very High")</f>
        <v>Normal</v>
      </c>
    </row>
    <row r="127" spans="1:17" x14ac:dyDescent="0.25">
      <c r="A127" s="5">
        <v>32</v>
      </c>
      <c r="B127" s="5" t="s">
        <v>9</v>
      </c>
      <c r="C127" s="6">
        <v>79.56</v>
      </c>
      <c r="D127" s="6">
        <v>21.17</v>
      </c>
      <c r="E127" s="5" t="s">
        <v>6</v>
      </c>
      <c r="F127" s="5">
        <v>103</v>
      </c>
      <c r="G127" s="5" t="s">
        <v>134</v>
      </c>
      <c r="H127" s="6">
        <v>7.05</v>
      </c>
      <c r="I127" s="5">
        <v>6</v>
      </c>
      <c r="J127" s="5" t="s">
        <v>3</v>
      </c>
      <c r="K127" s="5" t="s">
        <v>4</v>
      </c>
      <c r="L127" s="5">
        <v>121</v>
      </c>
      <c r="M127" s="5">
        <v>62</v>
      </c>
      <c r="N127" s="5" t="s">
        <v>12</v>
      </c>
      <c r="O127" s="5" t="str">
        <f>_xlfn.IFS('Data set'!$H127&lt;5.7,"Normal",'Data set'!$H127&lt;=6.4,"Prediabetes",'Data set'!$H127&lt;=7.5,"Diabetes",'Data set'!$H127&gt;=7.5,"Uncontrolled")</f>
        <v>Diabetes</v>
      </c>
      <c r="P127" s="5" t="str">
        <f>_xlfn.IFS('Data set'!$F127&lt;120,"Low",'Data set'!$F127&lt;=200,"Normal",'Data set'!$F127&lt;=240,"Boarderline",'Data set'!$F127&gt;=241,"High")</f>
        <v>Low</v>
      </c>
      <c r="Q127" s="5" t="str">
        <f>_xlfn.IFS('Data set'!$D127&lt;=18.5,"Low",'Data set'!$D127&lt;=24.9,"Normal",'Data set'!$D127&lt;=29.9,"High",'Data set'!$D127&gt;29.9,"Very High")</f>
        <v>Normal</v>
      </c>
    </row>
    <row r="128" spans="1:17" x14ac:dyDescent="0.25">
      <c r="A128" s="3">
        <v>20</v>
      </c>
      <c r="B128" s="3" t="s">
        <v>9</v>
      </c>
      <c r="C128" s="4">
        <v>242.35</v>
      </c>
      <c r="D128" s="4">
        <v>27.3</v>
      </c>
      <c r="E128" s="3" t="s">
        <v>14</v>
      </c>
      <c r="F128" s="3">
        <v>112</v>
      </c>
      <c r="G128" s="3" t="s">
        <v>135</v>
      </c>
      <c r="H128" s="4">
        <v>5.99</v>
      </c>
      <c r="I128" s="3">
        <v>4</v>
      </c>
      <c r="J128" s="3" t="s">
        <v>4</v>
      </c>
      <c r="K128" s="3" t="s">
        <v>3</v>
      </c>
      <c r="L128" s="3">
        <v>139</v>
      </c>
      <c r="M128" s="3">
        <v>84</v>
      </c>
      <c r="N128" s="3" t="s">
        <v>17</v>
      </c>
      <c r="O128" s="3" t="str">
        <f>_xlfn.IFS('Data set'!$H128&lt;5.7,"Normal",'Data set'!$H128&lt;=6.4,"Prediabetes",'Data set'!$H128&lt;=7.5,"Diabetes",'Data set'!$H128&gt;=7.5,"Uncontrolled")</f>
        <v>Prediabetes</v>
      </c>
      <c r="P128" s="3" t="str">
        <f>_xlfn.IFS('Data set'!$F128&lt;120,"Low",'Data set'!$F128&lt;=200,"Normal",'Data set'!$F128&lt;=240,"Boarderline",'Data set'!$F128&gt;=241,"High")</f>
        <v>Low</v>
      </c>
      <c r="Q128" s="3" t="str">
        <f>_xlfn.IFS('Data set'!$D128&lt;=18.5,"Low",'Data set'!$D128&lt;=24.9,"Normal",'Data set'!$D128&lt;=29.9,"High",'Data set'!$D128&gt;29.9,"Very High")</f>
        <v>High</v>
      </c>
    </row>
    <row r="129" spans="1:17" x14ac:dyDescent="0.25">
      <c r="A129" s="5">
        <v>48</v>
      </c>
      <c r="B129" s="5" t="s">
        <v>9</v>
      </c>
      <c r="C129" s="6">
        <v>91.76</v>
      </c>
      <c r="D129" s="6">
        <v>23.03</v>
      </c>
      <c r="E129" s="5" t="s">
        <v>1</v>
      </c>
      <c r="F129" s="5">
        <v>177</v>
      </c>
      <c r="G129" s="5" t="s">
        <v>136</v>
      </c>
      <c r="H129" s="6">
        <v>8.64</v>
      </c>
      <c r="I129" s="5">
        <v>4</v>
      </c>
      <c r="J129" s="5" t="s">
        <v>3</v>
      </c>
      <c r="K129" s="5" t="s">
        <v>4</v>
      </c>
      <c r="L129" s="5">
        <v>109</v>
      </c>
      <c r="M129" s="5">
        <v>83</v>
      </c>
      <c r="N129" s="5" t="s">
        <v>23</v>
      </c>
      <c r="O129" s="5" t="str">
        <f>_xlfn.IFS('Data set'!$H129&lt;5.7,"Normal",'Data set'!$H129&lt;=6.4,"Prediabetes",'Data set'!$H129&lt;=7.5,"Diabetes",'Data set'!$H129&gt;=7.5,"Uncontrolled")</f>
        <v>Uncontrolled</v>
      </c>
      <c r="P129" s="5" t="str">
        <f>_xlfn.IFS('Data set'!$F129&lt;120,"Low",'Data set'!$F129&lt;=200,"Normal",'Data set'!$F129&lt;=240,"Boarderline",'Data set'!$F129&gt;=241,"High")</f>
        <v>Normal</v>
      </c>
      <c r="Q129" s="5" t="str">
        <f>_xlfn.IFS('Data set'!$D129&lt;=18.5,"Low",'Data set'!$D129&lt;=24.9,"Normal",'Data set'!$D129&lt;=29.9,"High",'Data set'!$D129&gt;29.9,"Very High")</f>
        <v>Normal</v>
      </c>
    </row>
    <row r="130" spans="1:17" x14ac:dyDescent="0.25">
      <c r="A130" s="3">
        <v>48</v>
      </c>
      <c r="B130" s="3" t="s">
        <v>0</v>
      </c>
      <c r="C130" s="4">
        <v>294.74</v>
      </c>
      <c r="D130" s="4">
        <v>28.57</v>
      </c>
      <c r="E130" s="3" t="s">
        <v>1</v>
      </c>
      <c r="F130" s="3">
        <v>170</v>
      </c>
      <c r="G130" s="3" t="s">
        <v>137</v>
      </c>
      <c r="H130" s="4">
        <v>5.41</v>
      </c>
      <c r="I130" s="3">
        <v>1</v>
      </c>
      <c r="J130" s="3" t="s">
        <v>3</v>
      </c>
      <c r="K130" s="3" t="s">
        <v>3</v>
      </c>
      <c r="L130" s="3">
        <v>125</v>
      </c>
      <c r="M130" s="3">
        <v>77</v>
      </c>
      <c r="N130" s="3" t="s">
        <v>23</v>
      </c>
      <c r="O130" s="3" t="str">
        <f>_xlfn.IFS('Data set'!$H130&lt;5.7,"Normal",'Data set'!$H130&lt;=6.4,"Prediabetes",'Data set'!$H130&lt;=7.5,"Diabetes",'Data set'!$H130&gt;=7.5,"Uncontrolled")</f>
        <v>Normal</v>
      </c>
      <c r="P130" s="3" t="str">
        <f>_xlfn.IFS('Data set'!$F130&lt;120,"Low",'Data set'!$F130&lt;=200,"Normal",'Data set'!$F130&lt;=240,"Boarderline",'Data set'!$F130&gt;=241,"High")</f>
        <v>Normal</v>
      </c>
      <c r="Q130" s="3" t="str">
        <f>_xlfn.IFS('Data set'!$D130&lt;=18.5,"Low",'Data set'!$D130&lt;=24.9,"Normal",'Data set'!$D130&lt;=29.9,"High",'Data set'!$D130&gt;29.9,"Very High")</f>
        <v>High</v>
      </c>
    </row>
    <row r="131" spans="1:17" x14ac:dyDescent="0.25">
      <c r="A131" s="5">
        <v>69</v>
      </c>
      <c r="B131" s="5" t="s">
        <v>0</v>
      </c>
      <c r="C131" s="6">
        <v>299.52999999999997</v>
      </c>
      <c r="D131" s="6">
        <v>18.59</v>
      </c>
      <c r="E131" s="5" t="s">
        <v>14</v>
      </c>
      <c r="F131" s="5">
        <v>271</v>
      </c>
      <c r="G131" s="5" t="s">
        <v>138</v>
      </c>
      <c r="H131" s="6">
        <v>6.25</v>
      </c>
      <c r="I131" s="5">
        <v>3</v>
      </c>
      <c r="J131" s="5" t="s">
        <v>3</v>
      </c>
      <c r="K131" s="5" t="s">
        <v>3</v>
      </c>
      <c r="L131" s="5">
        <v>90</v>
      </c>
      <c r="M131" s="5">
        <v>74</v>
      </c>
      <c r="N131" s="5" t="s">
        <v>21</v>
      </c>
      <c r="O131" s="5" t="str">
        <f>_xlfn.IFS('Data set'!$H131&lt;5.7,"Normal",'Data set'!$H131&lt;=6.4,"Prediabetes",'Data set'!$H131&lt;=7.5,"Diabetes",'Data set'!$H131&gt;=7.5,"Uncontrolled")</f>
        <v>Prediabetes</v>
      </c>
      <c r="P131" s="5" t="str">
        <f>_xlfn.IFS('Data set'!$F131&lt;120,"Low",'Data set'!$F131&lt;=200,"Normal",'Data set'!$F131&lt;=240,"Boarderline",'Data set'!$F131&gt;=241,"High")</f>
        <v>High</v>
      </c>
      <c r="Q131" s="5" t="str">
        <f>_xlfn.IFS('Data set'!$D131&lt;=18.5,"Low",'Data set'!$D131&lt;=24.9,"Normal",'Data set'!$D131&lt;=29.9,"High",'Data set'!$D131&gt;29.9,"Very High")</f>
        <v>Normal</v>
      </c>
    </row>
    <row r="132" spans="1:17" x14ac:dyDescent="0.25">
      <c r="A132" s="3">
        <v>39</v>
      </c>
      <c r="B132" s="3" t="s">
        <v>0</v>
      </c>
      <c r="C132" s="4">
        <v>178.73</v>
      </c>
      <c r="D132" s="4">
        <v>25.33</v>
      </c>
      <c r="E132" s="3" t="s">
        <v>14</v>
      </c>
      <c r="F132" s="3">
        <v>123</v>
      </c>
      <c r="G132" s="3" t="s">
        <v>139</v>
      </c>
      <c r="H132" s="4">
        <v>7.56</v>
      </c>
      <c r="I132" s="3">
        <v>2</v>
      </c>
      <c r="J132" s="3" t="s">
        <v>4</v>
      </c>
      <c r="K132" s="3" t="s">
        <v>4</v>
      </c>
      <c r="L132" s="3">
        <v>127</v>
      </c>
      <c r="M132" s="3">
        <v>60</v>
      </c>
      <c r="N132" s="3" t="s">
        <v>12</v>
      </c>
      <c r="O132" s="3" t="str">
        <f>_xlfn.IFS('Data set'!$H132&lt;5.7,"Normal",'Data set'!$H132&lt;=6.4,"Prediabetes",'Data set'!$H132&lt;=7.5,"Diabetes",'Data set'!$H132&gt;=7.5,"Uncontrolled")</f>
        <v>Uncontrolled</v>
      </c>
      <c r="P132" s="3" t="str">
        <f>_xlfn.IFS('Data set'!$F132&lt;120,"Low",'Data set'!$F132&lt;=200,"Normal",'Data set'!$F132&lt;=240,"Boarderline",'Data set'!$F132&gt;=241,"High")</f>
        <v>Normal</v>
      </c>
      <c r="Q132" s="3" t="str">
        <f>_xlfn.IFS('Data set'!$D132&lt;=18.5,"Low",'Data set'!$D132&lt;=24.9,"Normal",'Data set'!$D132&lt;=29.9,"High",'Data set'!$D132&gt;29.9,"Very High")</f>
        <v>High</v>
      </c>
    </row>
    <row r="133" spans="1:17" x14ac:dyDescent="0.25">
      <c r="A133" s="5">
        <v>43</v>
      </c>
      <c r="B133" s="5" t="s">
        <v>0</v>
      </c>
      <c r="C133" s="6">
        <v>106.82</v>
      </c>
      <c r="D133" s="6">
        <v>36.590000000000003</v>
      </c>
      <c r="E133" s="5" t="s">
        <v>1</v>
      </c>
      <c r="F133" s="5">
        <v>115</v>
      </c>
      <c r="G133" s="5" t="s">
        <v>140</v>
      </c>
      <c r="H133" s="6">
        <v>6.95</v>
      </c>
      <c r="I133" s="5">
        <v>5</v>
      </c>
      <c r="J133" s="5" t="s">
        <v>4</v>
      </c>
      <c r="K133" s="5" t="s">
        <v>3</v>
      </c>
      <c r="L133" s="5">
        <v>93</v>
      </c>
      <c r="M133" s="5">
        <v>73</v>
      </c>
      <c r="N133" s="5" t="s">
        <v>23</v>
      </c>
      <c r="O133" s="5" t="str">
        <f>_xlfn.IFS('Data set'!$H133&lt;5.7,"Normal",'Data set'!$H133&lt;=6.4,"Prediabetes",'Data set'!$H133&lt;=7.5,"Diabetes",'Data set'!$H133&gt;=7.5,"Uncontrolled")</f>
        <v>Diabetes</v>
      </c>
      <c r="P133" s="5" t="str">
        <f>_xlfn.IFS('Data set'!$F133&lt;120,"Low",'Data set'!$F133&lt;=200,"Normal",'Data set'!$F133&lt;=240,"Boarderline",'Data set'!$F133&gt;=241,"High")</f>
        <v>Low</v>
      </c>
      <c r="Q133" s="5" t="str">
        <f>_xlfn.IFS('Data set'!$D133&lt;=18.5,"Low",'Data set'!$D133&lt;=24.9,"Normal",'Data set'!$D133&lt;=29.9,"High",'Data set'!$D133&gt;29.9,"Very High")</f>
        <v>Very High</v>
      </c>
    </row>
    <row r="134" spans="1:17" x14ac:dyDescent="0.25">
      <c r="A134" s="3">
        <v>70</v>
      </c>
      <c r="B134" s="3" t="s">
        <v>9</v>
      </c>
      <c r="C134" s="4">
        <v>80.59</v>
      </c>
      <c r="D134" s="4">
        <v>31.16</v>
      </c>
      <c r="E134" s="3" t="s">
        <v>14</v>
      </c>
      <c r="F134" s="3">
        <v>220</v>
      </c>
      <c r="G134" s="3" t="s">
        <v>141</v>
      </c>
      <c r="H134" s="4">
        <v>9.26</v>
      </c>
      <c r="I134" s="3">
        <v>3</v>
      </c>
      <c r="J134" s="3" t="s">
        <v>4</v>
      </c>
      <c r="K134" s="3" t="s">
        <v>3</v>
      </c>
      <c r="L134" s="3">
        <v>97</v>
      </c>
      <c r="M134" s="3">
        <v>67</v>
      </c>
      <c r="N134" s="3" t="s">
        <v>21</v>
      </c>
      <c r="O134" s="3" t="str">
        <f>_xlfn.IFS('Data set'!$H134&lt;5.7,"Normal",'Data set'!$H134&lt;=6.4,"Prediabetes",'Data set'!$H134&lt;=7.5,"Diabetes",'Data set'!$H134&gt;=7.5,"Uncontrolled")</f>
        <v>Uncontrolled</v>
      </c>
      <c r="P134" s="3" t="str">
        <f>_xlfn.IFS('Data set'!$F134&lt;120,"Low",'Data set'!$F134&lt;=200,"Normal",'Data set'!$F134&lt;=240,"Boarderline",'Data set'!$F134&gt;=241,"High")</f>
        <v>Boarderline</v>
      </c>
      <c r="Q134" s="3" t="str">
        <f>_xlfn.IFS('Data set'!$D134&lt;=18.5,"Low",'Data set'!$D134&lt;=24.9,"Normal",'Data set'!$D134&lt;=29.9,"High",'Data set'!$D134&gt;29.9,"Very High")</f>
        <v>Very High</v>
      </c>
    </row>
    <row r="135" spans="1:17" x14ac:dyDescent="0.25">
      <c r="A135" s="5">
        <v>51</v>
      </c>
      <c r="B135" s="5" t="s">
        <v>9</v>
      </c>
      <c r="C135" s="6">
        <v>105.39</v>
      </c>
      <c r="D135" s="6">
        <v>35.82</v>
      </c>
      <c r="E135" s="5" t="s">
        <v>14</v>
      </c>
      <c r="F135" s="5">
        <v>177</v>
      </c>
      <c r="G135" s="5" t="s">
        <v>142</v>
      </c>
      <c r="H135" s="6">
        <v>8.44</v>
      </c>
      <c r="I135" s="5">
        <v>6</v>
      </c>
      <c r="J135" s="5" t="s">
        <v>3</v>
      </c>
      <c r="K135" s="5" t="s">
        <v>3</v>
      </c>
      <c r="L135" s="5">
        <v>93</v>
      </c>
      <c r="M135" s="5">
        <v>76</v>
      </c>
      <c r="N135" s="5" t="s">
        <v>8</v>
      </c>
      <c r="O135" s="5" t="str">
        <f>_xlfn.IFS('Data set'!$H135&lt;5.7,"Normal",'Data set'!$H135&lt;=6.4,"Prediabetes",'Data set'!$H135&lt;=7.5,"Diabetes",'Data set'!$H135&gt;=7.5,"Uncontrolled")</f>
        <v>Uncontrolled</v>
      </c>
      <c r="P135" s="5" t="str">
        <f>_xlfn.IFS('Data set'!$F135&lt;120,"Low",'Data set'!$F135&lt;=200,"Normal",'Data set'!$F135&lt;=240,"Boarderline",'Data set'!$F135&gt;=241,"High")</f>
        <v>Normal</v>
      </c>
      <c r="Q135" s="5" t="str">
        <f>_xlfn.IFS('Data set'!$D135&lt;=18.5,"Low",'Data set'!$D135&lt;=24.9,"Normal",'Data set'!$D135&lt;=29.9,"High",'Data set'!$D135&gt;29.9,"Very High")</f>
        <v>Very High</v>
      </c>
    </row>
    <row r="136" spans="1:17" x14ac:dyDescent="0.25">
      <c r="A136" s="3">
        <v>40</v>
      </c>
      <c r="B136" s="3" t="s">
        <v>0</v>
      </c>
      <c r="C136" s="4">
        <v>211.64</v>
      </c>
      <c r="D136" s="4">
        <v>21.38</v>
      </c>
      <c r="E136" s="3" t="s">
        <v>1</v>
      </c>
      <c r="F136" s="3">
        <v>120</v>
      </c>
      <c r="G136" s="3" t="s">
        <v>143</v>
      </c>
      <c r="H136" s="4">
        <v>8.77</v>
      </c>
      <c r="I136" s="3">
        <v>0</v>
      </c>
      <c r="J136" s="3" t="s">
        <v>4</v>
      </c>
      <c r="K136" s="3" t="s">
        <v>4</v>
      </c>
      <c r="L136" s="3">
        <v>115</v>
      </c>
      <c r="M136" s="3">
        <v>71</v>
      </c>
      <c r="N136" s="3" t="s">
        <v>12</v>
      </c>
      <c r="O136" s="3" t="str">
        <f>_xlfn.IFS('Data set'!$H136&lt;5.7,"Normal",'Data set'!$H136&lt;=6.4,"Prediabetes",'Data set'!$H136&lt;=7.5,"Diabetes",'Data set'!$H136&gt;=7.5,"Uncontrolled")</f>
        <v>Uncontrolled</v>
      </c>
      <c r="P136" s="3" t="str">
        <f>_xlfn.IFS('Data set'!$F136&lt;120,"Low",'Data set'!$F136&lt;=200,"Normal",'Data set'!$F136&lt;=240,"Boarderline",'Data set'!$F136&gt;=241,"High")</f>
        <v>Normal</v>
      </c>
      <c r="Q136" s="3" t="str">
        <f>_xlfn.IFS('Data set'!$D136&lt;=18.5,"Low",'Data set'!$D136&lt;=24.9,"Normal",'Data set'!$D136&lt;=29.9,"High",'Data set'!$D136&gt;29.9,"Very High")</f>
        <v>Normal</v>
      </c>
    </row>
    <row r="137" spans="1:17" x14ac:dyDescent="0.25">
      <c r="A137" s="5">
        <v>20</v>
      </c>
      <c r="B137" s="5" t="s">
        <v>9</v>
      </c>
      <c r="C137" s="6">
        <v>118.87</v>
      </c>
      <c r="D137" s="6">
        <v>24.49</v>
      </c>
      <c r="E137" s="5" t="s">
        <v>14</v>
      </c>
      <c r="F137" s="5">
        <v>114</v>
      </c>
      <c r="G137" s="5" t="s">
        <v>144</v>
      </c>
      <c r="H137" s="6">
        <v>9.56</v>
      </c>
      <c r="I137" s="5">
        <v>2</v>
      </c>
      <c r="J137" s="5" t="s">
        <v>3</v>
      </c>
      <c r="K137" s="5" t="s">
        <v>4</v>
      </c>
      <c r="L137" s="5">
        <v>106</v>
      </c>
      <c r="M137" s="5">
        <v>64</v>
      </c>
      <c r="N137" s="5" t="s">
        <v>17</v>
      </c>
      <c r="O137" s="5" t="str">
        <f>_xlfn.IFS('Data set'!$H137&lt;5.7,"Normal",'Data set'!$H137&lt;=6.4,"Prediabetes",'Data set'!$H137&lt;=7.5,"Diabetes",'Data set'!$H137&gt;=7.5,"Uncontrolled")</f>
        <v>Uncontrolled</v>
      </c>
      <c r="P137" s="5" t="str">
        <f>_xlfn.IFS('Data set'!$F137&lt;120,"Low",'Data set'!$F137&lt;=200,"Normal",'Data set'!$F137&lt;=240,"Boarderline",'Data set'!$F137&gt;=241,"High")</f>
        <v>Low</v>
      </c>
      <c r="Q137" s="5" t="str">
        <f>_xlfn.IFS('Data set'!$D137&lt;=18.5,"Low",'Data set'!$D137&lt;=24.9,"Normal",'Data set'!$D137&lt;=29.9,"High",'Data set'!$D137&gt;29.9,"Very High")</f>
        <v>Normal</v>
      </c>
    </row>
    <row r="138" spans="1:17" x14ac:dyDescent="0.25">
      <c r="A138" s="3">
        <v>46</v>
      </c>
      <c r="B138" s="3" t="s">
        <v>9</v>
      </c>
      <c r="C138" s="4">
        <v>238.79</v>
      </c>
      <c r="D138" s="4">
        <v>21.47</v>
      </c>
      <c r="E138" s="3" t="s">
        <v>14</v>
      </c>
      <c r="F138" s="3">
        <v>237</v>
      </c>
      <c r="G138" s="3" t="s">
        <v>138</v>
      </c>
      <c r="H138" s="4">
        <v>7.12</v>
      </c>
      <c r="I138" s="3">
        <v>5</v>
      </c>
      <c r="J138" s="3" t="s">
        <v>4</v>
      </c>
      <c r="K138" s="3" t="s">
        <v>4</v>
      </c>
      <c r="L138" s="3">
        <v>90</v>
      </c>
      <c r="M138" s="3">
        <v>74</v>
      </c>
      <c r="N138" s="3" t="s">
        <v>23</v>
      </c>
      <c r="O138" s="3" t="str">
        <f>_xlfn.IFS('Data set'!$H138&lt;5.7,"Normal",'Data set'!$H138&lt;=6.4,"Prediabetes",'Data set'!$H138&lt;=7.5,"Diabetes",'Data set'!$H138&gt;=7.5,"Uncontrolled")</f>
        <v>Diabetes</v>
      </c>
      <c r="P138" s="3" t="str">
        <f>_xlfn.IFS('Data set'!$F138&lt;120,"Low",'Data set'!$F138&lt;=200,"Normal",'Data set'!$F138&lt;=240,"Boarderline",'Data set'!$F138&gt;=241,"High")</f>
        <v>Boarderline</v>
      </c>
      <c r="Q138" s="3" t="str">
        <f>_xlfn.IFS('Data set'!$D138&lt;=18.5,"Low",'Data set'!$D138&lt;=24.9,"Normal",'Data set'!$D138&lt;=29.9,"High",'Data set'!$D138&gt;29.9,"Very High")</f>
        <v>Normal</v>
      </c>
    </row>
    <row r="139" spans="1:17" x14ac:dyDescent="0.25">
      <c r="A139" s="5">
        <v>35</v>
      </c>
      <c r="B139" s="5" t="s">
        <v>0</v>
      </c>
      <c r="C139" s="6">
        <v>216.34</v>
      </c>
      <c r="D139" s="6">
        <v>38.39</v>
      </c>
      <c r="E139" s="5" t="s">
        <v>6</v>
      </c>
      <c r="F139" s="5">
        <v>220</v>
      </c>
      <c r="G139" s="5" t="s">
        <v>145</v>
      </c>
      <c r="H139" s="6">
        <v>8.43</v>
      </c>
      <c r="I139" s="5">
        <v>6</v>
      </c>
      <c r="J139" s="5" t="s">
        <v>4</v>
      </c>
      <c r="K139" s="5" t="s">
        <v>3</v>
      </c>
      <c r="L139" s="5">
        <v>107</v>
      </c>
      <c r="M139" s="5">
        <v>72</v>
      </c>
      <c r="N139" s="5" t="s">
        <v>12</v>
      </c>
      <c r="O139" s="5" t="str">
        <f>_xlfn.IFS('Data set'!$H139&lt;5.7,"Normal",'Data set'!$H139&lt;=6.4,"Prediabetes",'Data set'!$H139&lt;=7.5,"Diabetes",'Data set'!$H139&gt;=7.5,"Uncontrolled")</f>
        <v>Uncontrolled</v>
      </c>
      <c r="P139" s="5" t="str">
        <f>_xlfn.IFS('Data set'!$F139&lt;120,"Low",'Data set'!$F139&lt;=200,"Normal",'Data set'!$F139&lt;=240,"Boarderline",'Data set'!$F139&gt;=241,"High")</f>
        <v>Boarderline</v>
      </c>
      <c r="Q139" s="5" t="str">
        <f>_xlfn.IFS('Data set'!$D139&lt;=18.5,"Low",'Data set'!$D139&lt;=24.9,"Normal",'Data set'!$D139&lt;=29.9,"High",'Data set'!$D139&gt;29.9,"Very High")</f>
        <v>Very High</v>
      </c>
    </row>
    <row r="140" spans="1:17" x14ac:dyDescent="0.25">
      <c r="A140" s="3">
        <v>18</v>
      </c>
      <c r="B140" s="3" t="s">
        <v>0</v>
      </c>
      <c r="C140" s="4">
        <v>194.62</v>
      </c>
      <c r="D140" s="4">
        <v>28.71</v>
      </c>
      <c r="E140" s="3" t="s">
        <v>10</v>
      </c>
      <c r="F140" s="3">
        <v>115</v>
      </c>
      <c r="G140" s="3" t="s">
        <v>146</v>
      </c>
      <c r="H140" s="4">
        <v>8.19</v>
      </c>
      <c r="I140" s="3">
        <v>1</v>
      </c>
      <c r="J140" s="3" t="s">
        <v>3</v>
      </c>
      <c r="K140" s="3" t="s">
        <v>4</v>
      </c>
      <c r="L140" s="3">
        <v>91</v>
      </c>
      <c r="M140" s="3">
        <v>71</v>
      </c>
      <c r="N140" s="3" t="s">
        <v>17</v>
      </c>
      <c r="O140" s="3" t="str">
        <f>_xlfn.IFS('Data set'!$H140&lt;5.7,"Normal",'Data set'!$H140&lt;=6.4,"Prediabetes",'Data set'!$H140&lt;=7.5,"Diabetes",'Data set'!$H140&gt;=7.5,"Uncontrolled")</f>
        <v>Uncontrolled</v>
      </c>
      <c r="P140" s="3" t="str">
        <f>_xlfn.IFS('Data set'!$F140&lt;120,"Low",'Data set'!$F140&lt;=200,"Normal",'Data set'!$F140&lt;=240,"Boarderline",'Data set'!$F140&gt;=241,"High")</f>
        <v>Low</v>
      </c>
      <c r="Q140" s="3" t="str">
        <f>_xlfn.IFS('Data set'!$D140&lt;=18.5,"Low",'Data set'!$D140&lt;=24.9,"Normal",'Data set'!$D140&lt;=29.9,"High",'Data set'!$D140&gt;29.9,"Very High")</f>
        <v>High</v>
      </c>
    </row>
    <row r="141" spans="1:17" x14ac:dyDescent="0.25">
      <c r="A141" s="5">
        <v>64</v>
      </c>
      <c r="B141" s="5" t="s">
        <v>9</v>
      </c>
      <c r="C141" s="6">
        <v>177.78</v>
      </c>
      <c r="D141" s="6">
        <v>33.39</v>
      </c>
      <c r="E141" s="5" t="s">
        <v>14</v>
      </c>
      <c r="F141" s="5">
        <v>125</v>
      </c>
      <c r="G141" s="5" t="s">
        <v>65</v>
      </c>
      <c r="H141" s="6">
        <v>8.34</v>
      </c>
      <c r="I141" s="5">
        <v>2</v>
      </c>
      <c r="J141" s="5" t="s">
        <v>4</v>
      </c>
      <c r="K141" s="5" t="s">
        <v>4</v>
      </c>
      <c r="L141" s="5">
        <v>124</v>
      </c>
      <c r="M141" s="5">
        <v>63</v>
      </c>
      <c r="N141" s="5" t="s">
        <v>21</v>
      </c>
      <c r="O141" s="5" t="str">
        <f>_xlfn.IFS('Data set'!$H141&lt;5.7,"Normal",'Data set'!$H141&lt;=6.4,"Prediabetes",'Data set'!$H141&lt;=7.5,"Diabetes",'Data set'!$H141&gt;=7.5,"Uncontrolled")</f>
        <v>Uncontrolled</v>
      </c>
      <c r="P141" s="5" t="str">
        <f>_xlfn.IFS('Data set'!$F141&lt;120,"Low",'Data set'!$F141&lt;=200,"Normal",'Data set'!$F141&lt;=240,"Boarderline",'Data set'!$F141&gt;=241,"High")</f>
        <v>Normal</v>
      </c>
      <c r="Q141" s="5" t="str">
        <f>_xlfn.IFS('Data set'!$D141&lt;=18.5,"Low",'Data set'!$D141&lt;=24.9,"Normal",'Data set'!$D141&lt;=29.9,"High",'Data set'!$D141&gt;29.9,"Very High")</f>
        <v>Very High</v>
      </c>
    </row>
    <row r="142" spans="1:17" x14ac:dyDescent="0.25">
      <c r="A142" s="3">
        <v>23</v>
      </c>
      <c r="B142" s="3" t="s">
        <v>9</v>
      </c>
      <c r="C142" s="4">
        <v>276.86</v>
      </c>
      <c r="D142" s="4">
        <v>23.16</v>
      </c>
      <c r="E142" s="3" t="s">
        <v>1</v>
      </c>
      <c r="F142" s="3">
        <v>108</v>
      </c>
      <c r="G142" s="3" t="s">
        <v>147</v>
      </c>
      <c r="H142" s="4">
        <v>8.5500000000000007</v>
      </c>
      <c r="I142" s="3">
        <v>2</v>
      </c>
      <c r="J142" s="3" t="s">
        <v>4</v>
      </c>
      <c r="K142" s="3" t="s">
        <v>4</v>
      </c>
      <c r="L142" s="3">
        <v>133</v>
      </c>
      <c r="M142" s="3">
        <v>86</v>
      </c>
      <c r="N142" s="3" t="s">
        <v>17</v>
      </c>
      <c r="O142" s="3" t="str">
        <f>_xlfn.IFS('Data set'!$H142&lt;5.7,"Normal",'Data set'!$H142&lt;=6.4,"Prediabetes",'Data set'!$H142&lt;=7.5,"Diabetes",'Data set'!$H142&gt;=7.5,"Uncontrolled")</f>
        <v>Uncontrolled</v>
      </c>
      <c r="P142" s="3" t="str">
        <f>_xlfn.IFS('Data set'!$F142&lt;120,"Low",'Data set'!$F142&lt;=200,"Normal",'Data set'!$F142&lt;=240,"Boarderline",'Data set'!$F142&gt;=241,"High")</f>
        <v>Low</v>
      </c>
      <c r="Q142" s="3" t="str">
        <f>_xlfn.IFS('Data set'!$D142&lt;=18.5,"Low",'Data set'!$D142&lt;=24.9,"Normal",'Data set'!$D142&lt;=29.9,"High",'Data set'!$D142&gt;29.9,"Very High")</f>
        <v>Normal</v>
      </c>
    </row>
    <row r="143" spans="1:17" x14ac:dyDescent="0.25">
      <c r="A143" s="5">
        <v>28</v>
      </c>
      <c r="B143" s="5" t="s">
        <v>9</v>
      </c>
      <c r="C143" s="6">
        <v>91.7</v>
      </c>
      <c r="D143" s="6">
        <v>29.05</v>
      </c>
      <c r="E143" s="5" t="s">
        <v>1</v>
      </c>
      <c r="F143" s="5">
        <v>126</v>
      </c>
      <c r="G143" s="5" t="s">
        <v>148</v>
      </c>
      <c r="H143" s="6">
        <v>7.85</v>
      </c>
      <c r="I143" s="5">
        <v>4</v>
      </c>
      <c r="J143" s="5" t="s">
        <v>3</v>
      </c>
      <c r="K143" s="5" t="s">
        <v>3</v>
      </c>
      <c r="L143" s="5">
        <v>115</v>
      </c>
      <c r="M143" s="5">
        <v>68</v>
      </c>
      <c r="N143" s="5" t="s">
        <v>17</v>
      </c>
      <c r="O143" s="5" t="str">
        <f>_xlfn.IFS('Data set'!$H143&lt;5.7,"Normal",'Data set'!$H143&lt;=6.4,"Prediabetes",'Data set'!$H143&lt;=7.5,"Diabetes",'Data set'!$H143&gt;=7.5,"Uncontrolled")</f>
        <v>Uncontrolled</v>
      </c>
      <c r="P143" s="5" t="str">
        <f>_xlfn.IFS('Data set'!$F143&lt;120,"Low",'Data set'!$F143&lt;=200,"Normal",'Data set'!$F143&lt;=240,"Boarderline",'Data set'!$F143&gt;=241,"High")</f>
        <v>Normal</v>
      </c>
      <c r="Q143" s="5" t="str">
        <f>_xlfn.IFS('Data set'!$D143&lt;=18.5,"Low",'Data set'!$D143&lt;=24.9,"Normal",'Data set'!$D143&lt;=29.9,"High",'Data set'!$D143&gt;29.9,"Very High")</f>
        <v>High</v>
      </c>
    </row>
    <row r="144" spans="1:17" x14ac:dyDescent="0.25">
      <c r="A144" s="3">
        <v>56</v>
      </c>
      <c r="B144" s="3" t="s">
        <v>0</v>
      </c>
      <c r="C144" s="4">
        <v>262.74</v>
      </c>
      <c r="D144" s="4">
        <v>24.37</v>
      </c>
      <c r="E144" s="3" t="s">
        <v>14</v>
      </c>
      <c r="F144" s="3">
        <v>128</v>
      </c>
      <c r="G144" s="3" t="s">
        <v>149</v>
      </c>
      <c r="H144" s="4">
        <v>9.48</v>
      </c>
      <c r="I144" s="3">
        <v>5</v>
      </c>
      <c r="J144" s="3" t="s">
        <v>4</v>
      </c>
      <c r="K144" s="3" t="s">
        <v>4</v>
      </c>
      <c r="L144" s="3">
        <v>116</v>
      </c>
      <c r="M144" s="3">
        <v>73</v>
      </c>
      <c r="N144" s="3" t="s">
        <v>8</v>
      </c>
      <c r="O144" s="3" t="str">
        <f>_xlfn.IFS('Data set'!$H144&lt;5.7,"Normal",'Data set'!$H144&lt;=6.4,"Prediabetes",'Data set'!$H144&lt;=7.5,"Diabetes",'Data set'!$H144&gt;=7.5,"Uncontrolled")</f>
        <v>Uncontrolled</v>
      </c>
      <c r="P144" s="3" t="str">
        <f>_xlfn.IFS('Data set'!$F144&lt;120,"Low",'Data set'!$F144&lt;=200,"Normal",'Data set'!$F144&lt;=240,"Boarderline",'Data set'!$F144&gt;=241,"High")</f>
        <v>Normal</v>
      </c>
      <c r="Q144" s="3" t="str">
        <f>_xlfn.IFS('Data set'!$D144&lt;=18.5,"Low",'Data set'!$D144&lt;=24.9,"Normal",'Data set'!$D144&lt;=29.9,"High",'Data set'!$D144&gt;29.9,"Very High")</f>
        <v>Normal</v>
      </c>
    </row>
    <row r="145" spans="1:17" x14ac:dyDescent="0.25">
      <c r="A145" s="5">
        <v>61</v>
      </c>
      <c r="B145" s="5" t="s">
        <v>9</v>
      </c>
      <c r="C145" s="6">
        <v>225.89</v>
      </c>
      <c r="D145" s="6">
        <v>27.88</v>
      </c>
      <c r="E145" s="5" t="s">
        <v>6</v>
      </c>
      <c r="F145" s="5">
        <v>103</v>
      </c>
      <c r="G145" s="5" t="s">
        <v>150</v>
      </c>
      <c r="H145" s="6">
        <v>6.54</v>
      </c>
      <c r="I145" s="5">
        <v>3</v>
      </c>
      <c r="J145" s="5" t="s">
        <v>4</v>
      </c>
      <c r="K145" s="5" t="s">
        <v>4</v>
      </c>
      <c r="L145" s="5">
        <v>117</v>
      </c>
      <c r="M145" s="5">
        <v>72</v>
      </c>
      <c r="N145" s="5" t="s">
        <v>21</v>
      </c>
      <c r="O145" s="5" t="str">
        <f>_xlfn.IFS('Data set'!$H145&lt;5.7,"Normal",'Data set'!$H145&lt;=6.4,"Prediabetes",'Data set'!$H145&lt;=7.5,"Diabetes",'Data set'!$H145&gt;=7.5,"Uncontrolled")</f>
        <v>Diabetes</v>
      </c>
      <c r="P145" s="5" t="str">
        <f>_xlfn.IFS('Data set'!$F145&lt;120,"Low",'Data set'!$F145&lt;=200,"Normal",'Data set'!$F145&lt;=240,"Boarderline",'Data set'!$F145&gt;=241,"High")</f>
        <v>Low</v>
      </c>
      <c r="Q145" s="5" t="str">
        <f>_xlfn.IFS('Data set'!$D145&lt;=18.5,"Low",'Data set'!$D145&lt;=24.9,"Normal",'Data set'!$D145&lt;=29.9,"High",'Data set'!$D145&gt;29.9,"Very High")</f>
        <v>High</v>
      </c>
    </row>
    <row r="146" spans="1:17" x14ac:dyDescent="0.25">
      <c r="A146" s="3">
        <v>54</v>
      </c>
      <c r="B146" s="3" t="s">
        <v>0</v>
      </c>
      <c r="C146" s="4">
        <v>254.55</v>
      </c>
      <c r="D146" s="4">
        <v>18.98</v>
      </c>
      <c r="E146" s="3" t="s">
        <v>10</v>
      </c>
      <c r="F146" s="3">
        <v>105</v>
      </c>
      <c r="G146" s="3" t="s">
        <v>151</v>
      </c>
      <c r="H146" s="4">
        <v>7.73</v>
      </c>
      <c r="I146" s="3">
        <v>5</v>
      </c>
      <c r="J146" s="3" t="s">
        <v>4</v>
      </c>
      <c r="K146" s="3" t="s">
        <v>4</v>
      </c>
      <c r="L146" s="3">
        <v>114</v>
      </c>
      <c r="M146" s="3">
        <v>75</v>
      </c>
      <c r="N146" s="3" t="s">
        <v>8</v>
      </c>
      <c r="O146" s="3" t="str">
        <f>_xlfn.IFS('Data set'!$H146&lt;5.7,"Normal",'Data set'!$H146&lt;=6.4,"Prediabetes",'Data set'!$H146&lt;=7.5,"Diabetes",'Data set'!$H146&gt;=7.5,"Uncontrolled")</f>
        <v>Uncontrolled</v>
      </c>
      <c r="P146" s="3" t="str">
        <f>_xlfn.IFS('Data set'!$F146&lt;120,"Low",'Data set'!$F146&lt;=200,"Normal",'Data set'!$F146&lt;=240,"Boarderline",'Data set'!$F146&gt;=241,"High")</f>
        <v>Low</v>
      </c>
      <c r="Q146" s="3" t="str">
        <f>_xlfn.IFS('Data set'!$D146&lt;=18.5,"Low",'Data set'!$D146&lt;=24.9,"Normal",'Data set'!$D146&lt;=29.9,"High",'Data set'!$D146&gt;29.9,"Very High")</f>
        <v>Normal</v>
      </c>
    </row>
    <row r="147" spans="1:17" x14ac:dyDescent="0.25">
      <c r="A147" s="5">
        <v>32</v>
      </c>
      <c r="B147" s="5" t="s">
        <v>9</v>
      </c>
      <c r="C147" s="6">
        <v>99.89</v>
      </c>
      <c r="D147" s="6">
        <v>31.9</v>
      </c>
      <c r="E147" s="5" t="s">
        <v>6</v>
      </c>
      <c r="F147" s="5">
        <v>126</v>
      </c>
      <c r="G147" s="5" t="s">
        <v>152</v>
      </c>
      <c r="H147" s="6">
        <v>5.64</v>
      </c>
      <c r="I147" s="5">
        <v>3</v>
      </c>
      <c r="J147" s="5" t="s">
        <v>3</v>
      </c>
      <c r="K147" s="5" t="s">
        <v>3</v>
      </c>
      <c r="L147" s="5">
        <v>140</v>
      </c>
      <c r="M147" s="5">
        <v>71</v>
      </c>
      <c r="N147" s="5" t="s">
        <v>12</v>
      </c>
      <c r="O147" s="5" t="str">
        <f>_xlfn.IFS('Data set'!$H147&lt;5.7,"Normal",'Data set'!$H147&lt;=6.4,"Prediabetes",'Data set'!$H147&lt;=7.5,"Diabetes",'Data set'!$H147&gt;=7.5,"Uncontrolled")</f>
        <v>Normal</v>
      </c>
      <c r="P147" s="5" t="str">
        <f>_xlfn.IFS('Data set'!$F147&lt;120,"Low",'Data set'!$F147&lt;=200,"Normal",'Data set'!$F147&lt;=240,"Boarderline",'Data set'!$F147&gt;=241,"High")</f>
        <v>Normal</v>
      </c>
      <c r="Q147" s="5" t="str">
        <f>_xlfn.IFS('Data set'!$D147&lt;=18.5,"Low",'Data set'!$D147&lt;=24.9,"Normal",'Data set'!$D147&lt;=29.9,"High",'Data set'!$D147&gt;29.9,"Very High")</f>
        <v>Very High</v>
      </c>
    </row>
    <row r="148" spans="1:17" x14ac:dyDescent="0.25">
      <c r="A148" s="3">
        <v>23</v>
      </c>
      <c r="B148" s="3" t="s">
        <v>9</v>
      </c>
      <c r="C148" s="4">
        <v>126.33</v>
      </c>
      <c r="D148" s="4">
        <v>18.850000000000001</v>
      </c>
      <c r="E148" s="3" t="s">
        <v>14</v>
      </c>
      <c r="F148" s="3">
        <v>300</v>
      </c>
      <c r="G148" s="3" t="s">
        <v>153</v>
      </c>
      <c r="H148" s="4">
        <v>6.28</v>
      </c>
      <c r="I148" s="3">
        <v>0</v>
      </c>
      <c r="J148" s="3" t="s">
        <v>4</v>
      </c>
      <c r="K148" s="3" t="s">
        <v>4</v>
      </c>
      <c r="L148" s="3">
        <v>114</v>
      </c>
      <c r="M148" s="3">
        <v>78</v>
      </c>
      <c r="N148" s="3" t="s">
        <v>17</v>
      </c>
      <c r="O148" s="3" t="str">
        <f>_xlfn.IFS('Data set'!$H148&lt;5.7,"Normal",'Data set'!$H148&lt;=6.4,"Prediabetes",'Data set'!$H148&lt;=7.5,"Diabetes",'Data set'!$H148&gt;=7.5,"Uncontrolled")</f>
        <v>Prediabetes</v>
      </c>
      <c r="P148" s="3" t="str">
        <f>_xlfn.IFS('Data set'!$F148&lt;120,"Low",'Data set'!$F148&lt;=200,"Normal",'Data set'!$F148&lt;=240,"Boarderline",'Data set'!$F148&gt;=241,"High")</f>
        <v>High</v>
      </c>
      <c r="Q148" s="3" t="str">
        <f>_xlfn.IFS('Data set'!$D148&lt;=18.5,"Low",'Data set'!$D148&lt;=24.9,"Normal",'Data set'!$D148&lt;=29.9,"High",'Data set'!$D148&gt;29.9,"Very High")</f>
        <v>Normal</v>
      </c>
    </row>
    <row r="149" spans="1:17" x14ac:dyDescent="0.25">
      <c r="A149" s="5">
        <v>37</v>
      </c>
      <c r="B149" s="5" t="s">
        <v>9</v>
      </c>
      <c r="C149" s="6">
        <v>183.8</v>
      </c>
      <c r="D149" s="6">
        <v>37.799999999999997</v>
      </c>
      <c r="E149" s="5" t="s">
        <v>6</v>
      </c>
      <c r="F149" s="5">
        <v>111</v>
      </c>
      <c r="G149" s="5" t="s">
        <v>154</v>
      </c>
      <c r="H149" s="6">
        <v>9.73</v>
      </c>
      <c r="I149" s="5">
        <v>5</v>
      </c>
      <c r="J149" s="5" t="s">
        <v>4</v>
      </c>
      <c r="K149" s="5" t="s">
        <v>3</v>
      </c>
      <c r="L149" s="5">
        <v>116</v>
      </c>
      <c r="M149" s="5">
        <v>69</v>
      </c>
      <c r="N149" s="5" t="s">
        <v>12</v>
      </c>
      <c r="O149" s="5" t="str">
        <f>_xlfn.IFS('Data set'!$H149&lt;5.7,"Normal",'Data set'!$H149&lt;=6.4,"Prediabetes",'Data set'!$H149&lt;=7.5,"Diabetes",'Data set'!$H149&gt;=7.5,"Uncontrolled")</f>
        <v>Uncontrolled</v>
      </c>
      <c r="P149" s="5" t="str">
        <f>_xlfn.IFS('Data set'!$F149&lt;120,"Low",'Data set'!$F149&lt;=200,"Normal",'Data set'!$F149&lt;=240,"Boarderline",'Data set'!$F149&gt;=241,"High")</f>
        <v>Low</v>
      </c>
      <c r="Q149" s="5" t="str">
        <f>_xlfn.IFS('Data set'!$D149&lt;=18.5,"Low",'Data set'!$D149&lt;=24.9,"Normal",'Data set'!$D149&lt;=29.9,"High",'Data set'!$D149&gt;29.9,"Very High")</f>
        <v>Very High</v>
      </c>
    </row>
    <row r="150" spans="1:17" x14ac:dyDescent="0.25">
      <c r="A150" s="3">
        <v>76</v>
      </c>
      <c r="B150" s="3" t="s">
        <v>0</v>
      </c>
      <c r="C150" s="4">
        <v>294.98</v>
      </c>
      <c r="D150" s="4">
        <v>34.729999999999997</v>
      </c>
      <c r="E150" s="3" t="s">
        <v>6</v>
      </c>
      <c r="F150" s="3">
        <v>222</v>
      </c>
      <c r="G150" s="3" t="s">
        <v>155</v>
      </c>
      <c r="H150" s="4">
        <v>4.0999999999999996</v>
      </c>
      <c r="I150" s="3">
        <v>7</v>
      </c>
      <c r="J150" s="3" t="s">
        <v>4</v>
      </c>
      <c r="K150" s="3" t="s">
        <v>4</v>
      </c>
      <c r="L150" s="3">
        <v>108</v>
      </c>
      <c r="M150" s="3">
        <v>88</v>
      </c>
      <c r="N150" s="3" t="s">
        <v>5</v>
      </c>
      <c r="O150" s="3" t="str">
        <f>_xlfn.IFS('Data set'!$H150&lt;5.7,"Normal",'Data set'!$H150&lt;=6.4,"Prediabetes",'Data set'!$H150&lt;=7.5,"Diabetes",'Data set'!$H150&gt;=7.5,"Uncontrolled")</f>
        <v>Normal</v>
      </c>
      <c r="P150" s="3" t="str">
        <f>_xlfn.IFS('Data set'!$F150&lt;120,"Low",'Data set'!$F150&lt;=200,"Normal",'Data set'!$F150&lt;=240,"Boarderline",'Data set'!$F150&gt;=241,"High")</f>
        <v>Boarderline</v>
      </c>
      <c r="Q150" s="3" t="str">
        <f>_xlfn.IFS('Data set'!$D150&lt;=18.5,"Low",'Data set'!$D150&lt;=24.9,"Normal",'Data set'!$D150&lt;=29.9,"High",'Data set'!$D150&gt;29.9,"Very High")</f>
        <v>Very High</v>
      </c>
    </row>
    <row r="151" spans="1:17" x14ac:dyDescent="0.25">
      <c r="A151" s="5">
        <v>50</v>
      </c>
      <c r="B151" s="5" t="s">
        <v>0</v>
      </c>
      <c r="C151" s="6">
        <v>131.36000000000001</v>
      </c>
      <c r="D151" s="6">
        <v>20.83</v>
      </c>
      <c r="E151" s="5" t="s">
        <v>6</v>
      </c>
      <c r="F151" s="5">
        <v>180</v>
      </c>
      <c r="G151" s="5" t="s">
        <v>156</v>
      </c>
      <c r="H151" s="6">
        <v>7.76</v>
      </c>
      <c r="I151" s="5">
        <v>5</v>
      </c>
      <c r="J151" s="5" t="s">
        <v>4</v>
      </c>
      <c r="K151" s="5" t="s">
        <v>4</v>
      </c>
      <c r="L151" s="5">
        <v>131</v>
      </c>
      <c r="M151" s="5">
        <v>63</v>
      </c>
      <c r="N151" s="5" t="s">
        <v>23</v>
      </c>
      <c r="O151" s="5" t="str">
        <f>_xlfn.IFS('Data set'!$H151&lt;5.7,"Normal",'Data set'!$H151&lt;=6.4,"Prediabetes",'Data set'!$H151&lt;=7.5,"Diabetes",'Data set'!$H151&gt;=7.5,"Uncontrolled")</f>
        <v>Uncontrolled</v>
      </c>
      <c r="P151" s="5" t="str">
        <f>_xlfn.IFS('Data set'!$F151&lt;120,"Low",'Data set'!$F151&lt;=200,"Normal",'Data set'!$F151&lt;=240,"Boarderline",'Data set'!$F151&gt;=241,"High")</f>
        <v>Normal</v>
      </c>
      <c r="Q151" s="5" t="str">
        <f>_xlfn.IFS('Data set'!$D151&lt;=18.5,"Low",'Data set'!$D151&lt;=24.9,"Normal",'Data set'!$D151&lt;=29.9,"High",'Data set'!$D151&gt;29.9,"Very High")</f>
        <v>Normal</v>
      </c>
    </row>
    <row r="152" spans="1:17" x14ac:dyDescent="0.25">
      <c r="A152" s="3">
        <v>26</v>
      </c>
      <c r="B152" s="3" t="s">
        <v>0</v>
      </c>
      <c r="C152" s="4">
        <v>136.61000000000001</v>
      </c>
      <c r="D152" s="4">
        <v>30.97</v>
      </c>
      <c r="E152" s="3" t="s">
        <v>14</v>
      </c>
      <c r="F152" s="3">
        <v>189</v>
      </c>
      <c r="G152" s="3" t="s">
        <v>26</v>
      </c>
      <c r="H152" s="4">
        <v>8.5</v>
      </c>
      <c r="I152" s="3">
        <v>1</v>
      </c>
      <c r="J152" s="3" t="s">
        <v>3</v>
      </c>
      <c r="K152" s="3" t="s">
        <v>4</v>
      </c>
      <c r="L152" s="3">
        <v>103</v>
      </c>
      <c r="M152" s="3">
        <v>88</v>
      </c>
      <c r="N152" s="3" t="s">
        <v>17</v>
      </c>
      <c r="O152" s="3" t="str">
        <f>_xlfn.IFS('Data set'!$H152&lt;5.7,"Normal",'Data set'!$H152&lt;=6.4,"Prediabetes",'Data set'!$H152&lt;=7.5,"Diabetes",'Data set'!$H152&gt;=7.5,"Uncontrolled")</f>
        <v>Uncontrolled</v>
      </c>
      <c r="P152" s="3" t="str">
        <f>_xlfn.IFS('Data set'!$F152&lt;120,"Low",'Data set'!$F152&lt;=200,"Normal",'Data set'!$F152&lt;=240,"Boarderline",'Data set'!$F152&gt;=241,"High")</f>
        <v>Normal</v>
      </c>
      <c r="Q152" s="3" t="str">
        <f>_xlfn.IFS('Data set'!$D152&lt;=18.5,"Low",'Data set'!$D152&lt;=24.9,"Normal",'Data set'!$D152&lt;=29.9,"High",'Data set'!$D152&gt;29.9,"Very High")</f>
        <v>Very High</v>
      </c>
    </row>
    <row r="153" spans="1:17" x14ac:dyDescent="0.25">
      <c r="A153" s="5">
        <v>43</v>
      </c>
      <c r="B153" s="5" t="s">
        <v>0</v>
      </c>
      <c r="C153" s="6">
        <v>222.11</v>
      </c>
      <c r="D153" s="6">
        <v>37.29</v>
      </c>
      <c r="E153" s="5" t="s">
        <v>10</v>
      </c>
      <c r="F153" s="5">
        <v>218</v>
      </c>
      <c r="G153" s="5" t="s">
        <v>157</v>
      </c>
      <c r="H153" s="6">
        <v>4.96</v>
      </c>
      <c r="I153" s="5">
        <v>3</v>
      </c>
      <c r="J153" s="5" t="s">
        <v>3</v>
      </c>
      <c r="K153" s="5" t="s">
        <v>4</v>
      </c>
      <c r="L153" s="5">
        <v>117</v>
      </c>
      <c r="M153" s="5">
        <v>63</v>
      </c>
      <c r="N153" s="5" t="s">
        <v>23</v>
      </c>
      <c r="O153" s="5" t="str">
        <f>_xlfn.IFS('Data set'!$H153&lt;5.7,"Normal",'Data set'!$H153&lt;=6.4,"Prediabetes",'Data set'!$H153&lt;=7.5,"Diabetes",'Data set'!$H153&gt;=7.5,"Uncontrolled")</f>
        <v>Normal</v>
      </c>
      <c r="P153" s="5" t="str">
        <f>_xlfn.IFS('Data set'!$F153&lt;120,"Low",'Data set'!$F153&lt;=200,"Normal",'Data set'!$F153&lt;=240,"Boarderline",'Data set'!$F153&gt;=241,"High")</f>
        <v>Boarderline</v>
      </c>
      <c r="Q153" s="5" t="str">
        <f>_xlfn.IFS('Data set'!$D153&lt;=18.5,"Low",'Data set'!$D153&lt;=24.9,"Normal",'Data set'!$D153&lt;=29.9,"High",'Data set'!$D153&gt;29.9,"Very High")</f>
        <v>Very High</v>
      </c>
    </row>
    <row r="154" spans="1:17" x14ac:dyDescent="0.25">
      <c r="A154" s="3">
        <v>50</v>
      </c>
      <c r="B154" s="3" t="s">
        <v>0</v>
      </c>
      <c r="C154" s="4">
        <v>183.22</v>
      </c>
      <c r="D154" s="4">
        <v>39.200000000000003</v>
      </c>
      <c r="E154" s="3" t="s">
        <v>14</v>
      </c>
      <c r="F154" s="3">
        <v>174</v>
      </c>
      <c r="G154" s="3" t="s">
        <v>130</v>
      </c>
      <c r="H154" s="4">
        <v>6.46</v>
      </c>
      <c r="I154" s="3">
        <v>1</v>
      </c>
      <c r="J154" s="3" t="s">
        <v>3</v>
      </c>
      <c r="K154" s="3" t="s">
        <v>3</v>
      </c>
      <c r="L154" s="3">
        <v>140</v>
      </c>
      <c r="M154" s="3">
        <v>61</v>
      </c>
      <c r="N154" s="3" t="s">
        <v>23</v>
      </c>
      <c r="O154" s="3" t="str">
        <f>_xlfn.IFS('Data set'!$H154&lt;5.7,"Normal",'Data set'!$H154&lt;=6.4,"Prediabetes",'Data set'!$H154&lt;=7.5,"Diabetes",'Data set'!$H154&gt;=7.5,"Uncontrolled")</f>
        <v>Diabetes</v>
      </c>
      <c r="P154" s="3" t="str">
        <f>_xlfn.IFS('Data set'!$F154&lt;120,"Low",'Data set'!$F154&lt;=200,"Normal",'Data set'!$F154&lt;=240,"Boarderline",'Data set'!$F154&gt;=241,"High")</f>
        <v>Normal</v>
      </c>
      <c r="Q154" s="3" t="str">
        <f>_xlfn.IFS('Data set'!$D154&lt;=18.5,"Low",'Data set'!$D154&lt;=24.9,"Normal",'Data set'!$D154&lt;=29.9,"High",'Data set'!$D154&gt;29.9,"Very High")</f>
        <v>Very High</v>
      </c>
    </row>
    <row r="155" spans="1:17" x14ac:dyDescent="0.25">
      <c r="A155" s="5">
        <v>43</v>
      </c>
      <c r="B155" s="5" t="s">
        <v>0</v>
      </c>
      <c r="C155" s="6">
        <v>70.61</v>
      </c>
      <c r="D155" s="6">
        <v>24.16</v>
      </c>
      <c r="E155" s="5" t="s">
        <v>10</v>
      </c>
      <c r="F155" s="5">
        <v>146</v>
      </c>
      <c r="G155" s="5" t="s">
        <v>158</v>
      </c>
      <c r="H155" s="6">
        <v>4.46</v>
      </c>
      <c r="I155" s="5">
        <v>3</v>
      </c>
      <c r="J155" s="5" t="s">
        <v>4</v>
      </c>
      <c r="K155" s="5" t="s">
        <v>4</v>
      </c>
      <c r="L155" s="5">
        <v>115</v>
      </c>
      <c r="M155" s="5">
        <v>66</v>
      </c>
      <c r="N155" s="5" t="s">
        <v>23</v>
      </c>
      <c r="O155" s="5" t="str">
        <f>_xlfn.IFS('Data set'!$H155&lt;5.7,"Normal",'Data set'!$H155&lt;=6.4,"Prediabetes",'Data set'!$H155&lt;=7.5,"Diabetes",'Data set'!$H155&gt;=7.5,"Uncontrolled")</f>
        <v>Normal</v>
      </c>
      <c r="P155" s="5" t="str">
        <f>_xlfn.IFS('Data set'!$F155&lt;120,"Low",'Data set'!$F155&lt;=200,"Normal",'Data set'!$F155&lt;=240,"Boarderline",'Data set'!$F155&gt;=241,"High")</f>
        <v>Normal</v>
      </c>
      <c r="Q155" s="5" t="str">
        <f>_xlfn.IFS('Data set'!$D155&lt;=18.5,"Low",'Data set'!$D155&lt;=24.9,"Normal",'Data set'!$D155&lt;=29.9,"High",'Data set'!$D155&gt;29.9,"Very High")</f>
        <v>Normal</v>
      </c>
    </row>
    <row r="156" spans="1:17" x14ac:dyDescent="0.25">
      <c r="A156" s="3">
        <v>80</v>
      </c>
      <c r="B156" s="3" t="s">
        <v>0</v>
      </c>
      <c r="C156" s="4">
        <v>165.47</v>
      </c>
      <c r="D156" s="4">
        <v>22.01</v>
      </c>
      <c r="E156" s="3" t="s">
        <v>6</v>
      </c>
      <c r="F156" s="3">
        <v>121</v>
      </c>
      <c r="G156" s="3" t="s">
        <v>159</v>
      </c>
      <c r="H156" s="4">
        <v>7.4</v>
      </c>
      <c r="I156" s="3">
        <v>0</v>
      </c>
      <c r="J156" s="3" t="s">
        <v>4</v>
      </c>
      <c r="K156" s="3" t="s">
        <v>4</v>
      </c>
      <c r="L156" s="3">
        <v>124</v>
      </c>
      <c r="M156" s="3">
        <v>90</v>
      </c>
      <c r="N156" s="3" t="s">
        <v>5</v>
      </c>
      <c r="O156" s="3" t="str">
        <f>_xlfn.IFS('Data set'!$H156&lt;5.7,"Normal",'Data set'!$H156&lt;=6.4,"Prediabetes",'Data set'!$H156&lt;=7.5,"Diabetes",'Data set'!$H156&gt;=7.5,"Uncontrolled")</f>
        <v>Diabetes</v>
      </c>
      <c r="P156" s="3" t="str">
        <f>_xlfn.IFS('Data set'!$F156&lt;120,"Low",'Data set'!$F156&lt;=200,"Normal",'Data set'!$F156&lt;=240,"Boarderline",'Data set'!$F156&gt;=241,"High")</f>
        <v>Normal</v>
      </c>
      <c r="Q156" s="3" t="str">
        <f>_xlfn.IFS('Data set'!$D156&lt;=18.5,"Low",'Data set'!$D156&lt;=24.9,"Normal",'Data set'!$D156&lt;=29.9,"High",'Data set'!$D156&gt;29.9,"Very High")</f>
        <v>Normal</v>
      </c>
    </row>
    <row r="157" spans="1:17" x14ac:dyDescent="0.25">
      <c r="A157" s="5">
        <v>57</v>
      </c>
      <c r="B157" s="5" t="s">
        <v>9</v>
      </c>
      <c r="C157" s="6">
        <v>146.26</v>
      </c>
      <c r="D157" s="6">
        <v>36.46</v>
      </c>
      <c r="E157" s="5" t="s">
        <v>6</v>
      </c>
      <c r="F157" s="5">
        <v>153</v>
      </c>
      <c r="G157" s="5" t="s">
        <v>26</v>
      </c>
      <c r="H157" s="6">
        <v>5.45</v>
      </c>
      <c r="I157" s="5">
        <v>5</v>
      </c>
      <c r="J157" s="5" t="s">
        <v>3</v>
      </c>
      <c r="K157" s="5" t="s">
        <v>4</v>
      </c>
      <c r="L157" s="5">
        <v>103</v>
      </c>
      <c r="M157" s="5">
        <v>88</v>
      </c>
      <c r="N157" s="5" t="s">
        <v>8</v>
      </c>
      <c r="O157" s="5" t="str">
        <f>_xlfn.IFS('Data set'!$H157&lt;5.7,"Normal",'Data set'!$H157&lt;=6.4,"Prediabetes",'Data set'!$H157&lt;=7.5,"Diabetes",'Data set'!$H157&gt;=7.5,"Uncontrolled")</f>
        <v>Normal</v>
      </c>
      <c r="P157" s="5" t="str">
        <f>_xlfn.IFS('Data set'!$F157&lt;120,"Low",'Data set'!$F157&lt;=200,"Normal",'Data set'!$F157&lt;=240,"Boarderline",'Data set'!$F157&gt;=241,"High")</f>
        <v>Normal</v>
      </c>
      <c r="Q157" s="5" t="str">
        <f>_xlfn.IFS('Data set'!$D157&lt;=18.5,"Low",'Data set'!$D157&lt;=24.9,"Normal",'Data set'!$D157&lt;=29.9,"High",'Data set'!$D157&gt;29.9,"Very High")</f>
        <v>Very High</v>
      </c>
    </row>
    <row r="158" spans="1:17" x14ac:dyDescent="0.25">
      <c r="A158" s="3">
        <v>30</v>
      </c>
      <c r="B158" s="3" t="s">
        <v>0</v>
      </c>
      <c r="C158" s="4">
        <v>174.64</v>
      </c>
      <c r="D158" s="4">
        <v>19.46</v>
      </c>
      <c r="E158" s="3" t="s">
        <v>10</v>
      </c>
      <c r="F158" s="3">
        <v>240</v>
      </c>
      <c r="G158" s="3" t="s">
        <v>160</v>
      </c>
      <c r="H158" s="4">
        <v>6.33</v>
      </c>
      <c r="I158" s="3">
        <v>6</v>
      </c>
      <c r="J158" s="3" t="s">
        <v>3</v>
      </c>
      <c r="K158" s="3" t="s">
        <v>4</v>
      </c>
      <c r="L158" s="3">
        <v>100</v>
      </c>
      <c r="M158" s="3">
        <v>76</v>
      </c>
      <c r="N158" s="3" t="s">
        <v>17</v>
      </c>
      <c r="O158" s="3" t="str">
        <f>_xlfn.IFS('Data set'!$H158&lt;5.7,"Normal",'Data set'!$H158&lt;=6.4,"Prediabetes",'Data set'!$H158&lt;=7.5,"Diabetes",'Data set'!$H158&gt;=7.5,"Uncontrolled")</f>
        <v>Prediabetes</v>
      </c>
      <c r="P158" s="3" t="str">
        <f>_xlfn.IFS('Data set'!$F158&lt;120,"Low",'Data set'!$F158&lt;=200,"Normal",'Data set'!$F158&lt;=240,"Boarderline",'Data set'!$F158&gt;=241,"High")</f>
        <v>Boarderline</v>
      </c>
      <c r="Q158" s="3" t="str">
        <f>_xlfn.IFS('Data set'!$D158&lt;=18.5,"Low",'Data set'!$D158&lt;=24.9,"Normal",'Data set'!$D158&lt;=29.9,"High",'Data set'!$D158&gt;29.9,"Very High")</f>
        <v>Normal</v>
      </c>
    </row>
    <row r="159" spans="1:17" x14ac:dyDescent="0.25">
      <c r="A159" s="5">
        <v>29</v>
      </c>
      <c r="B159" s="5" t="s">
        <v>9</v>
      </c>
      <c r="C159" s="6">
        <v>101.55</v>
      </c>
      <c r="D159" s="6">
        <v>20.88</v>
      </c>
      <c r="E159" s="5" t="s">
        <v>10</v>
      </c>
      <c r="F159" s="5">
        <v>116</v>
      </c>
      <c r="G159" s="5" t="s">
        <v>161</v>
      </c>
      <c r="H159" s="6">
        <v>8.15</v>
      </c>
      <c r="I159" s="5">
        <v>2</v>
      </c>
      <c r="J159" s="5" t="s">
        <v>3</v>
      </c>
      <c r="K159" s="5" t="s">
        <v>4</v>
      </c>
      <c r="L159" s="5">
        <v>91</v>
      </c>
      <c r="M159" s="5">
        <v>70</v>
      </c>
      <c r="N159" s="5" t="s">
        <v>17</v>
      </c>
      <c r="O159" s="5" t="str">
        <f>_xlfn.IFS('Data set'!$H159&lt;5.7,"Normal",'Data set'!$H159&lt;=6.4,"Prediabetes",'Data set'!$H159&lt;=7.5,"Diabetes",'Data set'!$H159&gt;=7.5,"Uncontrolled")</f>
        <v>Uncontrolled</v>
      </c>
      <c r="P159" s="5" t="str">
        <f>_xlfn.IFS('Data set'!$F159&lt;120,"Low",'Data set'!$F159&lt;=200,"Normal",'Data set'!$F159&lt;=240,"Boarderline",'Data set'!$F159&gt;=241,"High")</f>
        <v>Low</v>
      </c>
      <c r="Q159" s="5" t="str">
        <f>_xlfn.IFS('Data set'!$D159&lt;=18.5,"Low",'Data set'!$D159&lt;=24.9,"Normal",'Data set'!$D159&lt;=29.9,"High",'Data set'!$D159&gt;29.9,"Very High")</f>
        <v>Normal</v>
      </c>
    </row>
    <row r="160" spans="1:17" x14ac:dyDescent="0.25">
      <c r="A160" s="3">
        <v>62</v>
      </c>
      <c r="B160" s="3" t="s">
        <v>9</v>
      </c>
      <c r="C160" s="4">
        <v>223.96</v>
      </c>
      <c r="D160" s="4">
        <v>34.64</v>
      </c>
      <c r="E160" s="3" t="s">
        <v>1</v>
      </c>
      <c r="F160" s="3">
        <v>147</v>
      </c>
      <c r="G160" s="3" t="s">
        <v>28</v>
      </c>
      <c r="H160" s="4">
        <v>9.08</v>
      </c>
      <c r="I160" s="3">
        <v>7</v>
      </c>
      <c r="J160" s="3" t="s">
        <v>4</v>
      </c>
      <c r="K160" s="3" t="s">
        <v>3</v>
      </c>
      <c r="L160" s="3">
        <v>107</v>
      </c>
      <c r="M160" s="3">
        <v>66</v>
      </c>
      <c r="N160" s="3" t="s">
        <v>21</v>
      </c>
      <c r="O160" s="3" t="str">
        <f>_xlfn.IFS('Data set'!$H160&lt;5.7,"Normal",'Data set'!$H160&lt;=6.4,"Prediabetes",'Data set'!$H160&lt;=7.5,"Diabetes",'Data set'!$H160&gt;=7.5,"Uncontrolled")</f>
        <v>Uncontrolled</v>
      </c>
      <c r="P160" s="3" t="str">
        <f>_xlfn.IFS('Data set'!$F160&lt;120,"Low",'Data set'!$F160&lt;=200,"Normal",'Data set'!$F160&lt;=240,"Boarderline",'Data set'!$F160&gt;=241,"High")</f>
        <v>Normal</v>
      </c>
      <c r="Q160" s="3" t="str">
        <f>_xlfn.IFS('Data set'!$D160&lt;=18.5,"Low",'Data set'!$D160&lt;=24.9,"Normal",'Data set'!$D160&lt;=29.9,"High",'Data set'!$D160&gt;29.9,"Very High")</f>
        <v>Very High</v>
      </c>
    </row>
    <row r="161" spans="1:17" x14ac:dyDescent="0.25">
      <c r="A161" s="5">
        <v>41</v>
      </c>
      <c r="B161" s="5" t="s">
        <v>0</v>
      </c>
      <c r="C161" s="6">
        <v>146.94</v>
      </c>
      <c r="D161" s="6">
        <v>34.369999999999997</v>
      </c>
      <c r="E161" s="5" t="s">
        <v>14</v>
      </c>
      <c r="F161" s="5">
        <v>148</v>
      </c>
      <c r="G161" s="5" t="s">
        <v>162</v>
      </c>
      <c r="H161" s="6">
        <v>8.43</v>
      </c>
      <c r="I161" s="5">
        <v>5</v>
      </c>
      <c r="J161" s="5" t="s">
        <v>3</v>
      </c>
      <c r="K161" s="5" t="s">
        <v>3</v>
      </c>
      <c r="L161" s="5">
        <v>109</v>
      </c>
      <c r="M161" s="5">
        <v>85</v>
      </c>
      <c r="N161" s="5" t="s">
        <v>23</v>
      </c>
      <c r="O161" s="5" t="str">
        <f>_xlfn.IFS('Data set'!$H161&lt;5.7,"Normal",'Data set'!$H161&lt;=6.4,"Prediabetes",'Data set'!$H161&lt;=7.5,"Diabetes",'Data set'!$H161&gt;=7.5,"Uncontrolled")</f>
        <v>Uncontrolled</v>
      </c>
      <c r="P161" s="5" t="str">
        <f>_xlfn.IFS('Data set'!$F161&lt;120,"Low",'Data set'!$F161&lt;=200,"Normal",'Data set'!$F161&lt;=240,"Boarderline",'Data set'!$F161&gt;=241,"High")</f>
        <v>Normal</v>
      </c>
      <c r="Q161" s="5" t="str">
        <f>_xlfn.IFS('Data set'!$D161&lt;=18.5,"Low",'Data set'!$D161&lt;=24.9,"Normal",'Data set'!$D161&lt;=29.9,"High",'Data set'!$D161&gt;29.9,"Very High")</f>
        <v>Very High</v>
      </c>
    </row>
    <row r="162" spans="1:17" x14ac:dyDescent="0.25">
      <c r="A162" s="3">
        <v>58</v>
      </c>
      <c r="B162" s="3" t="s">
        <v>0</v>
      </c>
      <c r="C162" s="4">
        <v>112.98</v>
      </c>
      <c r="D162" s="4">
        <v>21.47</v>
      </c>
      <c r="E162" s="3" t="s">
        <v>1</v>
      </c>
      <c r="F162" s="3">
        <v>250</v>
      </c>
      <c r="G162" s="3" t="s">
        <v>163</v>
      </c>
      <c r="H162" s="4">
        <v>8.1300000000000008</v>
      </c>
      <c r="I162" s="3">
        <v>6</v>
      </c>
      <c r="J162" s="3" t="s">
        <v>3</v>
      </c>
      <c r="K162" s="3" t="s">
        <v>3</v>
      </c>
      <c r="L162" s="3">
        <v>139</v>
      </c>
      <c r="M162" s="3">
        <v>68</v>
      </c>
      <c r="N162" s="3" t="s">
        <v>8</v>
      </c>
      <c r="O162" s="3" t="str">
        <f>_xlfn.IFS('Data set'!$H162&lt;5.7,"Normal",'Data set'!$H162&lt;=6.4,"Prediabetes",'Data set'!$H162&lt;=7.5,"Diabetes",'Data set'!$H162&gt;=7.5,"Uncontrolled")</f>
        <v>Uncontrolled</v>
      </c>
      <c r="P162" s="3" t="str">
        <f>_xlfn.IFS('Data set'!$F162&lt;120,"Low",'Data set'!$F162&lt;=200,"Normal",'Data set'!$F162&lt;=240,"Boarderline",'Data set'!$F162&gt;=241,"High")</f>
        <v>High</v>
      </c>
      <c r="Q162" s="3" t="str">
        <f>_xlfn.IFS('Data set'!$D162&lt;=18.5,"Low",'Data set'!$D162&lt;=24.9,"Normal",'Data set'!$D162&lt;=29.9,"High",'Data set'!$D162&gt;29.9,"Very High")</f>
        <v>Normal</v>
      </c>
    </row>
    <row r="163" spans="1:17" x14ac:dyDescent="0.25">
      <c r="A163" s="5">
        <v>41</v>
      </c>
      <c r="B163" s="5" t="s">
        <v>0</v>
      </c>
      <c r="C163" s="6">
        <v>289.33999999999997</v>
      </c>
      <c r="D163" s="6">
        <v>39.89</v>
      </c>
      <c r="E163" s="5" t="s">
        <v>10</v>
      </c>
      <c r="F163" s="5">
        <v>159</v>
      </c>
      <c r="G163" s="5" t="s">
        <v>164</v>
      </c>
      <c r="H163" s="6">
        <v>7.89</v>
      </c>
      <c r="I163" s="5">
        <v>2</v>
      </c>
      <c r="J163" s="5" t="s">
        <v>3</v>
      </c>
      <c r="K163" s="5" t="s">
        <v>3</v>
      </c>
      <c r="L163" s="5">
        <v>136</v>
      </c>
      <c r="M163" s="5">
        <v>69</v>
      </c>
      <c r="N163" s="5" t="s">
        <v>23</v>
      </c>
      <c r="O163" s="5" t="str">
        <f>_xlfn.IFS('Data set'!$H163&lt;5.7,"Normal",'Data set'!$H163&lt;=6.4,"Prediabetes",'Data set'!$H163&lt;=7.5,"Diabetes",'Data set'!$H163&gt;=7.5,"Uncontrolled")</f>
        <v>Uncontrolled</v>
      </c>
      <c r="P163" s="5" t="str">
        <f>_xlfn.IFS('Data set'!$F163&lt;120,"Low",'Data set'!$F163&lt;=200,"Normal",'Data set'!$F163&lt;=240,"Boarderline",'Data set'!$F163&gt;=241,"High")</f>
        <v>Normal</v>
      </c>
      <c r="Q163" s="5" t="str">
        <f>_xlfn.IFS('Data set'!$D163&lt;=18.5,"Low",'Data set'!$D163&lt;=24.9,"Normal",'Data set'!$D163&lt;=29.9,"High",'Data set'!$D163&gt;29.9,"Very High")</f>
        <v>Very High</v>
      </c>
    </row>
    <row r="164" spans="1:17" x14ac:dyDescent="0.25">
      <c r="A164" s="3">
        <v>45</v>
      </c>
      <c r="B164" s="3" t="s">
        <v>9</v>
      </c>
      <c r="C164" s="4">
        <v>238.1</v>
      </c>
      <c r="D164" s="4">
        <v>32.69</v>
      </c>
      <c r="E164" s="3" t="s">
        <v>6</v>
      </c>
      <c r="F164" s="3">
        <v>203</v>
      </c>
      <c r="G164" s="3" t="s">
        <v>165</v>
      </c>
      <c r="H164" s="4">
        <v>9.9499999999999993</v>
      </c>
      <c r="I164" s="3">
        <v>0</v>
      </c>
      <c r="J164" s="3" t="s">
        <v>4</v>
      </c>
      <c r="K164" s="3" t="s">
        <v>3</v>
      </c>
      <c r="L164" s="3">
        <v>137</v>
      </c>
      <c r="M164" s="3">
        <v>79</v>
      </c>
      <c r="N164" s="3" t="s">
        <v>23</v>
      </c>
      <c r="O164" s="3" t="str">
        <f>_xlfn.IFS('Data set'!$H164&lt;5.7,"Normal",'Data set'!$H164&lt;=6.4,"Prediabetes",'Data set'!$H164&lt;=7.5,"Diabetes",'Data set'!$H164&gt;=7.5,"Uncontrolled")</f>
        <v>Uncontrolled</v>
      </c>
      <c r="P164" s="3" t="str">
        <f>_xlfn.IFS('Data set'!$F164&lt;120,"Low",'Data set'!$F164&lt;=200,"Normal",'Data set'!$F164&lt;=240,"Boarderline",'Data set'!$F164&gt;=241,"High")</f>
        <v>Boarderline</v>
      </c>
      <c r="Q164" s="3" t="str">
        <f>_xlfn.IFS('Data set'!$D164&lt;=18.5,"Low",'Data set'!$D164&lt;=24.9,"Normal",'Data set'!$D164&lt;=29.9,"High",'Data set'!$D164&gt;29.9,"Very High")</f>
        <v>Very High</v>
      </c>
    </row>
    <row r="165" spans="1:17" x14ac:dyDescent="0.25">
      <c r="A165" s="5">
        <v>25</v>
      </c>
      <c r="B165" s="5" t="s">
        <v>0</v>
      </c>
      <c r="C165" s="6">
        <v>290.49</v>
      </c>
      <c r="D165" s="6">
        <v>33.58</v>
      </c>
      <c r="E165" s="5" t="s">
        <v>1</v>
      </c>
      <c r="F165" s="5">
        <v>147</v>
      </c>
      <c r="G165" s="5" t="s">
        <v>166</v>
      </c>
      <c r="H165" s="6">
        <v>7.16</v>
      </c>
      <c r="I165" s="5">
        <v>4</v>
      </c>
      <c r="J165" s="5" t="s">
        <v>4</v>
      </c>
      <c r="K165" s="5" t="s">
        <v>3</v>
      </c>
      <c r="L165" s="5">
        <v>105</v>
      </c>
      <c r="M165" s="5">
        <v>80</v>
      </c>
      <c r="N165" s="5" t="s">
        <v>17</v>
      </c>
      <c r="O165" s="5" t="str">
        <f>_xlfn.IFS('Data set'!$H165&lt;5.7,"Normal",'Data set'!$H165&lt;=6.4,"Prediabetes",'Data set'!$H165&lt;=7.5,"Diabetes",'Data set'!$H165&gt;=7.5,"Uncontrolled")</f>
        <v>Diabetes</v>
      </c>
      <c r="P165" s="5" t="str">
        <f>_xlfn.IFS('Data set'!$F165&lt;120,"Low",'Data set'!$F165&lt;=200,"Normal",'Data set'!$F165&lt;=240,"Boarderline",'Data set'!$F165&gt;=241,"High")</f>
        <v>Normal</v>
      </c>
      <c r="Q165" s="5" t="str">
        <f>_xlfn.IFS('Data set'!$D165&lt;=18.5,"Low",'Data set'!$D165&lt;=24.9,"Normal",'Data set'!$D165&lt;=29.9,"High",'Data set'!$D165&gt;29.9,"Very High")</f>
        <v>Very High</v>
      </c>
    </row>
    <row r="166" spans="1:17" x14ac:dyDescent="0.25">
      <c r="A166" s="3">
        <v>49</v>
      </c>
      <c r="B166" s="3" t="s">
        <v>0</v>
      </c>
      <c r="C166" s="4">
        <v>183.52</v>
      </c>
      <c r="D166" s="4">
        <v>21.7</v>
      </c>
      <c r="E166" s="3" t="s">
        <v>10</v>
      </c>
      <c r="F166" s="3">
        <v>138</v>
      </c>
      <c r="G166" s="3" t="s">
        <v>167</v>
      </c>
      <c r="H166" s="4">
        <v>6.79</v>
      </c>
      <c r="I166" s="3">
        <v>6</v>
      </c>
      <c r="J166" s="3" t="s">
        <v>4</v>
      </c>
      <c r="K166" s="3" t="s">
        <v>3</v>
      </c>
      <c r="L166" s="3">
        <v>102</v>
      </c>
      <c r="M166" s="3">
        <v>89</v>
      </c>
      <c r="N166" s="3" t="s">
        <v>23</v>
      </c>
      <c r="O166" s="3" t="str">
        <f>_xlfn.IFS('Data set'!$H166&lt;5.7,"Normal",'Data set'!$H166&lt;=6.4,"Prediabetes",'Data set'!$H166&lt;=7.5,"Diabetes",'Data set'!$H166&gt;=7.5,"Uncontrolled")</f>
        <v>Diabetes</v>
      </c>
      <c r="P166" s="3" t="str">
        <f>_xlfn.IFS('Data set'!$F166&lt;120,"Low",'Data set'!$F166&lt;=200,"Normal",'Data set'!$F166&lt;=240,"Boarderline",'Data set'!$F166&gt;=241,"High")</f>
        <v>Normal</v>
      </c>
      <c r="Q166" s="3" t="str">
        <f>_xlfn.IFS('Data set'!$D166&lt;=18.5,"Low",'Data set'!$D166&lt;=24.9,"Normal",'Data set'!$D166&lt;=29.9,"High",'Data set'!$D166&gt;29.9,"Very High")</f>
        <v>Normal</v>
      </c>
    </row>
    <row r="167" spans="1:17" x14ac:dyDescent="0.25">
      <c r="A167" s="5">
        <v>46</v>
      </c>
      <c r="B167" s="5" t="s">
        <v>0</v>
      </c>
      <c r="C167" s="6">
        <v>272.83</v>
      </c>
      <c r="D167" s="6">
        <v>27.5</v>
      </c>
      <c r="E167" s="5" t="s">
        <v>10</v>
      </c>
      <c r="F167" s="5">
        <v>265</v>
      </c>
      <c r="G167" s="5" t="s">
        <v>168</v>
      </c>
      <c r="H167" s="6">
        <v>5.24</v>
      </c>
      <c r="I167" s="5">
        <v>0</v>
      </c>
      <c r="J167" s="5" t="s">
        <v>4</v>
      </c>
      <c r="K167" s="5" t="s">
        <v>4</v>
      </c>
      <c r="L167" s="5">
        <v>91</v>
      </c>
      <c r="M167" s="5">
        <v>62</v>
      </c>
      <c r="N167" s="5" t="s">
        <v>23</v>
      </c>
      <c r="O167" s="5" t="str">
        <f>_xlfn.IFS('Data set'!$H167&lt;5.7,"Normal",'Data set'!$H167&lt;=6.4,"Prediabetes",'Data set'!$H167&lt;=7.5,"Diabetes",'Data set'!$H167&gt;=7.5,"Uncontrolled")</f>
        <v>Normal</v>
      </c>
      <c r="P167" s="5" t="str">
        <f>_xlfn.IFS('Data set'!$F167&lt;120,"Low",'Data set'!$F167&lt;=200,"Normal",'Data set'!$F167&lt;=240,"Boarderline",'Data set'!$F167&gt;=241,"High")</f>
        <v>High</v>
      </c>
      <c r="Q167" s="5" t="str">
        <f>_xlfn.IFS('Data set'!$D167&lt;=18.5,"Low",'Data set'!$D167&lt;=24.9,"Normal",'Data set'!$D167&lt;=29.9,"High",'Data set'!$D167&gt;29.9,"Very High")</f>
        <v>High</v>
      </c>
    </row>
    <row r="168" spans="1:17" x14ac:dyDescent="0.25">
      <c r="A168" s="3">
        <v>58</v>
      </c>
      <c r="B168" s="3" t="s">
        <v>9</v>
      </c>
      <c r="C168" s="4">
        <v>153.19</v>
      </c>
      <c r="D168" s="4">
        <v>19.46</v>
      </c>
      <c r="E168" s="3" t="s">
        <v>1</v>
      </c>
      <c r="F168" s="3">
        <v>185</v>
      </c>
      <c r="G168" s="3" t="s">
        <v>169</v>
      </c>
      <c r="H168" s="4">
        <v>7.62</v>
      </c>
      <c r="I168" s="3">
        <v>2</v>
      </c>
      <c r="J168" s="3" t="s">
        <v>4</v>
      </c>
      <c r="K168" s="3" t="s">
        <v>3</v>
      </c>
      <c r="L168" s="3">
        <v>116</v>
      </c>
      <c r="M168" s="3">
        <v>61</v>
      </c>
      <c r="N168" s="3" t="s">
        <v>8</v>
      </c>
      <c r="O168" s="3" t="str">
        <f>_xlfn.IFS('Data set'!$H168&lt;5.7,"Normal",'Data set'!$H168&lt;=6.4,"Prediabetes",'Data set'!$H168&lt;=7.5,"Diabetes",'Data set'!$H168&gt;=7.5,"Uncontrolled")</f>
        <v>Uncontrolled</v>
      </c>
      <c r="P168" s="3" t="str">
        <f>_xlfn.IFS('Data set'!$F168&lt;120,"Low",'Data set'!$F168&lt;=200,"Normal",'Data set'!$F168&lt;=240,"Boarderline",'Data set'!$F168&gt;=241,"High")</f>
        <v>Normal</v>
      </c>
      <c r="Q168" s="3" t="str">
        <f>_xlfn.IFS('Data set'!$D168&lt;=18.5,"Low",'Data set'!$D168&lt;=24.9,"Normal",'Data set'!$D168&lt;=29.9,"High",'Data set'!$D168&gt;29.9,"Very High")</f>
        <v>Normal</v>
      </c>
    </row>
    <row r="169" spans="1:17" x14ac:dyDescent="0.25">
      <c r="A169" s="5">
        <v>23</v>
      </c>
      <c r="B169" s="5" t="s">
        <v>9</v>
      </c>
      <c r="C169" s="6">
        <v>218.04</v>
      </c>
      <c r="D169" s="6">
        <v>34.28</v>
      </c>
      <c r="E169" s="5" t="s">
        <v>14</v>
      </c>
      <c r="F169" s="5">
        <v>140</v>
      </c>
      <c r="G169" s="5" t="s">
        <v>170</v>
      </c>
      <c r="H169" s="6">
        <v>9.16</v>
      </c>
      <c r="I169" s="5">
        <v>5</v>
      </c>
      <c r="J169" s="5" t="s">
        <v>3</v>
      </c>
      <c r="K169" s="5" t="s">
        <v>3</v>
      </c>
      <c r="L169" s="5">
        <v>118</v>
      </c>
      <c r="M169" s="5">
        <v>62</v>
      </c>
      <c r="N169" s="5" t="s">
        <v>17</v>
      </c>
      <c r="O169" s="5" t="str">
        <f>_xlfn.IFS('Data set'!$H169&lt;5.7,"Normal",'Data set'!$H169&lt;=6.4,"Prediabetes",'Data set'!$H169&lt;=7.5,"Diabetes",'Data set'!$H169&gt;=7.5,"Uncontrolled")</f>
        <v>Uncontrolled</v>
      </c>
      <c r="P169" s="5" t="str">
        <f>_xlfn.IFS('Data set'!$F169&lt;120,"Low",'Data set'!$F169&lt;=200,"Normal",'Data set'!$F169&lt;=240,"Boarderline",'Data set'!$F169&gt;=241,"High")</f>
        <v>Normal</v>
      </c>
      <c r="Q169" s="5" t="str">
        <f>_xlfn.IFS('Data set'!$D169&lt;=18.5,"Low",'Data set'!$D169&lt;=24.9,"Normal",'Data set'!$D169&lt;=29.9,"High",'Data set'!$D169&gt;29.9,"Very High")</f>
        <v>Very High</v>
      </c>
    </row>
    <row r="170" spans="1:17" x14ac:dyDescent="0.25">
      <c r="A170" s="3">
        <v>69</v>
      </c>
      <c r="B170" s="3" t="s">
        <v>0</v>
      </c>
      <c r="C170" s="4">
        <v>105.09</v>
      </c>
      <c r="D170" s="4">
        <v>35.99</v>
      </c>
      <c r="E170" s="3" t="s">
        <v>14</v>
      </c>
      <c r="F170" s="3">
        <v>196</v>
      </c>
      <c r="G170" s="3" t="s">
        <v>171</v>
      </c>
      <c r="H170" s="4">
        <v>4.33</v>
      </c>
      <c r="I170" s="3">
        <v>2</v>
      </c>
      <c r="J170" s="3" t="s">
        <v>3</v>
      </c>
      <c r="K170" s="3" t="s">
        <v>3</v>
      </c>
      <c r="L170" s="3">
        <v>120</v>
      </c>
      <c r="M170" s="3">
        <v>71</v>
      </c>
      <c r="N170" s="3" t="s">
        <v>21</v>
      </c>
      <c r="O170" s="3" t="str">
        <f>_xlfn.IFS('Data set'!$H170&lt;5.7,"Normal",'Data set'!$H170&lt;=6.4,"Prediabetes",'Data set'!$H170&lt;=7.5,"Diabetes",'Data set'!$H170&gt;=7.5,"Uncontrolled")</f>
        <v>Normal</v>
      </c>
      <c r="P170" s="3" t="str">
        <f>_xlfn.IFS('Data set'!$F170&lt;120,"Low",'Data set'!$F170&lt;=200,"Normal",'Data set'!$F170&lt;=240,"Boarderline",'Data set'!$F170&gt;=241,"High")</f>
        <v>Normal</v>
      </c>
      <c r="Q170" s="3" t="str">
        <f>_xlfn.IFS('Data set'!$D170&lt;=18.5,"Low",'Data set'!$D170&lt;=24.9,"Normal",'Data set'!$D170&lt;=29.9,"High",'Data set'!$D170&gt;29.9,"Very High")</f>
        <v>Very High</v>
      </c>
    </row>
    <row r="171" spans="1:17" x14ac:dyDescent="0.25">
      <c r="A171" s="5">
        <v>50</v>
      </c>
      <c r="B171" s="5" t="s">
        <v>9</v>
      </c>
      <c r="C171" s="6">
        <v>262.24</v>
      </c>
      <c r="D171" s="6">
        <v>21.84</v>
      </c>
      <c r="E171" s="5" t="s">
        <v>14</v>
      </c>
      <c r="F171" s="5">
        <v>141</v>
      </c>
      <c r="G171" s="5" t="s">
        <v>172</v>
      </c>
      <c r="H171" s="6">
        <v>6.93</v>
      </c>
      <c r="I171" s="5">
        <v>5</v>
      </c>
      <c r="J171" s="5" t="s">
        <v>4</v>
      </c>
      <c r="K171" s="5" t="s">
        <v>3</v>
      </c>
      <c r="L171" s="5">
        <v>133</v>
      </c>
      <c r="M171" s="5">
        <v>79</v>
      </c>
      <c r="N171" s="5" t="s">
        <v>23</v>
      </c>
      <c r="O171" s="5" t="str">
        <f>_xlfn.IFS('Data set'!$H171&lt;5.7,"Normal",'Data set'!$H171&lt;=6.4,"Prediabetes",'Data set'!$H171&lt;=7.5,"Diabetes",'Data set'!$H171&gt;=7.5,"Uncontrolled")</f>
        <v>Diabetes</v>
      </c>
      <c r="P171" s="5" t="str">
        <f>_xlfn.IFS('Data set'!$F171&lt;120,"Low",'Data set'!$F171&lt;=200,"Normal",'Data set'!$F171&lt;=240,"Boarderline",'Data set'!$F171&gt;=241,"High")</f>
        <v>Normal</v>
      </c>
      <c r="Q171" s="5" t="str">
        <f>_xlfn.IFS('Data set'!$D171&lt;=18.5,"Low",'Data set'!$D171&lt;=24.9,"Normal",'Data set'!$D171&lt;=29.9,"High",'Data set'!$D171&gt;29.9,"Very High")</f>
        <v>Normal</v>
      </c>
    </row>
    <row r="172" spans="1:17" x14ac:dyDescent="0.25">
      <c r="A172" s="3">
        <v>64</v>
      </c>
      <c r="B172" s="3" t="s">
        <v>0</v>
      </c>
      <c r="C172" s="4">
        <v>146.65</v>
      </c>
      <c r="D172" s="4">
        <v>32.71</v>
      </c>
      <c r="E172" s="3" t="s">
        <v>14</v>
      </c>
      <c r="F172" s="3">
        <v>162</v>
      </c>
      <c r="G172" s="3" t="s">
        <v>173</v>
      </c>
      <c r="H172" s="4">
        <v>8.9</v>
      </c>
      <c r="I172" s="3">
        <v>0</v>
      </c>
      <c r="J172" s="3" t="s">
        <v>3</v>
      </c>
      <c r="K172" s="3" t="s">
        <v>3</v>
      </c>
      <c r="L172" s="3">
        <v>117</v>
      </c>
      <c r="M172" s="3">
        <v>82</v>
      </c>
      <c r="N172" s="3" t="s">
        <v>21</v>
      </c>
      <c r="O172" s="3" t="str">
        <f>_xlfn.IFS('Data set'!$H172&lt;5.7,"Normal",'Data set'!$H172&lt;=6.4,"Prediabetes",'Data set'!$H172&lt;=7.5,"Diabetes",'Data set'!$H172&gt;=7.5,"Uncontrolled")</f>
        <v>Uncontrolled</v>
      </c>
      <c r="P172" s="3" t="str">
        <f>_xlfn.IFS('Data set'!$F172&lt;120,"Low",'Data set'!$F172&lt;=200,"Normal",'Data set'!$F172&lt;=240,"Boarderline",'Data set'!$F172&gt;=241,"High")</f>
        <v>Normal</v>
      </c>
      <c r="Q172" s="3" t="str">
        <f>_xlfn.IFS('Data set'!$D172&lt;=18.5,"Low",'Data set'!$D172&lt;=24.9,"Normal",'Data set'!$D172&lt;=29.9,"High",'Data set'!$D172&gt;29.9,"Very High")</f>
        <v>Very High</v>
      </c>
    </row>
    <row r="173" spans="1:17" x14ac:dyDescent="0.25">
      <c r="A173" s="5">
        <v>30</v>
      </c>
      <c r="B173" s="5" t="s">
        <v>0</v>
      </c>
      <c r="C173" s="6">
        <v>153.91</v>
      </c>
      <c r="D173" s="6">
        <v>23.73</v>
      </c>
      <c r="E173" s="5" t="s">
        <v>14</v>
      </c>
      <c r="F173" s="5">
        <v>108</v>
      </c>
      <c r="G173" s="5" t="s">
        <v>174</v>
      </c>
      <c r="H173" s="6">
        <v>4.33</v>
      </c>
      <c r="I173" s="5">
        <v>3</v>
      </c>
      <c r="J173" s="5" t="s">
        <v>3</v>
      </c>
      <c r="K173" s="5" t="s">
        <v>4</v>
      </c>
      <c r="L173" s="5">
        <v>130</v>
      </c>
      <c r="M173" s="5">
        <v>63</v>
      </c>
      <c r="N173" s="5" t="s">
        <v>17</v>
      </c>
      <c r="O173" s="5" t="str">
        <f>_xlfn.IFS('Data set'!$H173&lt;5.7,"Normal",'Data set'!$H173&lt;=6.4,"Prediabetes",'Data set'!$H173&lt;=7.5,"Diabetes",'Data set'!$H173&gt;=7.5,"Uncontrolled")</f>
        <v>Normal</v>
      </c>
      <c r="P173" s="5" t="str">
        <f>_xlfn.IFS('Data set'!$F173&lt;120,"Low",'Data set'!$F173&lt;=200,"Normal",'Data set'!$F173&lt;=240,"Boarderline",'Data set'!$F173&gt;=241,"High")</f>
        <v>Low</v>
      </c>
      <c r="Q173" s="5" t="str">
        <f>_xlfn.IFS('Data set'!$D173&lt;=18.5,"Low",'Data set'!$D173&lt;=24.9,"Normal",'Data set'!$D173&lt;=29.9,"High",'Data set'!$D173&gt;29.9,"Very High")</f>
        <v>Normal</v>
      </c>
    </row>
    <row r="174" spans="1:17" x14ac:dyDescent="0.25">
      <c r="A174" s="3">
        <v>19</v>
      </c>
      <c r="B174" s="3" t="s">
        <v>9</v>
      </c>
      <c r="C174" s="4">
        <v>70.73</v>
      </c>
      <c r="D174" s="4">
        <v>31.81</v>
      </c>
      <c r="E174" s="3" t="s">
        <v>1</v>
      </c>
      <c r="F174" s="3">
        <v>294</v>
      </c>
      <c r="G174" s="3" t="s">
        <v>175</v>
      </c>
      <c r="H174" s="4">
        <v>4.3099999999999996</v>
      </c>
      <c r="I174" s="3">
        <v>3</v>
      </c>
      <c r="J174" s="3" t="s">
        <v>3</v>
      </c>
      <c r="K174" s="3" t="s">
        <v>3</v>
      </c>
      <c r="L174" s="3">
        <v>113</v>
      </c>
      <c r="M174" s="3">
        <v>71</v>
      </c>
      <c r="N174" s="3" t="s">
        <v>17</v>
      </c>
      <c r="O174" s="3" t="str">
        <f>_xlfn.IFS('Data set'!$H174&lt;5.7,"Normal",'Data set'!$H174&lt;=6.4,"Prediabetes",'Data set'!$H174&lt;=7.5,"Diabetes",'Data set'!$H174&gt;=7.5,"Uncontrolled")</f>
        <v>Normal</v>
      </c>
      <c r="P174" s="3" t="str">
        <f>_xlfn.IFS('Data set'!$F174&lt;120,"Low",'Data set'!$F174&lt;=200,"Normal",'Data set'!$F174&lt;=240,"Boarderline",'Data set'!$F174&gt;=241,"High")</f>
        <v>High</v>
      </c>
      <c r="Q174" s="3" t="str">
        <f>_xlfn.IFS('Data set'!$D174&lt;=18.5,"Low",'Data set'!$D174&lt;=24.9,"Normal",'Data set'!$D174&lt;=29.9,"High",'Data set'!$D174&gt;29.9,"Very High")</f>
        <v>Very High</v>
      </c>
    </row>
    <row r="175" spans="1:17" x14ac:dyDescent="0.25">
      <c r="A175" s="5">
        <v>62</v>
      </c>
      <c r="B175" s="5" t="s">
        <v>0</v>
      </c>
      <c r="C175" s="6">
        <v>193.76</v>
      </c>
      <c r="D175" s="6">
        <v>38.07</v>
      </c>
      <c r="E175" s="5" t="s">
        <v>14</v>
      </c>
      <c r="F175" s="5">
        <v>104</v>
      </c>
      <c r="G175" s="5" t="s">
        <v>176</v>
      </c>
      <c r="H175" s="6">
        <v>8.52</v>
      </c>
      <c r="I175" s="5">
        <v>4</v>
      </c>
      <c r="J175" s="5" t="s">
        <v>3</v>
      </c>
      <c r="K175" s="5" t="s">
        <v>4</v>
      </c>
      <c r="L175" s="5">
        <v>111</v>
      </c>
      <c r="M175" s="5">
        <v>64</v>
      </c>
      <c r="N175" s="5" t="s">
        <v>21</v>
      </c>
      <c r="O175" s="5" t="str">
        <f>_xlfn.IFS('Data set'!$H175&lt;5.7,"Normal",'Data set'!$H175&lt;=6.4,"Prediabetes",'Data set'!$H175&lt;=7.5,"Diabetes",'Data set'!$H175&gt;=7.5,"Uncontrolled")</f>
        <v>Uncontrolled</v>
      </c>
      <c r="P175" s="5" t="str">
        <f>_xlfn.IFS('Data set'!$F175&lt;120,"Low",'Data set'!$F175&lt;=200,"Normal",'Data set'!$F175&lt;=240,"Boarderline",'Data set'!$F175&gt;=241,"High")</f>
        <v>Low</v>
      </c>
      <c r="Q175" s="5" t="str">
        <f>_xlfn.IFS('Data set'!$D175&lt;=18.5,"Low",'Data set'!$D175&lt;=24.9,"Normal",'Data set'!$D175&lt;=29.9,"High",'Data set'!$D175&gt;29.9,"Very High")</f>
        <v>Very High</v>
      </c>
    </row>
    <row r="176" spans="1:17" x14ac:dyDescent="0.25">
      <c r="A176" s="3">
        <v>76</v>
      </c>
      <c r="B176" s="3" t="s">
        <v>0</v>
      </c>
      <c r="C176" s="4">
        <v>299.77</v>
      </c>
      <c r="D176" s="4">
        <v>39.119999999999997</v>
      </c>
      <c r="E176" s="3" t="s">
        <v>1</v>
      </c>
      <c r="F176" s="3">
        <v>164</v>
      </c>
      <c r="G176" s="3" t="s">
        <v>177</v>
      </c>
      <c r="H176" s="4">
        <v>6.98</v>
      </c>
      <c r="I176" s="3">
        <v>2</v>
      </c>
      <c r="J176" s="3" t="s">
        <v>3</v>
      </c>
      <c r="K176" s="3" t="s">
        <v>3</v>
      </c>
      <c r="L176" s="3">
        <v>97</v>
      </c>
      <c r="M176" s="3">
        <v>80</v>
      </c>
      <c r="N176" s="3" t="s">
        <v>5</v>
      </c>
      <c r="O176" s="3" t="str">
        <f>_xlfn.IFS('Data set'!$H176&lt;5.7,"Normal",'Data set'!$H176&lt;=6.4,"Prediabetes",'Data set'!$H176&lt;=7.5,"Diabetes",'Data set'!$H176&gt;=7.5,"Uncontrolled")</f>
        <v>Diabetes</v>
      </c>
      <c r="P176" s="3" t="str">
        <f>_xlfn.IFS('Data set'!$F176&lt;120,"Low",'Data set'!$F176&lt;=200,"Normal",'Data set'!$F176&lt;=240,"Boarderline",'Data set'!$F176&gt;=241,"High")</f>
        <v>Normal</v>
      </c>
      <c r="Q176" s="3" t="str">
        <f>_xlfn.IFS('Data set'!$D176&lt;=18.5,"Low",'Data set'!$D176&lt;=24.9,"Normal",'Data set'!$D176&lt;=29.9,"High",'Data set'!$D176&gt;29.9,"Very High")</f>
        <v>Very High</v>
      </c>
    </row>
    <row r="177" spans="1:17" x14ac:dyDescent="0.25">
      <c r="A177" s="5">
        <v>44</v>
      </c>
      <c r="B177" s="5" t="s">
        <v>0</v>
      </c>
      <c r="C177" s="6">
        <v>235.01</v>
      </c>
      <c r="D177" s="6">
        <v>18.91</v>
      </c>
      <c r="E177" s="5" t="s">
        <v>1</v>
      </c>
      <c r="F177" s="5">
        <v>253</v>
      </c>
      <c r="G177" s="5" t="s">
        <v>178</v>
      </c>
      <c r="H177" s="6">
        <v>8.99</v>
      </c>
      <c r="I177" s="5">
        <v>6</v>
      </c>
      <c r="J177" s="5" t="s">
        <v>3</v>
      </c>
      <c r="K177" s="5" t="s">
        <v>3</v>
      </c>
      <c r="L177" s="5">
        <v>125</v>
      </c>
      <c r="M177" s="5">
        <v>62</v>
      </c>
      <c r="N177" s="5" t="s">
        <v>23</v>
      </c>
      <c r="O177" s="5" t="str">
        <f>_xlfn.IFS('Data set'!$H177&lt;5.7,"Normal",'Data set'!$H177&lt;=6.4,"Prediabetes",'Data set'!$H177&lt;=7.5,"Diabetes",'Data set'!$H177&gt;=7.5,"Uncontrolled")</f>
        <v>Uncontrolled</v>
      </c>
      <c r="P177" s="5" t="str">
        <f>_xlfn.IFS('Data set'!$F177&lt;120,"Low",'Data set'!$F177&lt;=200,"Normal",'Data set'!$F177&lt;=240,"Boarderline",'Data set'!$F177&gt;=241,"High")</f>
        <v>High</v>
      </c>
      <c r="Q177" s="5" t="str">
        <f>_xlfn.IFS('Data set'!$D177&lt;=18.5,"Low",'Data set'!$D177&lt;=24.9,"Normal",'Data set'!$D177&lt;=29.9,"High",'Data set'!$D177&gt;29.9,"Very High")</f>
        <v>Normal</v>
      </c>
    </row>
    <row r="178" spans="1:17" x14ac:dyDescent="0.25">
      <c r="A178" s="3">
        <v>18</v>
      </c>
      <c r="B178" s="3" t="s">
        <v>9</v>
      </c>
      <c r="C178" s="4">
        <v>245.02</v>
      </c>
      <c r="D178" s="4">
        <v>33.619999999999997</v>
      </c>
      <c r="E178" s="3" t="s">
        <v>10</v>
      </c>
      <c r="F178" s="3">
        <v>108</v>
      </c>
      <c r="G178" s="3" t="s">
        <v>179</v>
      </c>
      <c r="H178" s="4">
        <v>7.73</v>
      </c>
      <c r="I178" s="3">
        <v>7</v>
      </c>
      <c r="J178" s="3" t="s">
        <v>3</v>
      </c>
      <c r="K178" s="3" t="s">
        <v>3</v>
      </c>
      <c r="L178" s="3">
        <v>127</v>
      </c>
      <c r="M178" s="3">
        <v>78</v>
      </c>
      <c r="N178" s="3" t="s">
        <v>17</v>
      </c>
      <c r="O178" s="3" t="str">
        <f>_xlfn.IFS('Data set'!$H178&lt;5.7,"Normal",'Data set'!$H178&lt;=6.4,"Prediabetes",'Data set'!$H178&lt;=7.5,"Diabetes",'Data set'!$H178&gt;=7.5,"Uncontrolled")</f>
        <v>Uncontrolled</v>
      </c>
      <c r="P178" s="3" t="str">
        <f>_xlfn.IFS('Data set'!$F178&lt;120,"Low",'Data set'!$F178&lt;=200,"Normal",'Data set'!$F178&lt;=240,"Boarderline",'Data set'!$F178&gt;=241,"High")</f>
        <v>Low</v>
      </c>
      <c r="Q178" s="3" t="str">
        <f>_xlfn.IFS('Data set'!$D178&lt;=18.5,"Low",'Data set'!$D178&lt;=24.9,"Normal",'Data set'!$D178&lt;=29.9,"High",'Data set'!$D178&gt;29.9,"Very High")</f>
        <v>Very High</v>
      </c>
    </row>
    <row r="179" spans="1:17" x14ac:dyDescent="0.25">
      <c r="A179" s="5">
        <v>23</v>
      </c>
      <c r="B179" s="5" t="s">
        <v>0</v>
      </c>
      <c r="C179" s="6">
        <v>279.99</v>
      </c>
      <c r="D179" s="6">
        <v>22.77</v>
      </c>
      <c r="E179" s="5" t="s">
        <v>6</v>
      </c>
      <c r="F179" s="5">
        <v>126</v>
      </c>
      <c r="G179" s="5" t="s">
        <v>18</v>
      </c>
      <c r="H179" s="6">
        <v>8.8800000000000008</v>
      </c>
      <c r="I179" s="5">
        <v>5</v>
      </c>
      <c r="J179" s="5" t="s">
        <v>4</v>
      </c>
      <c r="K179" s="5" t="s">
        <v>3</v>
      </c>
      <c r="L179" s="5">
        <v>119</v>
      </c>
      <c r="M179" s="5">
        <v>70</v>
      </c>
      <c r="N179" s="5" t="s">
        <v>17</v>
      </c>
      <c r="O179" s="5" t="str">
        <f>_xlfn.IFS('Data set'!$H179&lt;5.7,"Normal",'Data set'!$H179&lt;=6.4,"Prediabetes",'Data set'!$H179&lt;=7.5,"Diabetes",'Data set'!$H179&gt;=7.5,"Uncontrolled")</f>
        <v>Uncontrolled</v>
      </c>
      <c r="P179" s="5" t="str">
        <f>_xlfn.IFS('Data set'!$F179&lt;120,"Low",'Data set'!$F179&lt;=200,"Normal",'Data set'!$F179&lt;=240,"Boarderline",'Data set'!$F179&gt;=241,"High")</f>
        <v>Normal</v>
      </c>
      <c r="Q179" s="5" t="str">
        <f>_xlfn.IFS('Data set'!$D179&lt;=18.5,"Low",'Data set'!$D179&lt;=24.9,"Normal",'Data set'!$D179&lt;=29.9,"High",'Data set'!$D179&gt;29.9,"Very High")</f>
        <v>Normal</v>
      </c>
    </row>
    <row r="180" spans="1:17" x14ac:dyDescent="0.25">
      <c r="A180" s="3">
        <v>74</v>
      </c>
      <c r="B180" s="3" t="s">
        <v>0</v>
      </c>
      <c r="C180" s="4">
        <v>123.19</v>
      </c>
      <c r="D180" s="4">
        <v>35.19</v>
      </c>
      <c r="E180" s="3" t="s">
        <v>1</v>
      </c>
      <c r="F180" s="3">
        <v>279</v>
      </c>
      <c r="G180" s="3" t="s">
        <v>86</v>
      </c>
      <c r="H180" s="4">
        <v>6.25</v>
      </c>
      <c r="I180" s="3">
        <v>7</v>
      </c>
      <c r="J180" s="3" t="s">
        <v>4</v>
      </c>
      <c r="K180" s="3" t="s">
        <v>4</v>
      </c>
      <c r="L180" s="3">
        <v>97</v>
      </c>
      <c r="M180" s="3">
        <v>60</v>
      </c>
      <c r="N180" s="3" t="s">
        <v>5</v>
      </c>
      <c r="O180" s="3" t="str">
        <f>_xlfn.IFS('Data set'!$H180&lt;5.7,"Normal",'Data set'!$H180&lt;=6.4,"Prediabetes",'Data set'!$H180&lt;=7.5,"Diabetes",'Data set'!$H180&gt;=7.5,"Uncontrolled")</f>
        <v>Prediabetes</v>
      </c>
      <c r="P180" s="3" t="str">
        <f>_xlfn.IFS('Data set'!$F180&lt;120,"Low",'Data set'!$F180&lt;=200,"Normal",'Data set'!$F180&lt;=240,"Boarderline",'Data set'!$F180&gt;=241,"High")</f>
        <v>High</v>
      </c>
      <c r="Q180" s="3" t="str">
        <f>_xlfn.IFS('Data set'!$D180&lt;=18.5,"Low",'Data set'!$D180&lt;=24.9,"Normal",'Data set'!$D180&lt;=29.9,"High",'Data set'!$D180&gt;29.9,"Very High")</f>
        <v>Very High</v>
      </c>
    </row>
    <row r="181" spans="1:17" x14ac:dyDescent="0.25">
      <c r="A181" s="5">
        <v>26</v>
      </c>
      <c r="B181" s="5" t="s">
        <v>9</v>
      </c>
      <c r="C181" s="6">
        <v>285.20999999999998</v>
      </c>
      <c r="D181" s="6">
        <v>25.42</v>
      </c>
      <c r="E181" s="5" t="s">
        <v>14</v>
      </c>
      <c r="F181" s="5">
        <v>267</v>
      </c>
      <c r="G181" s="5" t="s">
        <v>136</v>
      </c>
      <c r="H181" s="6">
        <v>4.24</v>
      </c>
      <c r="I181" s="5">
        <v>7</v>
      </c>
      <c r="J181" s="5" t="s">
        <v>3</v>
      </c>
      <c r="K181" s="5" t="s">
        <v>3</v>
      </c>
      <c r="L181" s="5">
        <v>109</v>
      </c>
      <c r="M181" s="5">
        <v>83</v>
      </c>
      <c r="N181" s="5" t="s">
        <v>17</v>
      </c>
      <c r="O181" s="5" t="str">
        <f>_xlfn.IFS('Data set'!$H181&lt;5.7,"Normal",'Data set'!$H181&lt;=6.4,"Prediabetes",'Data set'!$H181&lt;=7.5,"Diabetes",'Data set'!$H181&gt;=7.5,"Uncontrolled")</f>
        <v>Normal</v>
      </c>
      <c r="P181" s="5" t="str">
        <f>_xlfn.IFS('Data set'!$F181&lt;120,"Low",'Data set'!$F181&lt;=200,"Normal",'Data set'!$F181&lt;=240,"Boarderline",'Data set'!$F181&gt;=241,"High")</f>
        <v>High</v>
      </c>
      <c r="Q181" s="5" t="str">
        <f>_xlfn.IFS('Data set'!$D181&lt;=18.5,"Low",'Data set'!$D181&lt;=24.9,"Normal",'Data set'!$D181&lt;=29.9,"High",'Data set'!$D181&gt;29.9,"Very High")</f>
        <v>High</v>
      </c>
    </row>
    <row r="182" spans="1:17" x14ac:dyDescent="0.25">
      <c r="A182" s="3">
        <v>56</v>
      </c>
      <c r="B182" s="3" t="s">
        <v>0</v>
      </c>
      <c r="C182" s="4">
        <v>210.54</v>
      </c>
      <c r="D182" s="4">
        <v>23.92</v>
      </c>
      <c r="E182" s="3" t="s">
        <v>1</v>
      </c>
      <c r="F182" s="3">
        <v>181</v>
      </c>
      <c r="G182" s="3" t="s">
        <v>180</v>
      </c>
      <c r="H182" s="4">
        <v>4.4400000000000004</v>
      </c>
      <c r="I182" s="3">
        <v>7</v>
      </c>
      <c r="J182" s="3" t="s">
        <v>3</v>
      </c>
      <c r="K182" s="3" t="s">
        <v>4</v>
      </c>
      <c r="L182" s="3">
        <v>93</v>
      </c>
      <c r="M182" s="3">
        <v>64</v>
      </c>
      <c r="N182" s="3" t="s">
        <v>8</v>
      </c>
      <c r="O182" s="3" t="str">
        <f>_xlfn.IFS('Data set'!$H182&lt;5.7,"Normal",'Data set'!$H182&lt;=6.4,"Prediabetes",'Data set'!$H182&lt;=7.5,"Diabetes",'Data set'!$H182&gt;=7.5,"Uncontrolled")</f>
        <v>Normal</v>
      </c>
      <c r="P182" s="3" t="str">
        <f>_xlfn.IFS('Data set'!$F182&lt;120,"Low",'Data set'!$F182&lt;=200,"Normal",'Data set'!$F182&lt;=240,"Boarderline",'Data set'!$F182&gt;=241,"High")</f>
        <v>Normal</v>
      </c>
      <c r="Q182" s="3" t="str">
        <f>_xlfn.IFS('Data set'!$D182&lt;=18.5,"Low",'Data set'!$D182&lt;=24.9,"Normal",'Data set'!$D182&lt;=29.9,"High",'Data set'!$D182&gt;29.9,"Very High")</f>
        <v>Normal</v>
      </c>
    </row>
    <row r="183" spans="1:17" x14ac:dyDescent="0.25">
      <c r="A183" s="5">
        <v>44</v>
      </c>
      <c r="B183" s="5" t="s">
        <v>0</v>
      </c>
      <c r="C183" s="6">
        <v>95.55</v>
      </c>
      <c r="D183" s="6">
        <v>39.450000000000003</v>
      </c>
      <c r="E183" s="5" t="s">
        <v>14</v>
      </c>
      <c r="F183" s="5">
        <v>159</v>
      </c>
      <c r="G183" s="5" t="s">
        <v>181</v>
      </c>
      <c r="H183" s="6">
        <v>6.46</v>
      </c>
      <c r="I183" s="5">
        <v>2</v>
      </c>
      <c r="J183" s="5" t="s">
        <v>4</v>
      </c>
      <c r="K183" s="5" t="s">
        <v>3</v>
      </c>
      <c r="L183" s="5">
        <v>104</v>
      </c>
      <c r="M183" s="5">
        <v>79</v>
      </c>
      <c r="N183" s="5" t="s">
        <v>23</v>
      </c>
      <c r="O183" s="5" t="str">
        <f>_xlfn.IFS('Data set'!$H183&lt;5.7,"Normal",'Data set'!$H183&lt;=6.4,"Prediabetes",'Data set'!$H183&lt;=7.5,"Diabetes",'Data set'!$H183&gt;=7.5,"Uncontrolled")</f>
        <v>Diabetes</v>
      </c>
      <c r="P183" s="5" t="str">
        <f>_xlfn.IFS('Data set'!$F183&lt;120,"Low",'Data set'!$F183&lt;=200,"Normal",'Data set'!$F183&lt;=240,"Boarderline",'Data set'!$F183&gt;=241,"High")</f>
        <v>Normal</v>
      </c>
      <c r="Q183" s="5" t="str">
        <f>_xlfn.IFS('Data set'!$D183&lt;=18.5,"Low",'Data set'!$D183&lt;=24.9,"Normal",'Data set'!$D183&lt;=29.9,"High",'Data set'!$D183&gt;29.9,"Very High")</f>
        <v>Very High</v>
      </c>
    </row>
    <row r="184" spans="1:17" x14ac:dyDescent="0.25">
      <c r="A184" s="3">
        <v>37</v>
      </c>
      <c r="B184" s="3" t="s">
        <v>0</v>
      </c>
      <c r="C184" s="4">
        <v>105.29</v>
      </c>
      <c r="D184" s="4">
        <v>20.57</v>
      </c>
      <c r="E184" s="3" t="s">
        <v>14</v>
      </c>
      <c r="F184" s="3">
        <v>114</v>
      </c>
      <c r="G184" s="3" t="s">
        <v>182</v>
      </c>
      <c r="H184" s="4">
        <v>5.69</v>
      </c>
      <c r="I184" s="3">
        <v>0</v>
      </c>
      <c r="J184" s="3" t="s">
        <v>4</v>
      </c>
      <c r="K184" s="3" t="s">
        <v>4</v>
      </c>
      <c r="L184" s="3">
        <v>101</v>
      </c>
      <c r="M184" s="3">
        <v>82</v>
      </c>
      <c r="N184" s="3" t="s">
        <v>12</v>
      </c>
      <c r="O184" s="3" t="str">
        <f>_xlfn.IFS('Data set'!$H184&lt;5.7,"Normal",'Data set'!$H184&lt;=6.4,"Prediabetes",'Data set'!$H184&lt;=7.5,"Diabetes",'Data set'!$H184&gt;=7.5,"Uncontrolled")</f>
        <v>Normal</v>
      </c>
      <c r="P184" s="3" t="str">
        <f>_xlfn.IFS('Data set'!$F184&lt;120,"Low",'Data set'!$F184&lt;=200,"Normal",'Data set'!$F184&lt;=240,"Boarderline",'Data set'!$F184&gt;=241,"High")</f>
        <v>Low</v>
      </c>
      <c r="Q184" s="3" t="str">
        <f>_xlfn.IFS('Data set'!$D184&lt;=18.5,"Low",'Data set'!$D184&lt;=24.9,"Normal",'Data set'!$D184&lt;=29.9,"High",'Data set'!$D184&gt;29.9,"Very High")</f>
        <v>Normal</v>
      </c>
    </row>
    <row r="185" spans="1:17" x14ac:dyDescent="0.25">
      <c r="A185" s="5">
        <v>52</v>
      </c>
      <c r="B185" s="5" t="s">
        <v>0</v>
      </c>
      <c r="C185" s="6">
        <v>297.36</v>
      </c>
      <c r="D185" s="6">
        <v>18.22</v>
      </c>
      <c r="E185" s="5" t="s">
        <v>6</v>
      </c>
      <c r="F185" s="5">
        <v>191</v>
      </c>
      <c r="G185" s="5" t="s">
        <v>183</v>
      </c>
      <c r="H185" s="6">
        <v>5.33</v>
      </c>
      <c r="I185" s="5">
        <v>0</v>
      </c>
      <c r="J185" s="5" t="s">
        <v>4</v>
      </c>
      <c r="K185" s="5" t="s">
        <v>3</v>
      </c>
      <c r="L185" s="5">
        <v>130</v>
      </c>
      <c r="M185" s="5">
        <v>84</v>
      </c>
      <c r="N185" s="5" t="s">
        <v>8</v>
      </c>
      <c r="O185" s="5" t="str">
        <f>_xlfn.IFS('Data set'!$H185&lt;5.7,"Normal",'Data set'!$H185&lt;=6.4,"Prediabetes",'Data set'!$H185&lt;=7.5,"Diabetes",'Data set'!$H185&gt;=7.5,"Uncontrolled")</f>
        <v>Normal</v>
      </c>
      <c r="P185" s="5" t="str">
        <f>_xlfn.IFS('Data set'!$F185&lt;120,"Low",'Data set'!$F185&lt;=200,"Normal",'Data set'!$F185&lt;=240,"Boarderline",'Data set'!$F185&gt;=241,"High")</f>
        <v>Normal</v>
      </c>
      <c r="Q185" s="5" t="str">
        <f>_xlfn.IFS('Data set'!$D185&lt;=18.5,"Low",'Data set'!$D185&lt;=24.9,"Normal",'Data set'!$D185&lt;=29.9,"High",'Data set'!$D185&gt;29.9,"Very High")</f>
        <v>Low</v>
      </c>
    </row>
    <row r="186" spans="1:17" x14ac:dyDescent="0.25">
      <c r="A186" s="3">
        <v>60</v>
      </c>
      <c r="B186" s="3" t="s">
        <v>0</v>
      </c>
      <c r="C186" s="4">
        <v>226.25</v>
      </c>
      <c r="D186" s="4">
        <v>28.41</v>
      </c>
      <c r="E186" s="3" t="s">
        <v>6</v>
      </c>
      <c r="F186" s="3">
        <v>289</v>
      </c>
      <c r="G186" s="3" t="s">
        <v>184</v>
      </c>
      <c r="H186" s="4">
        <v>7.63</v>
      </c>
      <c r="I186" s="3">
        <v>6</v>
      </c>
      <c r="J186" s="3" t="s">
        <v>3</v>
      </c>
      <c r="K186" s="3" t="s">
        <v>4</v>
      </c>
      <c r="L186" s="3">
        <v>106</v>
      </c>
      <c r="M186" s="3">
        <v>68</v>
      </c>
      <c r="N186" s="3" t="s">
        <v>8</v>
      </c>
      <c r="O186" s="3" t="str">
        <f>_xlfn.IFS('Data set'!$H186&lt;5.7,"Normal",'Data set'!$H186&lt;=6.4,"Prediabetes",'Data set'!$H186&lt;=7.5,"Diabetes",'Data set'!$H186&gt;=7.5,"Uncontrolled")</f>
        <v>Uncontrolled</v>
      </c>
      <c r="P186" s="3" t="str">
        <f>_xlfn.IFS('Data set'!$F186&lt;120,"Low",'Data set'!$F186&lt;=200,"Normal",'Data set'!$F186&lt;=240,"Boarderline",'Data set'!$F186&gt;=241,"High")</f>
        <v>High</v>
      </c>
      <c r="Q186" s="3" t="str">
        <f>_xlfn.IFS('Data set'!$D186&lt;=18.5,"Low",'Data set'!$D186&lt;=24.9,"Normal",'Data set'!$D186&lt;=29.9,"High",'Data set'!$D186&gt;29.9,"Very High")</f>
        <v>High</v>
      </c>
    </row>
    <row r="187" spans="1:17" x14ac:dyDescent="0.25">
      <c r="A187" s="5">
        <v>46</v>
      </c>
      <c r="B187" s="5" t="s">
        <v>9</v>
      </c>
      <c r="C187" s="6">
        <v>115.52</v>
      </c>
      <c r="D187" s="6">
        <v>21.4</v>
      </c>
      <c r="E187" s="5" t="s">
        <v>6</v>
      </c>
      <c r="F187" s="5">
        <v>212</v>
      </c>
      <c r="G187" s="5" t="s">
        <v>171</v>
      </c>
      <c r="H187" s="6">
        <v>9.41</v>
      </c>
      <c r="I187" s="5">
        <v>1</v>
      </c>
      <c r="J187" s="5" t="s">
        <v>4</v>
      </c>
      <c r="K187" s="5" t="s">
        <v>3</v>
      </c>
      <c r="L187" s="5">
        <v>120</v>
      </c>
      <c r="M187" s="5">
        <v>71</v>
      </c>
      <c r="N187" s="5" t="s">
        <v>23</v>
      </c>
      <c r="O187" s="5" t="str">
        <f>_xlfn.IFS('Data set'!$H187&lt;5.7,"Normal",'Data set'!$H187&lt;=6.4,"Prediabetes",'Data set'!$H187&lt;=7.5,"Diabetes",'Data set'!$H187&gt;=7.5,"Uncontrolled")</f>
        <v>Uncontrolled</v>
      </c>
      <c r="P187" s="5" t="str">
        <f>_xlfn.IFS('Data set'!$F187&lt;120,"Low",'Data set'!$F187&lt;=200,"Normal",'Data set'!$F187&lt;=240,"Boarderline",'Data set'!$F187&gt;=241,"High")</f>
        <v>Boarderline</v>
      </c>
      <c r="Q187" s="5" t="str">
        <f>_xlfn.IFS('Data set'!$D187&lt;=18.5,"Low",'Data set'!$D187&lt;=24.9,"Normal",'Data set'!$D187&lt;=29.9,"High",'Data set'!$D187&gt;29.9,"Very High")</f>
        <v>Normal</v>
      </c>
    </row>
    <row r="188" spans="1:17" x14ac:dyDescent="0.25">
      <c r="A188" s="3">
        <v>66</v>
      </c>
      <c r="B188" s="3" t="s">
        <v>0</v>
      </c>
      <c r="C188" s="4">
        <v>144.84</v>
      </c>
      <c r="D188" s="4">
        <v>23.16</v>
      </c>
      <c r="E188" s="3" t="s">
        <v>14</v>
      </c>
      <c r="F188" s="3">
        <v>171</v>
      </c>
      <c r="G188" s="3" t="s">
        <v>185</v>
      </c>
      <c r="H188" s="4">
        <v>8.7799999999999994</v>
      </c>
      <c r="I188" s="3">
        <v>7</v>
      </c>
      <c r="J188" s="3" t="s">
        <v>3</v>
      </c>
      <c r="K188" s="3" t="s">
        <v>3</v>
      </c>
      <c r="L188" s="3">
        <v>128</v>
      </c>
      <c r="M188" s="3">
        <v>76</v>
      </c>
      <c r="N188" s="3" t="s">
        <v>21</v>
      </c>
      <c r="O188" s="3" t="str">
        <f>_xlfn.IFS('Data set'!$H188&lt;5.7,"Normal",'Data set'!$H188&lt;=6.4,"Prediabetes",'Data set'!$H188&lt;=7.5,"Diabetes",'Data set'!$H188&gt;=7.5,"Uncontrolled")</f>
        <v>Uncontrolled</v>
      </c>
      <c r="P188" s="3" t="str">
        <f>_xlfn.IFS('Data set'!$F188&lt;120,"Low",'Data set'!$F188&lt;=200,"Normal",'Data set'!$F188&lt;=240,"Boarderline",'Data set'!$F188&gt;=241,"High")</f>
        <v>Normal</v>
      </c>
      <c r="Q188" s="3" t="str">
        <f>_xlfn.IFS('Data set'!$D188&lt;=18.5,"Low",'Data set'!$D188&lt;=24.9,"Normal",'Data set'!$D188&lt;=29.9,"High",'Data set'!$D188&gt;29.9,"Very High")</f>
        <v>Normal</v>
      </c>
    </row>
    <row r="189" spans="1:17" x14ac:dyDescent="0.25">
      <c r="A189" s="5">
        <v>52</v>
      </c>
      <c r="B189" s="5" t="s">
        <v>9</v>
      </c>
      <c r="C189" s="6">
        <v>259.58</v>
      </c>
      <c r="D189" s="6">
        <v>24.96</v>
      </c>
      <c r="E189" s="5" t="s">
        <v>1</v>
      </c>
      <c r="F189" s="5">
        <v>276</v>
      </c>
      <c r="G189" s="5" t="s">
        <v>186</v>
      </c>
      <c r="H189" s="6">
        <v>6.31</v>
      </c>
      <c r="I189" s="5">
        <v>0</v>
      </c>
      <c r="J189" s="5" t="s">
        <v>4</v>
      </c>
      <c r="K189" s="5" t="s">
        <v>3</v>
      </c>
      <c r="L189" s="5">
        <v>116</v>
      </c>
      <c r="M189" s="5">
        <v>83</v>
      </c>
      <c r="N189" s="5" t="s">
        <v>8</v>
      </c>
      <c r="O189" s="5" t="str">
        <f>_xlfn.IFS('Data set'!$H189&lt;5.7,"Normal",'Data set'!$H189&lt;=6.4,"Prediabetes",'Data set'!$H189&lt;=7.5,"Diabetes",'Data set'!$H189&gt;=7.5,"Uncontrolled")</f>
        <v>Prediabetes</v>
      </c>
      <c r="P189" s="5" t="str">
        <f>_xlfn.IFS('Data set'!$F189&lt;120,"Low",'Data set'!$F189&lt;=200,"Normal",'Data set'!$F189&lt;=240,"Boarderline",'Data set'!$F189&gt;=241,"High")</f>
        <v>High</v>
      </c>
      <c r="Q189" s="5" t="str">
        <f>_xlfn.IFS('Data set'!$D189&lt;=18.5,"Low",'Data set'!$D189&lt;=24.9,"Normal",'Data set'!$D189&lt;=29.9,"High",'Data set'!$D189&gt;29.9,"Very High")</f>
        <v>High</v>
      </c>
    </row>
    <row r="190" spans="1:17" x14ac:dyDescent="0.25">
      <c r="A190" s="3">
        <v>27</v>
      </c>
      <c r="B190" s="3" t="s">
        <v>9</v>
      </c>
      <c r="C190" s="4">
        <v>283.86</v>
      </c>
      <c r="D190" s="4">
        <v>32.28</v>
      </c>
      <c r="E190" s="3" t="s">
        <v>14</v>
      </c>
      <c r="F190" s="3">
        <v>219</v>
      </c>
      <c r="G190" s="3" t="s">
        <v>187</v>
      </c>
      <c r="H190" s="4">
        <v>9.57</v>
      </c>
      <c r="I190" s="3">
        <v>6</v>
      </c>
      <c r="J190" s="3" t="s">
        <v>4</v>
      </c>
      <c r="K190" s="3" t="s">
        <v>4</v>
      </c>
      <c r="L190" s="3">
        <v>104</v>
      </c>
      <c r="M190" s="3">
        <v>75</v>
      </c>
      <c r="N190" s="3" t="s">
        <v>17</v>
      </c>
      <c r="O190" s="3" t="str">
        <f>_xlfn.IFS('Data set'!$H190&lt;5.7,"Normal",'Data set'!$H190&lt;=6.4,"Prediabetes",'Data set'!$H190&lt;=7.5,"Diabetes",'Data set'!$H190&gt;=7.5,"Uncontrolled")</f>
        <v>Uncontrolled</v>
      </c>
      <c r="P190" s="3" t="str">
        <f>_xlfn.IFS('Data set'!$F190&lt;120,"Low",'Data set'!$F190&lt;=200,"Normal",'Data set'!$F190&lt;=240,"Boarderline",'Data set'!$F190&gt;=241,"High")</f>
        <v>Boarderline</v>
      </c>
      <c r="Q190" s="3" t="str">
        <f>_xlfn.IFS('Data set'!$D190&lt;=18.5,"Low",'Data set'!$D190&lt;=24.9,"Normal",'Data set'!$D190&lt;=29.9,"High",'Data set'!$D190&gt;29.9,"Very High")</f>
        <v>Very High</v>
      </c>
    </row>
    <row r="191" spans="1:17" x14ac:dyDescent="0.25">
      <c r="A191" s="5">
        <v>22</v>
      </c>
      <c r="B191" s="5" t="s">
        <v>0</v>
      </c>
      <c r="C191" s="6">
        <v>165.42</v>
      </c>
      <c r="D191" s="6">
        <v>19.82</v>
      </c>
      <c r="E191" s="5" t="s">
        <v>10</v>
      </c>
      <c r="F191" s="5">
        <v>242</v>
      </c>
      <c r="G191" s="5" t="s">
        <v>188</v>
      </c>
      <c r="H191" s="6">
        <v>5.26</v>
      </c>
      <c r="I191" s="5">
        <v>1</v>
      </c>
      <c r="J191" s="5" t="s">
        <v>4</v>
      </c>
      <c r="K191" s="5" t="s">
        <v>3</v>
      </c>
      <c r="L191" s="5">
        <v>96</v>
      </c>
      <c r="M191" s="5">
        <v>64</v>
      </c>
      <c r="N191" s="5" t="s">
        <v>17</v>
      </c>
      <c r="O191" s="5" t="str">
        <f>_xlfn.IFS('Data set'!$H191&lt;5.7,"Normal",'Data set'!$H191&lt;=6.4,"Prediabetes",'Data set'!$H191&lt;=7.5,"Diabetes",'Data set'!$H191&gt;=7.5,"Uncontrolled")</f>
        <v>Normal</v>
      </c>
      <c r="P191" s="5" t="str">
        <f>_xlfn.IFS('Data set'!$F191&lt;120,"Low",'Data set'!$F191&lt;=200,"Normal",'Data set'!$F191&lt;=240,"Boarderline",'Data set'!$F191&gt;=241,"High")</f>
        <v>High</v>
      </c>
      <c r="Q191" s="5" t="str">
        <f>_xlfn.IFS('Data set'!$D191&lt;=18.5,"Low",'Data set'!$D191&lt;=24.9,"Normal",'Data set'!$D191&lt;=29.9,"High",'Data set'!$D191&gt;29.9,"Very High")</f>
        <v>Normal</v>
      </c>
    </row>
    <row r="192" spans="1:17" x14ac:dyDescent="0.25">
      <c r="A192" s="3">
        <v>30</v>
      </c>
      <c r="B192" s="3" t="s">
        <v>9</v>
      </c>
      <c r="C192" s="4">
        <v>81.75</v>
      </c>
      <c r="D192" s="4">
        <v>21.88</v>
      </c>
      <c r="E192" s="3" t="s">
        <v>1</v>
      </c>
      <c r="F192" s="3">
        <v>119</v>
      </c>
      <c r="G192" s="3" t="s">
        <v>189</v>
      </c>
      <c r="H192" s="4">
        <v>6.14</v>
      </c>
      <c r="I192" s="3">
        <v>3</v>
      </c>
      <c r="J192" s="3" t="s">
        <v>4</v>
      </c>
      <c r="K192" s="3" t="s">
        <v>4</v>
      </c>
      <c r="L192" s="3">
        <v>114</v>
      </c>
      <c r="M192" s="3">
        <v>76</v>
      </c>
      <c r="N192" s="3" t="s">
        <v>17</v>
      </c>
      <c r="O192" s="3" t="str">
        <f>_xlfn.IFS('Data set'!$H192&lt;5.7,"Normal",'Data set'!$H192&lt;=6.4,"Prediabetes",'Data set'!$H192&lt;=7.5,"Diabetes",'Data set'!$H192&gt;=7.5,"Uncontrolled")</f>
        <v>Prediabetes</v>
      </c>
      <c r="P192" s="3" t="str">
        <f>_xlfn.IFS('Data set'!$F192&lt;120,"Low",'Data set'!$F192&lt;=200,"Normal",'Data set'!$F192&lt;=240,"Boarderline",'Data set'!$F192&gt;=241,"High")</f>
        <v>Low</v>
      </c>
      <c r="Q192" s="3" t="str">
        <f>_xlfn.IFS('Data set'!$D192&lt;=18.5,"Low",'Data set'!$D192&lt;=24.9,"Normal",'Data set'!$D192&lt;=29.9,"High",'Data set'!$D192&gt;29.9,"Very High")</f>
        <v>Normal</v>
      </c>
    </row>
    <row r="193" spans="1:17" x14ac:dyDescent="0.25">
      <c r="A193" s="5">
        <v>32</v>
      </c>
      <c r="B193" s="5" t="s">
        <v>0</v>
      </c>
      <c r="C193" s="6">
        <v>206.27</v>
      </c>
      <c r="D193" s="6">
        <v>22.4</v>
      </c>
      <c r="E193" s="5" t="s">
        <v>6</v>
      </c>
      <c r="F193" s="5">
        <v>248</v>
      </c>
      <c r="G193" s="5" t="s">
        <v>190</v>
      </c>
      <c r="H193" s="6">
        <v>5.85</v>
      </c>
      <c r="I193" s="5">
        <v>0</v>
      </c>
      <c r="J193" s="5" t="s">
        <v>4</v>
      </c>
      <c r="K193" s="5" t="s">
        <v>4</v>
      </c>
      <c r="L193" s="5">
        <v>110</v>
      </c>
      <c r="M193" s="5">
        <v>63</v>
      </c>
      <c r="N193" s="5" t="s">
        <v>12</v>
      </c>
      <c r="O193" s="5" t="str">
        <f>_xlfn.IFS('Data set'!$H193&lt;5.7,"Normal",'Data set'!$H193&lt;=6.4,"Prediabetes",'Data set'!$H193&lt;=7.5,"Diabetes",'Data set'!$H193&gt;=7.5,"Uncontrolled")</f>
        <v>Prediabetes</v>
      </c>
      <c r="P193" s="5" t="str">
        <f>_xlfn.IFS('Data set'!$F193&lt;120,"Low",'Data set'!$F193&lt;=200,"Normal",'Data set'!$F193&lt;=240,"Boarderline",'Data set'!$F193&gt;=241,"High")</f>
        <v>High</v>
      </c>
      <c r="Q193" s="5" t="str">
        <f>_xlfn.IFS('Data set'!$D193&lt;=18.5,"Low",'Data set'!$D193&lt;=24.9,"Normal",'Data set'!$D193&lt;=29.9,"High",'Data set'!$D193&gt;29.9,"Very High")</f>
        <v>Normal</v>
      </c>
    </row>
    <row r="194" spans="1:17" x14ac:dyDescent="0.25">
      <c r="A194" s="3">
        <v>75</v>
      </c>
      <c r="B194" s="3" t="s">
        <v>0</v>
      </c>
      <c r="C194" s="4">
        <v>211.72</v>
      </c>
      <c r="D194" s="4">
        <v>33.92</v>
      </c>
      <c r="E194" s="3" t="s">
        <v>14</v>
      </c>
      <c r="F194" s="3">
        <v>136</v>
      </c>
      <c r="G194" s="3" t="s">
        <v>87</v>
      </c>
      <c r="H194" s="4">
        <v>8.7799999999999994</v>
      </c>
      <c r="I194" s="3">
        <v>7</v>
      </c>
      <c r="J194" s="3" t="s">
        <v>3</v>
      </c>
      <c r="K194" s="3" t="s">
        <v>4</v>
      </c>
      <c r="L194" s="3">
        <v>96</v>
      </c>
      <c r="M194" s="3">
        <v>68</v>
      </c>
      <c r="N194" s="3" t="s">
        <v>5</v>
      </c>
      <c r="O194" s="3" t="str">
        <f>_xlfn.IFS('Data set'!$H194&lt;5.7,"Normal",'Data set'!$H194&lt;=6.4,"Prediabetes",'Data set'!$H194&lt;=7.5,"Diabetes",'Data set'!$H194&gt;=7.5,"Uncontrolled")</f>
        <v>Uncontrolled</v>
      </c>
      <c r="P194" s="3" t="str">
        <f>_xlfn.IFS('Data set'!$F194&lt;120,"Low",'Data set'!$F194&lt;=200,"Normal",'Data set'!$F194&lt;=240,"Boarderline",'Data set'!$F194&gt;=241,"High")</f>
        <v>Normal</v>
      </c>
      <c r="Q194" s="3" t="str">
        <f>_xlfn.IFS('Data set'!$D194&lt;=18.5,"Low",'Data set'!$D194&lt;=24.9,"Normal",'Data set'!$D194&lt;=29.9,"High",'Data set'!$D194&gt;29.9,"Very High")</f>
        <v>Very High</v>
      </c>
    </row>
    <row r="195" spans="1:17" x14ac:dyDescent="0.25">
      <c r="A195" s="5">
        <v>70</v>
      </c>
      <c r="B195" s="5" t="s">
        <v>9</v>
      </c>
      <c r="C195" s="6">
        <v>149.61000000000001</v>
      </c>
      <c r="D195" s="6">
        <v>33.24</v>
      </c>
      <c r="E195" s="5" t="s">
        <v>14</v>
      </c>
      <c r="F195" s="5">
        <v>245</v>
      </c>
      <c r="G195" s="5" t="s">
        <v>191</v>
      </c>
      <c r="H195" s="6">
        <v>6.96</v>
      </c>
      <c r="I195" s="5">
        <v>1</v>
      </c>
      <c r="J195" s="5" t="s">
        <v>4</v>
      </c>
      <c r="K195" s="5" t="s">
        <v>3</v>
      </c>
      <c r="L195" s="5">
        <v>127</v>
      </c>
      <c r="M195" s="5">
        <v>63</v>
      </c>
      <c r="N195" s="5" t="s">
        <v>21</v>
      </c>
      <c r="O195" s="5" t="str">
        <f>_xlfn.IFS('Data set'!$H195&lt;5.7,"Normal",'Data set'!$H195&lt;=6.4,"Prediabetes",'Data set'!$H195&lt;=7.5,"Diabetes",'Data set'!$H195&gt;=7.5,"Uncontrolled")</f>
        <v>Diabetes</v>
      </c>
      <c r="P195" s="5" t="str">
        <f>_xlfn.IFS('Data set'!$F195&lt;120,"Low",'Data set'!$F195&lt;=200,"Normal",'Data set'!$F195&lt;=240,"Boarderline",'Data set'!$F195&gt;=241,"High")</f>
        <v>High</v>
      </c>
      <c r="Q195" s="5" t="str">
        <f>_xlfn.IFS('Data set'!$D195&lt;=18.5,"Low",'Data set'!$D195&lt;=24.9,"Normal",'Data set'!$D195&lt;=29.9,"High",'Data set'!$D195&gt;29.9,"Very High")</f>
        <v>Very High</v>
      </c>
    </row>
    <row r="196" spans="1:17" x14ac:dyDescent="0.25">
      <c r="A196" s="3">
        <v>42</v>
      </c>
      <c r="B196" s="3" t="s">
        <v>9</v>
      </c>
      <c r="C196" s="4">
        <v>94.17</v>
      </c>
      <c r="D196" s="4">
        <v>38.049999999999997</v>
      </c>
      <c r="E196" s="3" t="s">
        <v>6</v>
      </c>
      <c r="F196" s="3">
        <v>223</v>
      </c>
      <c r="G196" s="3" t="s">
        <v>192</v>
      </c>
      <c r="H196" s="4">
        <v>4.63</v>
      </c>
      <c r="I196" s="3">
        <v>2</v>
      </c>
      <c r="J196" s="3" t="s">
        <v>4</v>
      </c>
      <c r="K196" s="3" t="s">
        <v>3</v>
      </c>
      <c r="L196" s="3">
        <v>105</v>
      </c>
      <c r="M196" s="3">
        <v>81</v>
      </c>
      <c r="N196" s="3" t="s">
        <v>23</v>
      </c>
      <c r="O196" s="3" t="str">
        <f>_xlfn.IFS('Data set'!$H196&lt;5.7,"Normal",'Data set'!$H196&lt;=6.4,"Prediabetes",'Data set'!$H196&lt;=7.5,"Diabetes",'Data set'!$H196&gt;=7.5,"Uncontrolled")</f>
        <v>Normal</v>
      </c>
      <c r="P196" s="3" t="str">
        <f>_xlfn.IFS('Data set'!$F196&lt;120,"Low",'Data set'!$F196&lt;=200,"Normal",'Data set'!$F196&lt;=240,"Boarderline",'Data set'!$F196&gt;=241,"High")</f>
        <v>Boarderline</v>
      </c>
      <c r="Q196" s="3" t="str">
        <f>_xlfn.IFS('Data set'!$D196&lt;=18.5,"Low",'Data set'!$D196&lt;=24.9,"Normal",'Data set'!$D196&lt;=29.9,"High",'Data set'!$D196&gt;29.9,"Very High")</f>
        <v>Very High</v>
      </c>
    </row>
    <row r="197" spans="1:17" x14ac:dyDescent="0.25">
      <c r="A197" s="5">
        <v>30</v>
      </c>
      <c r="B197" s="5" t="s">
        <v>0</v>
      </c>
      <c r="C197" s="6">
        <v>260.27999999999997</v>
      </c>
      <c r="D197" s="6">
        <v>27.32</v>
      </c>
      <c r="E197" s="5" t="s">
        <v>14</v>
      </c>
      <c r="F197" s="5">
        <v>297</v>
      </c>
      <c r="G197" s="5" t="s">
        <v>193</v>
      </c>
      <c r="H197" s="6">
        <v>4.4800000000000004</v>
      </c>
      <c r="I197" s="5">
        <v>6</v>
      </c>
      <c r="J197" s="5" t="s">
        <v>3</v>
      </c>
      <c r="K197" s="5" t="s">
        <v>4</v>
      </c>
      <c r="L197" s="5">
        <v>92</v>
      </c>
      <c r="M197" s="5">
        <v>90</v>
      </c>
      <c r="N197" s="5" t="s">
        <v>17</v>
      </c>
      <c r="O197" s="5" t="str">
        <f>_xlfn.IFS('Data set'!$H197&lt;5.7,"Normal",'Data set'!$H197&lt;=6.4,"Prediabetes",'Data set'!$H197&lt;=7.5,"Diabetes",'Data set'!$H197&gt;=7.5,"Uncontrolled")</f>
        <v>Normal</v>
      </c>
      <c r="P197" s="5" t="str">
        <f>_xlfn.IFS('Data set'!$F197&lt;120,"Low",'Data set'!$F197&lt;=200,"Normal",'Data set'!$F197&lt;=240,"Boarderline",'Data set'!$F197&gt;=241,"High")</f>
        <v>High</v>
      </c>
      <c r="Q197" s="5" t="str">
        <f>_xlfn.IFS('Data set'!$D197&lt;=18.5,"Low",'Data set'!$D197&lt;=24.9,"Normal",'Data set'!$D197&lt;=29.9,"High",'Data set'!$D197&gt;29.9,"Very High")</f>
        <v>High</v>
      </c>
    </row>
    <row r="198" spans="1:17" x14ac:dyDescent="0.25">
      <c r="A198" s="3">
        <v>33</v>
      </c>
      <c r="B198" s="3" t="s">
        <v>0</v>
      </c>
      <c r="C198" s="4">
        <v>288.38</v>
      </c>
      <c r="D198" s="4">
        <v>27.94</v>
      </c>
      <c r="E198" s="3" t="s">
        <v>6</v>
      </c>
      <c r="F198" s="3">
        <v>121</v>
      </c>
      <c r="G198" s="3" t="s">
        <v>194</v>
      </c>
      <c r="H198" s="4">
        <v>4.49</v>
      </c>
      <c r="I198" s="3">
        <v>0</v>
      </c>
      <c r="J198" s="3" t="s">
        <v>4</v>
      </c>
      <c r="K198" s="3" t="s">
        <v>4</v>
      </c>
      <c r="L198" s="3">
        <v>115</v>
      </c>
      <c r="M198" s="3">
        <v>63</v>
      </c>
      <c r="N198" s="3" t="s">
        <v>12</v>
      </c>
      <c r="O198" s="3" t="str">
        <f>_xlfn.IFS('Data set'!$H198&lt;5.7,"Normal",'Data set'!$H198&lt;=6.4,"Prediabetes",'Data set'!$H198&lt;=7.5,"Diabetes",'Data set'!$H198&gt;=7.5,"Uncontrolled")</f>
        <v>Normal</v>
      </c>
      <c r="P198" s="3" t="str">
        <f>_xlfn.IFS('Data set'!$F198&lt;120,"Low",'Data set'!$F198&lt;=200,"Normal",'Data set'!$F198&lt;=240,"Boarderline",'Data set'!$F198&gt;=241,"High")</f>
        <v>Normal</v>
      </c>
      <c r="Q198" s="3" t="str">
        <f>_xlfn.IFS('Data set'!$D198&lt;=18.5,"Low",'Data set'!$D198&lt;=24.9,"Normal",'Data set'!$D198&lt;=29.9,"High",'Data set'!$D198&gt;29.9,"Very High")</f>
        <v>High</v>
      </c>
    </row>
    <row r="199" spans="1:17" x14ac:dyDescent="0.25">
      <c r="A199" s="5">
        <v>30</v>
      </c>
      <c r="B199" s="5" t="s">
        <v>9</v>
      </c>
      <c r="C199" s="6">
        <v>235.7</v>
      </c>
      <c r="D199" s="6">
        <v>23.37</v>
      </c>
      <c r="E199" s="5" t="s">
        <v>1</v>
      </c>
      <c r="F199" s="5">
        <v>280</v>
      </c>
      <c r="G199" s="5" t="s">
        <v>195</v>
      </c>
      <c r="H199" s="6">
        <v>9.02</v>
      </c>
      <c r="I199" s="5">
        <v>7</v>
      </c>
      <c r="J199" s="5" t="s">
        <v>4</v>
      </c>
      <c r="K199" s="5" t="s">
        <v>4</v>
      </c>
      <c r="L199" s="5">
        <v>105</v>
      </c>
      <c r="M199" s="5">
        <v>69</v>
      </c>
      <c r="N199" s="5" t="s">
        <v>17</v>
      </c>
      <c r="O199" s="5" t="str">
        <f>_xlfn.IFS('Data set'!$H199&lt;5.7,"Normal",'Data set'!$H199&lt;=6.4,"Prediabetes",'Data set'!$H199&lt;=7.5,"Diabetes",'Data set'!$H199&gt;=7.5,"Uncontrolled")</f>
        <v>Uncontrolled</v>
      </c>
      <c r="P199" s="5" t="str">
        <f>_xlfn.IFS('Data set'!$F199&lt;120,"Low",'Data set'!$F199&lt;=200,"Normal",'Data set'!$F199&lt;=240,"Boarderline",'Data set'!$F199&gt;=241,"High")</f>
        <v>High</v>
      </c>
      <c r="Q199" s="5" t="str">
        <f>_xlfn.IFS('Data set'!$D199&lt;=18.5,"Low",'Data set'!$D199&lt;=24.9,"Normal",'Data set'!$D199&lt;=29.9,"High",'Data set'!$D199&gt;29.9,"Very High")</f>
        <v>Normal</v>
      </c>
    </row>
    <row r="200" spans="1:17" x14ac:dyDescent="0.25">
      <c r="A200" s="3">
        <v>63</v>
      </c>
      <c r="B200" s="3" t="s">
        <v>9</v>
      </c>
      <c r="C200" s="4">
        <v>264.72000000000003</v>
      </c>
      <c r="D200" s="4">
        <v>31.18</v>
      </c>
      <c r="E200" s="3" t="s">
        <v>1</v>
      </c>
      <c r="F200" s="3">
        <v>140</v>
      </c>
      <c r="G200" s="3" t="s">
        <v>196</v>
      </c>
      <c r="H200" s="4">
        <v>6.33</v>
      </c>
      <c r="I200" s="3">
        <v>6</v>
      </c>
      <c r="J200" s="3" t="s">
        <v>4</v>
      </c>
      <c r="K200" s="3" t="s">
        <v>4</v>
      </c>
      <c r="L200" s="3">
        <v>134</v>
      </c>
      <c r="M200" s="3">
        <v>72</v>
      </c>
      <c r="N200" s="3" t="s">
        <v>21</v>
      </c>
      <c r="O200" s="3" t="str">
        <f>_xlfn.IFS('Data set'!$H200&lt;5.7,"Normal",'Data set'!$H200&lt;=6.4,"Prediabetes",'Data set'!$H200&lt;=7.5,"Diabetes",'Data set'!$H200&gt;=7.5,"Uncontrolled")</f>
        <v>Prediabetes</v>
      </c>
      <c r="P200" s="3" t="str">
        <f>_xlfn.IFS('Data set'!$F200&lt;120,"Low",'Data set'!$F200&lt;=200,"Normal",'Data set'!$F200&lt;=240,"Boarderline",'Data set'!$F200&gt;=241,"High")</f>
        <v>Normal</v>
      </c>
      <c r="Q200" s="3" t="str">
        <f>_xlfn.IFS('Data set'!$D200&lt;=18.5,"Low",'Data set'!$D200&lt;=24.9,"Normal",'Data set'!$D200&lt;=29.9,"High",'Data set'!$D200&gt;29.9,"Very High")</f>
        <v>Very High</v>
      </c>
    </row>
    <row r="201" spans="1:17" x14ac:dyDescent="0.25">
      <c r="A201" s="5">
        <v>48</v>
      </c>
      <c r="B201" s="5" t="s">
        <v>9</v>
      </c>
      <c r="C201" s="6">
        <v>201.78</v>
      </c>
      <c r="D201" s="6">
        <v>24.58</v>
      </c>
      <c r="E201" s="5" t="s">
        <v>10</v>
      </c>
      <c r="F201" s="5">
        <v>194</v>
      </c>
      <c r="G201" s="5" t="s">
        <v>197</v>
      </c>
      <c r="H201" s="6">
        <v>4.97</v>
      </c>
      <c r="I201" s="5">
        <v>7</v>
      </c>
      <c r="J201" s="5" t="s">
        <v>3</v>
      </c>
      <c r="K201" s="5" t="s">
        <v>3</v>
      </c>
      <c r="L201" s="5">
        <v>137</v>
      </c>
      <c r="M201" s="5">
        <v>69</v>
      </c>
      <c r="N201" s="5" t="s">
        <v>23</v>
      </c>
      <c r="O201" s="5" t="str">
        <f>_xlfn.IFS('Data set'!$H201&lt;5.7,"Normal",'Data set'!$H201&lt;=6.4,"Prediabetes",'Data set'!$H201&lt;=7.5,"Diabetes",'Data set'!$H201&gt;=7.5,"Uncontrolled")</f>
        <v>Normal</v>
      </c>
      <c r="P201" s="5" t="str">
        <f>_xlfn.IFS('Data set'!$F201&lt;120,"Low",'Data set'!$F201&lt;=200,"Normal",'Data set'!$F201&lt;=240,"Boarderline",'Data set'!$F201&gt;=241,"High")</f>
        <v>Normal</v>
      </c>
      <c r="Q201" s="5" t="str">
        <f>_xlfn.IFS('Data set'!$D201&lt;=18.5,"Low",'Data set'!$D201&lt;=24.9,"Normal",'Data set'!$D201&lt;=29.9,"High",'Data set'!$D201&gt;29.9,"Very High")</f>
        <v>Normal</v>
      </c>
    </row>
    <row r="202" spans="1:17" x14ac:dyDescent="0.25">
      <c r="A202" s="3">
        <v>53</v>
      </c>
      <c r="B202" s="3" t="s">
        <v>0</v>
      </c>
      <c r="C202" s="4">
        <v>148.13</v>
      </c>
      <c r="D202" s="4">
        <v>34.83</v>
      </c>
      <c r="E202" s="3" t="s">
        <v>14</v>
      </c>
      <c r="F202" s="3">
        <v>187</v>
      </c>
      <c r="G202" s="3" t="s">
        <v>198</v>
      </c>
      <c r="H202" s="4">
        <v>8.2200000000000006</v>
      </c>
      <c r="I202" s="3">
        <v>6</v>
      </c>
      <c r="J202" s="3" t="s">
        <v>3</v>
      </c>
      <c r="K202" s="3" t="s">
        <v>4</v>
      </c>
      <c r="L202" s="3">
        <v>137</v>
      </c>
      <c r="M202" s="3">
        <v>77</v>
      </c>
      <c r="N202" s="3" t="s">
        <v>8</v>
      </c>
      <c r="O202" s="3" t="str">
        <f>_xlfn.IFS('Data set'!$H202&lt;5.7,"Normal",'Data set'!$H202&lt;=6.4,"Prediabetes",'Data set'!$H202&lt;=7.5,"Diabetes",'Data set'!$H202&gt;=7.5,"Uncontrolled")</f>
        <v>Uncontrolled</v>
      </c>
      <c r="P202" s="3" t="str">
        <f>_xlfn.IFS('Data set'!$F202&lt;120,"Low",'Data set'!$F202&lt;=200,"Normal",'Data set'!$F202&lt;=240,"Boarderline",'Data set'!$F202&gt;=241,"High")</f>
        <v>Normal</v>
      </c>
      <c r="Q202" s="3" t="str">
        <f>_xlfn.IFS('Data set'!$D202&lt;=18.5,"Low",'Data set'!$D202&lt;=24.9,"Normal",'Data set'!$D202&lt;=29.9,"High",'Data set'!$D202&gt;29.9,"Very High")</f>
        <v>Very High</v>
      </c>
    </row>
    <row r="203" spans="1:17" x14ac:dyDescent="0.25">
      <c r="A203" s="5">
        <v>28</v>
      </c>
      <c r="B203" s="5" t="s">
        <v>0</v>
      </c>
      <c r="C203" s="6">
        <v>191.9</v>
      </c>
      <c r="D203" s="6">
        <v>36.83</v>
      </c>
      <c r="E203" s="5" t="s">
        <v>6</v>
      </c>
      <c r="F203" s="5">
        <v>241</v>
      </c>
      <c r="G203" s="5" t="s">
        <v>199</v>
      </c>
      <c r="H203" s="6">
        <v>6.79</v>
      </c>
      <c r="I203" s="5">
        <v>3</v>
      </c>
      <c r="J203" s="5" t="s">
        <v>3</v>
      </c>
      <c r="K203" s="5" t="s">
        <v>3</v>
      </c>
      <c r="L203" s="5">
        <v>127</v>
      </c>
      <c r="M203" s="5">
        <v>79</v>
      </c>
      <c r="N203" s="5" t="s">
        <v>17</v>
      </c>
      <c r="O203" s="5" t="str">
        <f>_xlfn.IFS('Data set'!$H203&lt;5.7,"Normal",'Data set'!$H203&lt;=6.4,"Prediabetes",'Data set'!$H203&lt;=7.5,"Diabetes",'Data set'!$H203&gt;=7.5,"Uncontrolled")</f>
        <v>Diabetes</v>
      </c>
      <c r="P203" s="5" t="str">
        <f>_xlfn.IFS('Data set'!$F203&lt;120,"Low",'Data set'!$F203&lt;=200,"Normal",'Data set'!$F203&lt;=240,"Boarderline",'Data set'!$F203&gt;=241,"High")</f>
        <v>High</v>
      </c>
      <c r="Q203" s="5" t="str">
        <f>_xlfn.IFS('Data set'!$D203&lt;=18.5,"Low",'Data set'!$D203&lt;=24.9,"Normal",'Data set'!$D203&lt;=29.9,"High",'Data set'!$D203&gt;29.9,"Very High")</f>
        <v>Very High</v>
      </c>
    </row>
    <row r="204" spans="1:17" x14ac:dyDescent="0.25">
      <c r="A204" s="3">
        <v>60</v>
      </c>
      <c r="B204" s="3" t="s">
        <v>9</v>
      </c>
      <c r="C204" s="4">
        <v>274.70999999999998</v>
      </c>
      <c r="D204" s="4">
        <v>30.71</v>
      </c>
      <c r="E204" s="3" t="s">
        <v>1</v>
      </c>
      <c r="F204" s="3">
        <v>164</v>
      </c>
      <c r="G204" s="3" t="s">
        <v>200</v>
      </c>
      <c r="H204" s="4">
        <v>6.05</v>
      </c>
      <c r="I204" s="3">
        <v>3</v>
      </c>
      <c r="J204" s="3" t="s">
        <v>3</v>
      </c>
      <c r="K204" s="3" t="s">
        <v>4</v>
      </c>
      <c r="L204" s="3">
        <v>94</v>
      </c>
      <c r="M204" s="3">
        <v>89</v>
      </c>
      <c r="N204" s="3" t="s">
        <v>8</v>
      </c>
      <c r="O204" s="3" t="str">
        <f>_xlfn.IFS('Data set'!$H204&lt;5.7,"Normal",'Data set'!$H204&lt;=6.4,"Prediabetes",'Data set'!$H204&lt;=7.5,"Diabetes",'Data set'!$H204&gt;=7.5,"Uncontrolled")</f>
        <v>Prediabetes</v>
      </c>
      <c r="P204" s="3" t="str">
        <f>_xlfn.IFS('Data set'!$F204&lt;120,"Low",'Data set'!$F204&lt;=200,"Normal",'Data set'!$F204&lt;=240,"Boarderline",'Data set'!$F204&gt;=241,"High")</f>
        <v>Normal</v>
      </c>
      <c r="Q204" s="3" t="str">
        <f>_xlfn.IFS('Data set'!$D204&lt;=18.5,"Low",'Data set'!$D204&lt;=24.9,"Normal",'Data set'!$D204&lt;=29.9,"High",'Data set'!$D204&gt;29.9,"Very High")</f>
        <v>Very High</v>
      </c>
    </row>
    <row r="205" spans="1:17" x14ac:dyDescent="0.25">
      <c r="A205" s="5">
        <v>41</v>
      </c>
      <c r="B205" s="5" t="s">
        <v>0</v>
      </c>
      <c r="C205" s="6">
        <v>241.17</v>
      </c>
      <c r="D205" s="6">
        <v>36.340000000000003</v>
      </c>
      <c r="E205" s="5" t="s">
        <v>14</v>
      </c>
      <c r="F205" s="5">
        <v>283</v>
      </c>
      <c r="G205" s="5" t="s">
        <v>201</v>
      </c>
      <c r="H205" s="6">
        <v>7.51</v>
      </c>
      <c r="I205" s="5">
        <v>2</v>
      </c>
      <c r="J205" s="5" t="s">
        <v>3</v>
      </c>
      <c r="K205" s="5" t="s">
        <v>4</v>
      </c>
      <c r="L205" s="5">
        <v>92</v>
      </c>
      <c r="M205" s="5">
        <v>85</v>
      </c>
      <c r="N205" s="5" t="s">
        <v>23</v>
      </c>
      <c r="O205" s="5" t="str">
        <f>_xlfn.IFS('Data set'!$H205&lt;5.7,"Normal",'Data set'!$H205&lt;=6.4,"Prediabetes",'Data set'!$H205&lt;=7.5,"Diabetes",'Data set'!$H205&gt;=7.5,"Uncontrolled")</f>
        <v>Uncontrolled</v>
      </c>
      <c r="P205" s="5" t="str">
        <f>_xlfn.IFS('Data set'!$F205&lt;120,"Low",'Data set'!$F205&lt;=200,"Normal",'Data set'!$F205&lt;=240,"Boarderline",'Data set'!$F205&gt;=241,"High")</f>
        <v>High</v>
      </c>
      <c r="Q205" s="5" t="str">
        <f>_xlfn.IFS('Data set'!$D205&lt;=18.5,"Low",'Data set'!$D205&lt;=24.9,"Normal",'Data set'!$D205&lt;=29.9,"High",'Data set'!$D205&gt;29.9,"Very High")</f>
        <v>Very High</v>
      </c>
    </row>
    <row r="206" spans="1:17" x14ac:dyDescent="0.25">
      <c r="A206" s="3">
        <v>36</v>
      </c>
      <c r="B206" s="3" t="s">
        <v>0</v>
      </c>
      <c r="C206" s="4">
        <v>299.66000000000003</v>
      </c>
      <c r="D206" s="4">
        <v>30.59</v>
      </c>
      <c r="E206" s="3" t="s">
        <v>6</v>
      </c>
      <c r="F206" s="3">
        <v>261</v>
      </c>
      <c r="G206" s="3" t="s">
        <v>202</v>
      </c>
      <c r="H206" s="4">
        <v>7.49</v>
      </c>
      <c r="I206" s="3">
        <v>4</v>
      </c>
      <c r="J206" s="3" t="s">
        <v>4</v>
      </c>
      <c r="K206" s="3" t="s">
        <v>3</v>
      </c>
      <c r="L206" s="3">
        <v>132</v>
      </c>
      <c r="M206" s="3">
        <v>66</v>
      </c>
      <c r="N206" s="3" t="s">
        <v>12</v>
      </c>
      <c r="O206" s="3" t="str">
        <f>_xlfn.IFS('Data set'!$H206&lt;5.7,"Normal",'Data set'!$H206&lt;=6.4,"Prediabetes",'Data set'!$H206&lt;=7.5,"Diabetes",'Data set'!$H206&gt;=7.5,"Uncontrolled")</f>
        <v>Diabetes</v>
      </c>
      <c r="P206" s="3" t="str">
        <f>_xlfn.IFS('Data set'!$F206&lt;120,"Low",'Data set'!$F206&lt;=200,"Normal",'Data set'!$F206&lt;=240,"Boarderline",'Data set'!$F206&gt;=241,"High")</f>
        <v>High</v>
      </c>
      <c r="Q206" s="3" t="str">
        <f>_xlfn.IFS('Data set'!$D206&lt;=18.5,"Low",'Data set'!$D206&lt;=24.9,"Normal",'Data set'!$D206&lt;=29.9,"High",'Data set'!$D206&gt;29.9,"Very High")</f>
        <v>Very High</v>
      </c>
    </row>
    <row r="207" spans="1:17" x14ac:dyDescent="0.25">
      <c r="A207" s="5">
        <v>52</v>
      </c>
      <c r="B207" s="5" t="s">
        <v>0</v>
      </c>
      <c r="C207" s="6">
        <v>177.35</v>
      </c>
      <c r="D207" s="6">
        <v>39.67</v>
      </c>
      <c r="E207" s="5" t="s">
        <v>14</v>
      </c>
      <c r="F207" s="5">
        <v>265</v>
      </c>
      <c r="G207" s="5" t="s">
        <v>203</v>
      </c>
      <c r="H207" s="6">
        <v>7.88</v>
      </c>
      <c r="I207" s="5">
        <v>5</v>
      </c>
      <c r="J207" s="5" t="s">
        <v>4</v>
      </c>
      <c r="K207" s="5" t="s">
        <v>4</v>
      </c>
      <c r="L207" s="5">
        <v>121</v>
      </c>
      <c r="M207" s="5">
        <v>76</v>
      </c>
      <c r="N207" s="5" t="s">
        <v>8</v>
      </c>
      <c r="O207" s="5" t="str">
        <f>_xlfn.IFS('Data set'!$H207&lt;5.7,"Normal",'Data set'!$H207&lt;=6.4,"Prediabetes",'Data set'!$H207&lt;=7.5,"Diabetes",'Data set'!$H207&gt;=7.5,"Uncontrolled")</f>
        <v>Uncontrolled</v>
      </c>
      <c r="P207" s="5" t="str">
        <f>_xlfn.IFS('Data set'!$F207&lt;120,"Low",'Data set'!$F207&lt;=200,"Normal",'Data set'!$F207&lt;=240,"Boarderline",'Data set'!$F207&gt;=241,"High")</f>
        <v>High</v>
      </c>
      <c r="Q207" s="5" t="str">
        <f>_xlfn.IFS('Data set'!$D207&lt;=18.5,"Low",'Data set'!$D207&lt;=24.9,"Normal",'Data set'!$D207&lt;=29.9,"High",'Data set'!$D207&gt;29.9,"Very High")</f>
        <v>Very High</v>
      </c>
    </row>
    <row r="208" spans="1:17" x14ac:dyDescent="0.25">
      <c r="A208" s="3">
        <v>46</v>
      </c>
      <c r="B208" s="3" t="s">
        <v>0</v>
      </c>
      <c r="C208" s="4">
        <v>120.93</v>
      </c>
      <c r="D208" s="4">
        <v>35.43</v>
      </c>
      <c r="E208" s="3" t="s">
        <v>10</v>
      </c>
      <c r="F208" s="3">
        <v>154</v>
      </c>
      <c r="G208" s="3" t="s">
        <v>204</v>
      </c>
      <c r="H208" s="4">
        <v>5.27</v>
      </c>
      <c r="I208" s="3">
        <v>5</v>
      </c>
      <c r="J208" s="3" t="s">
        <v>4</v>
      </c>
      <c r="K208" s="3" t="s">
        <v>4</v>
      </c>
      <c r="L208" s="3">
        <v>115</v>
      </c>
      <c r="M208" s="3">
        <v>80</v>
      </c>
      <c r="N208" s="3" t="s">
        <v>23</v>
      </c>
      <c r="O208" s="3" t="str">
        <f>_xlfn.IFS('Data set'!$H208&lt;5.7,"Normal",'Data set'!$H208&lt;=6.4,"Prediabetes",'Data set'!$H208&lt;=7.5,"Diabetes",'Data set'!$H208&gt;=7.5,"Uncontrolled")</f>
        <v>Normal</v>
      </c>
      <c r="P208" s="3" t="str">
        <f>_xlfn.IFS('Data set'!$F208&lt;120,"Low",'Data set'!$F208&lt;=200,"Normal",'Data set'!$F208&lt;=240,"Boarderline",'Data set'!$F208&gt;=241,"High")</f>
        <v>Normal</v>
      </c>
      <c r="Q208" s="3" t="str">
        <f>_xlfn.IFS('Data set'!$D208&lt;=18.5,"Low",'Data set'!$D208&lt;=24.9,"Normal",'Data set'!$D208&lt;=29.9,"High",'Data set'!$D208&gt;29.9,"Very High")</f>
        <v>Very High</v>
      </c>
    </row>
    <row r="209" spans="1:17" x14ac:dyDescent="0.25">
      <c r="A209" s="5">
        <v>23</v>
      </c>
      <c r="B209" s="5" t="s">
        <v>0</v>
      </c>
      <c r="C209" s="6">
        <v>156.88</v>
      </c>
      <c r="D209" s="6">
        <v>18.23</v>
      </c>
      <c r="E209" s="5" t="s">
        <v>1</v>
      </c>
      <c r="F209" s="5">
        <v>127</v>
      </c>
      <c r="G209" s="5" t="s">
        <v>205</v>
      </c>
      <c r="H209" s="6">
        <v>4.25</v>
      </c>
      <c r="I209" s="5">
        <v>4</v>
      </c>
      <c r="J209" s="5" t="s">
        <v>3</v>
      </c>
      <c r="K209" s="5" t="s">
        <v>3</v>
      </c>
      <c r="L209" s="5">
        <v>119</v>
      </c>
      <c r="M209" s="5">
        <v>81</v>
      </c>
      <c r="N209" s="5" t="s">
        <v>17</v>
      </c>
      <c r="O209" s="5" t="str">
        <f>_xlfn.IFS('Data set'!$H209&lt;5.7,"Normal",'Data set'!$H209&lt;=6.4,"Prediabetes",'Data set'!$H209&lt;=7.5,"Diabetes",'Data set'!$H209&gt;=7.5,"Uncontrolled")</f>
        <v>Normal</v>
      </c>
      <c r="P209" s="5" t="str">
        <f>_xlfn.IFS('Data set'!$F209&lt;120,"Low",'Data set'!$F209&lt;=200,"Normal",'Data set'!$F209&lt;=240,"Boarderline",'Data set'!$F209&gt;=241,"High")</f>
        <v>Normal</v>
      </c>
      <c r="Q209" s="5" t="str">
        <f>_xlfn.IFS('Data set'!$D209&lt;=18.5,"Low",'Data set'!$D209&lt;=24.9,"Normal",'Data set'!$D209&lt;=29.9,"High",'Data set'!$D209&gt;29.9,"Very High")</f>
        <v>Low</v>
      </c>
    </row>
    <row r="210" spans="1:17" x14ac:dyDescent="0.25">
      <c r="A210" s="3">
        <v>34</v>
      </c>
      <c r="B210" s="3" t="s">
        <v>9</v>
      </c>
      <c r="C210" s="4">
        <v>110.48</v>
      </c>
      <c r="D210" s="4">
        <v>23.56</v>
      </c>
      <c r="E210" s="3" t="s">
        <v>10</v>
      </c>
      <c r="F210" s="3">
        <v>189</v>
      </c>
      <c r="G210" s="3" t="s">
        <v>206</v>
      </c>
      <c r="H210" s="4">
        <v>6.11</v>
      </c>
      <c r="I210" s="3">
        <v>6</v>
      </c>
      <c r="J210" s="3" t="s">
        <v>3</v>
      </c>
      <c r="K210" s="3" t="s">
        <v>4</v>
      </c>
      <c r="L210" s="3">
        <v>94</v>
      </c>
      <c r="M210" s="3">
        <v>87</v>
      </c>
      <c r="N210" s="3" t="s">
        <v>12</v>
      </c>
      <c r="O210" s="3" t="str">
        <f>_xlfn.IFS('Data set'!$H210&lt;5.7,"Normal",'Data set'!$H210&lt;=6.4,"Prediabetes",'Data set'!$H210&lt;=7.5,"Diabetes",'Data set'!$H210&gt;=7.5,"Uncontrolled")</f>
        <v>Prediabetes</v>
      </c>
      <c r="P210" s="3" t="str">
        <f>_xlfn.IFS('Data set'!$F210&lt;120,"Low",'Data set'!$F210&lt;=200,"Normal",'Data set'!$F210&lt;=240,"Boarderline",'Data set'!$F210&gt;=241,"High")</f>
        <v>Normal</v>
      </c>
      <c r="Q210" s="3" t="str">
        <f>_xlfn.IFS('Data set'!$D210&lt;=18.5,"Low",'Data set'!$D210&lt;=24.9,"Normal",'Data set'!$D210&lt;=29.9,"High",'Data set'!$D210&gt;29.9,"Very High")</f>
        <v>Normal</v>
      </c>
    </row>
    <row r="211" spans="1:17" x14ac:dyDescent="0.25">
      <c r="A211" s="5">
        <v>61</v>
      </c>
      <c r="B211" s="5" t="s">
        <v>9</v>
      </c>
      <c r="C211" s="6">
        <v>176.81</v>
      </c>
      <c r="D211" s="6">
        <v>32.04</v>
      </c>
      <c r="E211" s="5" t="s">
        <v>14</v>
      </c>
      <c r="F211" s="5">
        <v>217</v>
      </c>
      <c r="G211" s="5" t="s">
        <v>207</v>
      </c>
      <c r="H211" s="6">
        <v>7.94</v>
      </c>
      <c r="I211" s="5">
        <v>7</v>
      </c>
      <c r="J211" s="5" t="s">
        <v>3</v>
      </c>
      <c r="K211" s="5" t="s">
        <v>3</v>
      </c>
      <c r="L211" s="5">
        <v>99</v>
      </c>
      <c r="M211" s="5">
        <v>82</v>
      </c>
      <c r="N211" s="5" t="s">
        <v>21</v>
      </c>
      <c r="O211" s="5" t="str">
        <f>_xlfn.IFS('Data set'!$H211&lt;5.7,"Normal",'Data set'!$H211&lt;=6.4,"Prediabetes",'Data set'!$H211&lt;=7.5,"Diabetes",'Data set'!$H211&gt;=7.5,"Uncontrolled")</f>
        <v>Uncontrolled</v>
      </c>
      <c r="P211" s="5" t="str">
        <f>_xlfn.IFS('Data set'!$F211&lt;120,"Low",'Data set'!$F211&lt;=200,"Normal",'Data set'!$F211&lt;=240,"Boarderline",'Data set'!$F211&gt;=241,"High")</f>
        <v>Boarderline</v>
      </c>
      <c r="Q211" s="5" t="str">
        <f>_xlfn.IFS('Data set'!$D211&lt;=18.5,"Low",'Data set'!$D211&lt;=24.9,"Normal",'Data set'!$D211&lt;=29.9,"High",'Data set'!$D211&gt;29.9,"Very High")</f>
        <v>Very High</v>
      </c>
    </row>
    <row r="212" spans="1:17" x14ac:dyDescent="0.25">
      <c r="A212" s="3">
        <v>56</v>
      </c>
      <c r="B212" s="3" t="s">
        <v>9</v>
      </c>
      <c r="C212" s="4">
        <v>204.19</v>
      </c>
      <c r="D212" s="4">
        <v>23.16</v>
      </c>
      <c r="E212" s="3" t="s">
        <v>10</v>
      </c>
      <c r="F212" s="3">
        <v>176</v>
      </c>
      <c r="G212" s="3" t="s">
        <v>208</v>
      </c>
      <c r="H212" s="4">
        <v>4.74</v>
      </c>
      <c r="I212" s="3">
        <v>3</v>
      </c>
      <c r="J212" s="3" t="s">
        <v>4</v>
      </c>
      <c r="K212" s="3" t="s">
        <v>4</v>
      </c>
      <c r="L212" s="3">
        <v>121</v>
      </c>
      <c r="M212" s="3">
        <v>66</v>
      </c>
      <c r="N212" s="3" t="s">
        <v>8</v>
      </c>
      <c r="O212" s="3" t="str">
        <f>_xlfn.IFS('Data set'!$H212&lt;5.7,"Normal",'Data set'!$H212&lt;=6.4,"Prediabetes",'Data set'!$H212&lt;=7.5,"Diabetes",'Data set'!$H212&gt;=7.5,"Uncontrolled")</f>
        <v>Normal</v>
      </c>
      <c r="P212" s="3" t="str">
        <f>_xlfn.IFS('Data set'!$F212&lt;120,"Low",'Data set'!$F212&lt;=200,"Normal",'Data set'!$F212&lt;=240,"Boarderline",'Data set'!$F212&gt;=241,"High")</f>
        <v>Normal</v>
      </c>
      <c r="Q212" s="3" t="str">
        <f>_xlfn.IFS('Data set'!$D212&lt;=18.5,"Low",'Data set'!$D212&lt;=24.9,"Normal",'Data set'!$D212&lt;=29.9,"High",'Data set'!$D212&gt;29.9,"Very High")</f>
        <v>Normal</v>
      </c>
    </row>
    <row r="213" spans="1:17" x14ac:dyDescent="0.25">
      <c r="A213" s="5">
        <v>70</v>
      </c>
      <c r="B213" s="5" t="s">
        <v>9</v>
      </c>
      <c r="C213" s="6">
        <v>144.15</v>
      </c>
      <c r="D213" s="6">
        <v>35.01</v>
      </c>
      <c r="E213" s="5" t="s">
        <v>1</v>
      </c>
      <c r="F213" s="5">
        <v>202</v>
      </c>
      <c r="G213" s="5" t="s">
        <v>209</v>
      </c>
      <c r="H213" s="6">
        <v>4.41</v>
      </c>
      <c r="I213" s="5">
        <v>2</v>
      </c>
      <c r="J213" s="5" t="s">
        <v>3</v>
      </c>
      <c r="K213" s="5" t="s">
        <v>3</v>
      </c>
      <c r="L213" s="5">
        <v>120</v>
      </c>
      <c r="M213" s="5">
        <v>87</v>
      </c>
      <c r="N213" s="5" t="s">
        <v>21</v>
      </c>
      <c r="O213" s="5" t="str">
        <f>_xlfn.IFS('Data set'!$H213&lt;5.7,"Normal",'Data set'!$H213&lt;=6.4,"Prediabetes",'Data set'!$H213&lt;=7.5,"Diabetes",'Data set'!$H213&gt;=7.5,"Uncontrolled")</f>
        <v>Normal</v>
      </c>
      <c r="P213" s="5" t="str">
        <f>_xlfn.IFS('Data set'!$F213&lt;120,"Low",'Data set'!$F213&lt;=200,"Normal",'Data set'!$F213&lt;=240,"Boarderline",'Data set'!$F213&gt;=241,"High")</f>
        <v>Boarderline</v>
      </c>
      <c r="Q213" s="5" t="str">
        <f>_xlfn.IFS('Data set'!$D213&lt;=18.5,"Low",'Data set'!$D213&lt;=24.9,"Normal",'Data set'!$D213&lt;=29.9,"High",'Data set'!$D213&gt;29.9,"Very High")</f>
        <v>Very High</v>
      </c>
    </row>
    <row r="214" spans="1:17" x14ac:dyDescent="0.25">
      <c r="A214" s="3">
        <v>45</v>
      </c>
      <c r="B214" s="3" t="s">
        <v>9</v>
      </c>
      <c r="C214" s="4">
        <v>144.18</v>
      </c>
      <c r="D214" s="4">
        <v>33.01</v>
      </c>
      <c r="E214" s="3" t="s">
        <v>14</v>
      </c>
      <c r="F214" s="3">
        <v>291</v>
      </c>
      <c r="G214" s="3" t="s">
        <v>210</v>
      </c>
      <c r="H214" s="4">
        <v>4.79</v>
      </c>
      <c r="I214" s="3">
        <v>1</v>
      </c>
      <c r="J214" s="3" t="s">
        <v>4</v>
      </c>
      <c r="K214" s="3" t="s">
        <v>3</v>
      </c>
      <c r="L214" s="3">
        <v>116</v>
      </c>
      <c r="M214" s="3">
        <v>89</v>
      </c>
      <c r="N214" s="3" t="s">
        <v>23</v>
      </c>
      <c r="O214" s="3" t="str">
        <f>_xlfn.IFS('Data set'!$H214&lt;5.7,"Normal",'Data set'!$H214&lt;=6.4,"Prediabetes",'Data set'!$H214&lt;=7.5,"Diabetes",'Data set'!$H214&gt;=7.5,"Uncontrolled")</f>
        <v>Normal</v>
      </c>
      <c r="P214" s="3" t="str">
        <f>_xlfn.IFS('Data set'!$F214&lt;120,"Low",'Data set'!$F214&lt;=200,"Normal",'Data set'!$F214&lt;=240,"Boarderline",'Data set'!$F214&gt;=241,"High")</f>
        <v>High</v>
      </c>
      <c r="Q214" s="3" t="str">
        <f>_xlfn.IFS('Data set'!$D214&lt;=18.5,"Low",'Data set'!$D214&lt;=24.9,"Normal",'Data set'!$D214&lt;=29.9,"High",'Data set'!$D214&gt;29.9,"Very High")</f>
        <v>Very High</v>
      </c>
    </row>
    <row r="215" spans="1:17" x14ac:dyDescent="0.25">
      <c r="A215" s="5">
        <v>36</v>
      </c>
      <c r="B215" s="5" t="s">
        <v>9</v>
      </c>
      <c r="C215" s="6">
        <v>161.85</v>
      </c>
      <c r="D215" s="6">
        <v>36.700000000000003</v>
      </c>
      <c r="E215" s="5" t="s">
        <v>6</v>
      </c>
      <c r="F215" s="5">
        <v>282</v>
      </c>
      <c r="G215" s="5" t="s">
        <v>211</v>
      </c>
      <c r="H215" s="6">
        <v>5.01</v>
      </c>
      <c r="I215" s="5">
        <v>7</v>
      </c>
      <c r="J215" s="5" t="s">
        <v>3</v>
      </c>
      <c r="K215" s="5" t="s">
        <v>3</v>
      </c>
      <c r="L215" s="5">
        <v>122</v>
      </c>
      <c r="M215" s="5">
        <v>75</v>
      </c>
      <c r="N215" s="5" t="s">
        <v>12</v>
      </c>
      <c r="O215" s="5" t="str">
        <f>_xlfn.IFS('Data set'!$H215&lt;5.7,"Normal",'Data set'!$H215&lt;=6.4,"Prediabetes",'Data set'!$H215&lt;=7.5,"Diabetes",'Data set'!$H215&gt;=7.5,"Uncontrolled")</f>
        <v>Normal</v>
      </c>
      <c r="P215" s="5" t="str">
        <f>_xlfn.IFS('Data set'!$F215&lt;120,"Low",'Data set'!$F215&lt;=200,"Normal",'Data set'!$F215&lt;=240,"Boarderline",'Data set'!$F215&gt;=241,"High")</f>
        <v>High</v>
      </c>
      <c r="Q215" s="5" t="str">
        <f>_xlfn.IFS('Data set'!$D215&lt;=18.5,"Low",'Data set'!$D215&lt;=24.9,"Normal",'Data set'!$D215&lt;=29.9,"High",'Data set'!$D215&gt;29.9,"Very High")</f>
        <v>Very High</v>
      </c>
    </row>
    <row r="216" spans="1:17" x14ac:dyDescent="0.25">
      <c r="A216" s="3">
        <v>60</v>
      </c>
      <c r="B216" s="3" t="s">
        <v>9</v>
      </c>
      <c r="C216" s="4">
        <v>149.27000000000001</v>
      </c>
      <c r="D216" s="4">
        <v>28.11</v>
      </c>
      <c r="E216" s="3" t="s">
        <v>6</v>
      </c>
      <c r="F216" s="3">
        <v>133</v>
      </c>
      <c r="G216" s="3" t="s">
        <v>212</v>
      </c>
      <c r="H216" s="4">
        <v>4.3899999999999997</v>
      </c>
      <c r="I216" s="3">
        <v>2</v>
      </c>
      <c r="J216" s="3" t="s">
        <v>4</v>
      </c>
      <c r="K216" s="3" t="s">
        <v>3</v>
      </c>
      <c r="L216" s="3">
        <v>136</v>
      </c>
      <c r="M216" s="3">
        <v>86</v>
      </c>
      <c r="N216" s="3" t="s">
        <v>8</v>
      </c>
      <c r="O216" s="3" t="str">
        <f>_xlfn.IFS('Data set'!$H216&lt;5.7,"Normal",'Data set'!$H216&lt;=6.4,"Prediabetes",'Data set'!$H216&lt;=7.5,"Diabetes",'Data set'!$H216&gt;=7.5,"Uncontrolled")</f>
        <v>Normal</v>
      </c>
      <c r="P216" s="3" t="str">
        <f>_xlfn.IFS('Data set'!$F216&lt;120,"Low",'Data set'!$F216&lt;=200,"Normal",'Data set'!$F216&lt;=240,"Boarderline",'Data set'!$F216&gt;=241,"High")</f>
        <v>Normal</v>
      </c>
      <c r="Q216" s="3" t="str">
        <f>_xlfn.IFS('Data set'!$D216&lt;=18.5,"Low",'Data set'!$D216&lt;=24.9,"Normal",'Data set'!$D216&lt;=29.9,"High",'Data set'!$D216&gt;29.9,"Very High")</f>
        <v>High</v>
      </c>
    </row>
    <row r="217" spans="1:17" x14ac:dyDescent="0.25">
      <c r="A217" s="5">
        <v>60</v>
      </c>
      <c r="B217" s="5" t="s">
        <v>9</v>
      </c>
      <c r="C217" s="6">
        <v>125.42</v>
      </c>
      <c r="D217" s="6">
        <v>30.25</v>
      </c>
      <c r="E217" s="5" t="s">
        <v>6</v>
      </c>
      <c r="F217" s="5">
        <v>164</v>
      </c>
      <c r="G217" s="5" t="s">
        <v>213</v>
      </c>
      <c r="H217" s="6">
        <v>7.69</v>
      </c>
      <c r="I217" s="5">
        <v>7</v>
      </c>
      <c r="J217" s="5" t="s">
        <v>3</v>
      </c>
      <c r="K217" s="5" t="s">
        <v>3</v>
      </c>
      <c r="L217" s="5">
        <v>122</v>
      </c>
      <c r="M217" s="5">
        <v>67</v>
      </c>
      <c r="N217" s="5" t="s">
        <v>8</v>
      </c>
      <c r="O217" s="5" t="str">
        <f>_xlfn.IFS('Data set'!$H217&lt;5.7,"Normal",'Data set'!$H217&lt;=6.4,"Prediabetes",'Data set'!$H217&lt;=7.5,"Diabetes",'Data set'!$H217&gt;=7.5,"Uncontrolled")</f>
        <v>Uncontrolled</v>
      </c>
      <c r="P217" s="5" t="str">
        <f>_xlfn.IFS('Data set'!$F217&lt;120,"Low",'Data set'!$F217&lt;=200,"Normal",'Data set'!$F217&lt;=240,"Boarderline",'Data set'!$F217&gt;=241,"High")</f>
        <v>Normal</v>
      </c>
      <c r="Q217" s="5" t="str">
        <f>_xlfn.IFS('Data set'!$D217&lt;=18.5,"Low",'Data set'!$D217&lt;=24.9,"Normal",'Data set'!$D217&lt;=29.9,"High",'Data set'!$D217&gt;29.9,"Very High")</f>
        <v>Very High</v>
      </c>
    </row>
    <row r="218" spans="1:17" x14ac:dyDescent="0.25">
      <c r="A218" s="3">
        <v>39</v>
      </c>
      <c r="B218" s="3" t="s">
        <v>0</v>
      </c>
      <c r="C218" s="4">
        <v>136.91</v>
      </c>
      <c r="D218" s="4">
        <v>35.04</v>
      </c>
      <c r="E218" s="3" t="s">
        <v>10</v>
      </c>
      <c r="F218" s="3">
        <v>221</v>
      </c>
      <c r="G218" s="3" t="s">
        <v>214</v>
      </c>
      <c r="H218" s="4">
        <v>9.42</v>
      </c>
      <c r="I218" s="3">
        <v>7</v>
      </c>
      <c r="J218" s="3" t="s">
        <v>4</v>
      </c>
      <c r="K218" s="3" t="s">
        <v>4</v>
      </c>
      <c r="L218" s="3">
        <v>131</v>
      </c>
      <c r="M218" s="3">
        <v>61</v>
      </c>
      <c r="N218" s="3" t="s">
        <v>12</v>
      </c>
      <c r="O218" s="3" t="str">
        <f>_xlfn.IFS('Data set'!$H218&lt;5.7,"Normal",'Data set'!$H218&lt;=6.4,"Prediabetes",'Data set'!$H218&lt;=7.5,"Diabetes",'Data set'!$H218&gt;=7.5,"Uncontrolled")</f>
        <v>Uncontrolled</v>
      </c>
      <c r="P218" s="3" t="str">
        <f>_xlfn.IFS('Data set'!$F218&lt;120,"Low",'Data set'!$F218&lt;=200,"Normal",'Data set'!$F218&lt;=240,"Boarderline",'Data set'!$F218&gt;=241,"High")</f>
        <v>Boarderline</v>
      </c>
      <c r="Q218" s="3" t="str">
        <f>_xlfn.IFS('Data set'!$D218&lt;=18.5,"Low",'Data set'!$D218&lt;=24.9,"Normal",'Data set'!$D218&lt;=29.9,"High",'Data set'!$D218&gt;29.9,"Very High")</f>
        <v>Very High</v>
      </c>
    </row>
    <row r="219" spans="1:17" x14ac:dyDescent="0.25">
      <c r="A219" s="5">
        <v>60</v>
      </c>
      <c r="B219" s="5" t="s">
        <v>0</v>
      </c>
      <c r="C219" s="6">
        <v>118.47</v>
      </c>
      <c r="D219" s="6">
        <v>30.88</v>
      </c>
      <c r="E219" s="5" t="s">
        <v>6</v>
      </c>
      <c r="F219" s="5">
        <v>209</v>
      </c>
      <c r="G219" s="5" t="s">
        <v>215</v>
      </c>
      <c r="H219" s="6">
        <v>8.4</v>
      </c>
      <c r="I219" s="5">
        <v>2</v>
      </c>
      <c r="J219" s="5" t="s">
        <v>3</v>
      </c>
      <c r="K219" s="5" t="s">
        <v>3</v>
      </c>
      <c r="L219" s="5">
        <v>121</v>
      </c>
      <c r="M219" s="5">
        <v>90</v>
      </c>
      <c r="N219" s="5" t="s">
        <v>8</v>
      </c>
      <c r="O219" s="5" t="str">
        <f>_xlfn.IFS('Data set'!$H219&lt;5.7,"Normal",'Data set'!$H219&lt;=6.4,"Prediabetes",'Data set'!$H219&lt;=7.5,"Diabetes",'Data set'!$H219&gt;=7.5,"Uncontrolled")</f>
        <v>Uncontrolled</v>
      </c>
      <c r="P219" s="5" t="str">
        <f>_xlfn.IFS('Data set'!$F219&lt;120,"Low",'Data set'!$F219&lt;=200,"Normal",'Data set'!$F219&lt;=240,"Boarderline",'Data set'!$F219&gt;=241,"High")</f>
        <v>Boarderline</v>
      </c>
      <c r="Q219" s="5" t="str">
        <f>_xlfn.IFS('Data set'!$D219&lt;=18.5,"Low",'Data set'!$D219&lt;=24.9,"Normal",'Data set'!$D219&lt;=29.9,"High",'Data set'!$D219&gt;29.9,"Very High")</f>
        <v>Very High</v>
      </c>
    </row>
    <row r="220" spans="1:17" x14ac:dyDescent="0.25">
      <c r="A220" s="3">
        <v>21</v>
      </c>
      <c r="B220" s="3" t="s">
        <v>0</v>
      </c>
      <c r="C220" s="4">
        <v>140.6</v>
      </c>
      <c r="D220" s="4">
        <v>37.06</v>
      </c>
      <c r="E220" s="3" t="s">
        <v>10</v>
      </c>
      <c r="F220" s="3">
        <v>168</v>
      </c>
      <c r="G220" s="3" t="s">
        <v>216</v>
      </c>
      <c r="H220" s="4">
        <v>6.71</v>
      </c>
      <c r="I220" s="3">
        <v>0</v>
      </c>
      <c r="J220" s="3" t="s">
        <v>3</v>
      </c>
      <c r="K220" s="3" t="s">
        <v>3</v>
      </c>
      <c r="L220" s="3">
        <v>101</v>
      </c>
      <c r="M220" s="3">
        <v>74</v>
      </c>
      <c r="N220" s="3" t="s">
        <v>17</v>
      </c>
      <c r="O220" s="3" t="str">
        <f>_xlfn.IFS('Data set'!$H220&lt;5.7,"Normal",'Data set'!$H220&lt;=6.4,"Prediabetes",'Data set'!$H220&lt;=7.5,"Diabetes",'Data set'!$H220&gt;=7.5,"Uncontrolled")</f>
        <v>Diabetes</v>
      </c>
      <c r="P220" s="3" t="str">
        <f>_xlfn.IFS('Data set'!$F220&lt;120,"Low",'Data set'!$F220&lt;=200,"Normal",'Data set'!$F220&lt;=240,"Boarderline",'Data set'!$F220&gt;=241,"High")</f>
        <v>Normal</v>
      </c>
      <c r="Q220" s="3" t="str">
        <f>_xlfn.IFS('Data set'!$D220&lt;=18.5,"Low",'Data set'!$D220&lt;=24.9,"Normal",'Data set'!$D220&lt;=29.9,"High",'Data set'!$D220&gt;29.9,"Very High")</f>
        <v>Very High</v>
      </c>
    </row>
    <row r="221" spans="1:17" x14ac:dyDescent="0.25">
      <c r="A221" s="5">
        <v>42</v>
      </c>
      <c r="B221" s="5" t="s">
        <v>9</v>
      </c>
      <c r="C221" s="6">
        <v>246.02</v>
      </c>
      <c r="D221" s="6">
        <v>21.28</v>
      </c>
      <c r="E221" s="5" t="s">
        <v>10</v>
      </c>
      <c r="F221" s="5">
        <v>226</v>
      </c>
      <c r="G221" s="5" t="s">
        <v>217</v>
      </c>
      <c r="H221" s="6">
        <v>6.19</v>
      </c>
      <c r="I221" s="5">
        <v>3</v>
      </c>
      <c r="J221" s="5" t="s">
        <v>3</v>
      </c>
      <c r="K221" s="5" t="s">
        <v>4</v>
      </c>
      <c r="L221" s="5">
        <v>118</v>
      </c>
      <c r="M221" s="5">
        <v>90</v>
      </c>
      <c r="N221" s="5" t="s">
        <v>23</v>
      </c>
      <c r="O221" s="5" t="str">
        <f>_xlfn.IFS('Data set'!$H221&lt;5.7,"Normal",'Data set'!$H221&lt;=6.4,"Prediabetes",'Data set'!$H221&lt;=7.5,"Diabetes",'Data set'!$H221&gt;=7.5,"Uncontrolled")</f>
        <v>Prediabetes</v>
      </c>
      <c r="P221" s="5" t="str">
        <f>_xlfn.IFS('Data set'!$F221&lt;120,"Low",'Data set'!$F221&lt;=200,"Normal",'Data set'!$F221&lt;=240,"Boarderline",'Data set'!$F221&gt;=241,"High")</f>
        <v>Boarderline</v>
      </c>
      <c r="Q221" s="5" t="str">
        <f>_xlfn.IFS('Data set'!$D221&lt;=18.5,"Low",'Data set'!$D221&lt;=24.9,"Normal",'Data set'!$D221&lt;=29.9,"High",'Data set'!$D221&gt;29.9,"Very High")</f>
        <v>Normal</v>
      </c>
    </row>
    <row r="222" spans="1:17" x14ac:dyDescent="0.25">
      <c r="A222" s="3">
        <v>72</v>
      </c>
      <c r="B222" s="3" t="s">
        <v>9</v>
      </c>
      <c r="C222" s="4">
        <v>160.56</v>
      </c>
      <c r="D222" s="4">
        <v>18.13</v>
      </c>
      <c r="E222" s="3" t="s">
        <v>10</v>
      </c>
      <c r="F222" s="3">
        <v>264</v>
      </c>
      <c r="G222" s="3" t="s">
        <v>218</v>
      </c>
      <c r="H222" s="4">
        <v>7.02</v>
      </c>
      <c r="I222" s="3">
        <v>6</v>
      </c>
      <c r="J222" s="3" t="s">
        <v>3</v>
      </c>
      <c r="K222" s="3" t="s">
        <v>3</v>
      </c>
      <c r="L222" s="3">
        <v>104</v>
      </c>
      <c r="M222" s="3">
        <v>63</v>
      </c>
      <c r="N222" s="3" t="s">
        <v>5</v>
      </c>
      <c r="O222" s="3" t="str">
        <f>_xlfn.IFS('Data set'!$H222&lt;5.7,"Normal",'Data set'!$H222&lt;=6.4,"Prediabetes",'Data set'!$H222&lt;=7.5,"Diabetes",'Data set'!$H222&gt;=7.5,"Uncontrolled")</f>
        <v>Diabetes</v>
      </c>
      <c r="P222" s="3" t="str">
        <f>_xlfn.IFS('Data set'!$F222&lt;120,"Low",'Data set'!$F222&lt;=200,"Normal",'Data set'!$F222&lt;=240,"Boarderline",'Data set'!$F222&gt;=241,"High")</f>
        <v>High</v>
      </c>
      <c r="Q222" s="3" t="str">
        <f>_xlfn.IFS('Data set'!$D222&lt;=18.5,"Low",'Data set'!$D222&lt;=24.9,"Normal",'Data set'!$D222&lt;=29.9,"High",'Data set'!$D222&gt;29.9,"Very High")</f>
        <v>Low</v>
      </c>
    </row>
    <row r="223" spans="1:17" x14ac:dyDescent="0.25">
      <c r="A223" s="5">
        <v>57</v>
      </c>
      <c r="B223" s="5" t="s">
        <v>9</v>
      </c>
      <c r="C223" s="6">
        <v>79.31</v>
      </c>
      <c r="D223" s="6">
        <v>33.340000000000003</v>
      </c>
      <c r="E223" s="5" t="s">
        <v>10</v>
      </c>
      <c r="F223" s="5">
        <v>110</v>
      </c>
      <c r="G223" s="5" t="s">
        <v>219</v>
      </c>
      <c r="H223" s="6">
        <v>7.93</v>
      </c>
      <c r="I223" s="5">
        <v>2</v>
      </c>
      <c r="J223" s="5" t="s">
        <v>3</v>
      </c>
      <c r="K223" s="5" t="s">
        <v>4</v>
      </c>
      <c r="L223" s="5">
        <v>100</v>
      </c>
      <c r="M223" s="5">
        <v>84</v>
      </c>
      <c r="N223" s="5" t="s">
        <v>8</v>
      </c>
      <c r="O223" s="5" t="str">
        <f>_xlfn.IFS('Data set'!$H223&lt;5.7,"Normal",'Data set'!$H223&lt;=6.4,"Prediabetes",'Data set'!$H223&lt;=7.5,"Diabetes",'Data set'!$H223&gt;=7.5,"Uncontrolled")</f>
        <v>Uncontrolled</v>
      </c>
      <c r="P223" s="5" t="str">
        <f>_xlfn.IFS('Data set'!$F223&lt;120,"Low",'Data set'!$F223&lt;=200,"Normal",'Data set'!$F223&lt;=240,"Boarderline",'Data set'!$F223&gt;=241,"High")</f>
        <v>Low</v>
      </c>
      <c r="Q223" s="5" t="str">
        <f>_xlfn.IFS('Data set'!$D223&lt;=18.5,"Low",'Data set'!$D223&lt;=24.9,"Normal",'Data set'!$D223&lt;=29.9,"High",'Data set'!$D223&gt;29.9,"Very High")</f>
        <v>Very High</v>
      </c>
    </row>
    <row r="224" spans="1:17" x14ac:dyDescent="0.25">
      <c r="A224" s="3">
        <v>39</v>
      </c>
      <c r="B224" s="3" t="s">
        <v>0</v>
      </c>
      <c r="C224" s="4">
        <v>167.46</v>
      </c>
      <c r="D224" s="4">
        <v>26.87</v>
      </c>
      <c r="E224" s="3" t="s">
        <v>10</v>
      </c>
      <c r="F224" s="3">
        <v>219</v>
      </c>
      <c r="G224" s="3" t="s">
        <v>220</v>
      </c>
      <c r="H224" s="4">
        <v>6.82</v>
      </c>
      <c r="I224" s="3">
        <v>4</v>
      </c>
      <c r="J224" s="3" t="s">
        <v>4</v>
      </c>
      <c r="K224" s="3" t="s">
        <v>4</v>
      </c>
      <c r="L224" s="3">
        <v>124</v>
      </c>
      <c r="M224" s="3">
        <v>71</v>
      </c>
      <c r="N224" s="3" t="s">
        <v>12</v>
      </c>
      <c r="O224" s="3" t="str">
        <f>_xlfn.IFS('Data set'!$H224&lt;5.7,"Normal",'Data set'!$H224&lt;=6.4,"Prediabetes",'Data set'!$H224&lt;=7.5,"Diabetes",'Data set'!$H224&gt;=7.5,"Uncontrolled")</f>
        <v>Diabetes</v>
      </c>
      <c r="P224" s="3" t="str">
        <f>_xlfn.IFS('Data set'!$F224&lt;120,"Low",'Data set'!$F224&lt;=200,"Normal",'Data set'!$F224&lt;=240,"Boarderline",'Data set'!$F224&gt;=241,"High")</f>
        <v>Boarderline</v>
      </c>
      <c r="Q224" s="3" t="str">
        <f>_xlfn.IFS('Data set'!$D224&lt;=18.5,"Low",'Data set'!$D224&lt;=24.9,"Normal",'Data set'!$D224&lt;=29.9,"High",'Data set'!$D224&gt;29.9,"Very High")</f>
        <v>High</v>
      </c>
    </row>
    <row r="225" spans="1:17" x14ac:dyDescent="0.25">
      <c r="A225" s="5">
        <v>47</v>
      </c>
      <c r="B225" s="5" t="s">
        <v>0</v>
      </c>
      <c r="C225" s="6">
        <v>192.57</v>
      </c>
      <c r="D225" s="6">
        <v>21.03</v>
      </c>
      <c r="E225" s="5" t="s">
        <v>1</v>
      </c>
      <c r="F225" s="5">
        <v>239</v>
      </c>
      <c r="G225" s="5" t="s">
        <v>113</v>
      </c>
      <c r="H225" s="6">
        <v>9.8000000000000007</v>
      </c>
      <c r="I225" s="5">
        <v>3</v>
      </c>
      <c r="J225" s="5" t="s">
        <v>4</v>
      </c>
      <c r="K225" s="5" t="s">
        <v>4</v>
      </c>
      <c r="L225" s="5">
        <v>124</v>
      </c>
      <c r="M225" s="5">
        <v>89</v>
      </c>
      <c r="N225" s="5" t="s">
        <v>23</v>
      </c>
      <c r="O225" s="5" t="str">
        <f>_xlfn.IFS('Data set'!$H225&lt;5.7,"Normal",'Data set'!$H225&lt;=6.4,"Prediabetes",'Data set'!$H225&lt;=7.5,"Diabetes",'Data set'!$H225&gt;=7.5,"Uncontrolled")</f>
        <v>Uncontrolled</v>
      </c>
      <c r="P225" s="5" t="str">
        <f>_xlfn.IFS('Data set'!$F225&lt;120,"Low",'Data set'!$F225&lt;=200,"Normal",'Data set'!$F225&lt;=240,"Boarderline",'Data set'!$F225&gt;=241,"High")</f>
        <v>Boarderline</v>
      </c>
      <c r="Q225" s="5" t="str">
        <f>_xlfn.IFS('Data set'!$D225&lt;=18.5,"Low",'Data set'!$D225&lt;=24.9,"Normal",'Data set'!$D225&lt;=29.9,"High",'Data set'!$D225&gt;29.9,"Very High")</f>
        <v>Normal</v>
      </c>
    </row>
    <row r="226" spans="1:17" x14ac:dyDescent="0.25">
      <c r="A226" s="3">
        <v>59</v>
      </c>
      <c r="B226" s="3" t="s">
        <v>0</v>
      </c>
      <c r="C226" s="4">
        <v>247.86</v>
      </c>
      <c r="D226" s="4">
        <v>38.1</v>
      </c>
      <c r="E226" s="3" t="s">
        <v>1</v>
      </c>
      <c r="F226" s="3">
        <v>246</v>
      </c>
      <c r="G226" s="3" t="s">
        <v>221</v>
      </c>
      <c r="H226" s="4">
        <v>6.48</v>
      </c>
      <c r="I226" s="3">
        <v>7</v>
      </c>
      <c r="J226" s="3" t="s">
        <v>4</v>
      </c>
      <c r="K226" s="3" t="s">
        <v>4</v>
      </c>
      <c r="L226" s="3">
        <v>125</v>
      </c>
      <c r="M226" s="3">
        <v>75</v>
      </c>
      <c r="N226" s="3" t="s">
        <v>8</v>
      </c>
      <c r="O226" s="3" t="str">
        <f>_xlfn.IFS('Data set'!$H226&lt;5.7,"Normal",'Data set'!$H226&lt;=6.4,"Prediabetes",'Data set'!$H226&lt;=7.5,"Diabetes",'Data set'!$H226&gt;=7.5,"Uncontrolled")</f>
        <v>Diabetes</v>
      </c>
      <c r="P226" s="3" t="str">
        <f>_xlfn.IFS('Data set'!$F226&lt;120,"Low",'Data set'!$F226&lt;=200,"Normal",'Data set'!$F226&lt;=240,"Boarderline",'Data set'!$F226&gt;=241,"High")</f>
        <v>High</v>
      </c>
      <c r="Q226" s="3" t="str">
        <f>_xlfn.IFS('Data set'!$D226&lt;=18.5,"Low",'Data set'!$D226&lt;=24.9,"Normal",'Data set'!$D226&lt;=29.9,"High",'Data set'!$D226&gt;29.9,"Very High")</f>
        <v>Very High</v>
      </c>
    </row>
    <row r="227" spans="1:17" x14ac:dyDescent="0.25">
      <c r="A227" s="5">
        <v>38</v>
      </c>
      <c r="B227" s="5" t="s">
        <v>9</v>
      </c>
      <c r="C227" s="6">
        <v>240.12</v>
      </c>
      <c r="D227" s="6">
        <v>30.93</v>
      </c>
      <c r="E227" s="5" t="s">
        <v>6</v>
      </c>
      <c r="F227" s="5">
        <v>125</v>
      </c>
      <c r="G227" s="5" t="s">
        <v>222</v>
      </c>
      <c r="H227" s="6">
        <v>7.78</v>
      </c>
      <c r="I227" s="5">
        <v>2</v>
      </c>
      <c r="J227" s="5" t="s">
        <v>4</v>
      </c>
      <c r="K227" s="5" t="s">
        <v>4</v>
      </c>
      <c r="L227" s="5">
        <v>123</v>
      </c>
      <c r="M227" s="5">
        <v>65</v>
      </c>
      <c r="N227" s="5" t="s">
        <v>12</v>
      </c>
      <c r="O227" s="5" t="str">
        <f>_xlfn.IFS('Data set'!$H227&lt;5.7,"Normal",'Data set'!$H227&lt;=6.4,"Prediabetes",'Data set'!$H227&lt;=7.5,"Diabetes",'Data set'!$H227&gt;=7.5,"Uncontrolled")</f>
        <v>Uncontrolled</v>
      </c>
      <c r="P227" s="5" t="str">
        <f>_xlfn.IFS('Data set'!$F227&lt;120,"Low",'Data set'!$F227&lt;=200,"Normal",'Data set'!$F227&lt;=240,"Boarderline",'Data set'!$F227&gt;=241,"High")</f>
        <v>Normal</v>
      </c>
      <c r="Q227" s="5" t="str">
        <f>_xlfn.IFS('Data set'!$D227&lt;=18.5,"Low",'Data set'!$D227&lt;=24.9,"Normal",'Data set'!$D227&lt;=29.9,"High",'Data set'!$D227&gt;29.9,"Very High")</f>
        <v>Very High</v>
      </c>
    </row>
    <row r="228" spans="1:17" x14ac:dyDescent="0.25">
      <c r="A228" s="3">
        <v>61</v>
      </c>
      <c r="B228" s="3" t="s">
        <v>0</v>
      </c>
      <c r="C228" s="4">
        <v>103</v>
      </c>
      <c r="D228" s="4">
        <v>33.43</v>
      </c>
      <c r="E228" s="3" t="s">
        <v>14</v>
      </c>
      <c r="F228" s="3">
        <v>200</v>
      </c>
      <c r="G228" s="3" t="s">
        <v>223</v>
      </c>
      <c r="H228" s="4">
        <v>7.94</v>
      </c>
      <c r="I228" s="3">
        <v>3</v>
      </c>
      <c r="J228" s="3" t="s">
        <v>4</v>
      </c>
      <c r="K228" s="3" t="s">
        <v>3</v>
      </c>
      <c r="L228" s="3">
        <v>108</v>
      </c>
      <c r="M228" s="3">
        <v>81</v>
      </c>
      <c r="N228" s="3" t="s">
        <v>21</v>
      </c>
      <c r="O228" s="3" t="str">
        <f>_xlfn.IFS('Data set'!$H228&lt;5.7,"Normal",'Data set'!$H228&lt;=6.4,"Prediabetes",'Data set'!$H228&lt;=7.5,"Diabetes",'Data set'!$H228&gt;=7.5,"Uncontrolled")</f>
        <v>Uncontrolled</v>
      </c>
      <c r="P228" s="3" t="str">
        <f>_xlfn.IFS('Data set'!$F228&lt;120,"Low",'Data set'!$F228&lt;=200,"Normal",'Data set'!$F228&lt;=240,"Boarderline",'Data set'!$F228&gt;=241,"High")</f>
        <v>Normal</v>
      </c>
      <c r="Q228" s="3" t="str">
        <f>_xlfn.IFS('Data set'!$D228&lt;=18.5,"Low",'Data set'!$D228&lt;=24.9,"Normal",'Data set'!$D228&lt;=29.9,"High",'Data set'!$D228&gt;29.9,"Very High")</f>
        <v>Very High</v>
      </c>
    </row>
    <row r="229" spans="1:17" x14ac:dyDescent="0.25">
      <c r="A229" s="5">
        <v>74</v>
      </c>
      <c r="B229" s="5" t="s">
        <v>0</v>
      </c>
      <c r="C229" s="6">
        <v>273.56</v>
      </c>
      <c r="D229" s="6">
        <v>24</v>
      </c>
      <c r="E229" s="5" t="s">
        <v>14</v>
      </c>
      <c r="F229" s="5">
        <v>285</v>
      </c>
      <c r="G229" s="5" t="s">
        <v>224</v>
      </c>
      <c r="H229" s="6">
        <v>9.06</v>
      </c>
      <c r="I229" s="5">
        <v>0</v>
      </c>
      <c r="J229" s="5" t="s">
        <v>3</v>
      </c>
      <c r="K229" s="5" t="s">
        <v>4</v>
      </c>
      <c r="L229" s="5">
        <v>100</v>
      </c>
      <c r="M229" s="5">
        <v>60</v>
      </c>
      <c r="N229" s="5" t="s">
        <v>5</v>
      </c>
      <c r="O229" s="5" t="str">
        <f>_xlfn.IFS('Data set'!$H229&lt;5.7,"Normal",'Data set'!$H229&lt;=6.4,"Prediabetes",'Data set'!$H229&lt;=7.5,"Diabetes",'Data set'!$H229&gt;=7.5,"Uncontrolled")</f>
        <v>Uncontrolled</v>
      </c>
      <c r="P229" s="5" t="str">
        <f>_xlfn.IFS('Data set'!$F229&lt;120,"Low",'Data set'!$F229&lt;=200,"Normal",'Data set'!$F229&lt;=240,"Boarderline",'Data set'!$F229&gt;=241,"High")</f>
        <v>High</v>
      </c>
      <c r="Q229" s="5" t="str">
        <f>_xlfn.IFS('Data set'!$D229&lt;=18.5,"Low",'Data set'!$D229&lt;=24.9,"Normal",'Data set'!$D229&lt;=29.9,"High",'Data set'!$D229&gt;29.9,"Very High")</f>
        <v>Normal</v>
      </c>
    </row>
    <row r="230" spans="1:17" x14ac:dyDescent="0.25">
      <c r="A230" s="3">
        <v>58</v>
      </c>
      <c r="B230" s="3" t="s">
        <v>0</v>
      </c>
      <c r="C230" s="4">
        <v>99.99</v>
      </c>
      <c r="D230" s="4">
        <v>38.26</v>
      </c>
      <c r="E230" s="3" t="s">
        <v>6</v>
      </c>
      <c r="F230" s="3">
        <v>117</v>
      </c>
      <c r="G230" s="3" t="s">
        <v>225</v>
      </c>
      <c r="H230" s="4">
        <v>5.57</v>
      </c>
      <c r="I230" s="3">
        <v>3</v>
      </c>
      <c r="J230" s="3" t="s">
        <v>4</v>
      </c>
      <c r="K230" s="3" t="s">
        <v>4</v>
      </c>
      <c r="L230" s="3">
        <v>115</v>
      </c>
      <c r="M230" s="3">
        <v>79</v>
      </c>
      <c r="N230" s="3" t="s">
        <v>8</v>
      </c>
      <c r="O230" s="3" t="str">
        <f>_xlfn.IFS('Data set'!$H230&lt;5.7,"Normal",'Data set'!$H230&lt;=6.4,"Prediabetes",'Data set'!$H230&lt;=7.5,"Diabetes",'Data set'!$H230&gt;=7.5,"Uncontrolled")</f>
        <v>Normal</v>
      </c>
      <c r="P230" s="3" t="str">
        <f>_xlfn.IFS('Data set'!$F230&lt;120,"Low",'Data set'!$F230&lt;=200,"Normal",'Data set'!$F230&lt;=240,"Boarderline",'Data set'!$F230&gt;=241,"High")</f>
        <v>Low</v>
      </c>
      <c r="Q230" s="3" t="str">
        <f>_xlfn.IFS('Data set'!$D230&lt;=18.5,"Low",'Data set'!$D230&lt;=24.9,"Normal",'Data set'!$D230&lt;=29.9,"High",'Data set'!$D230&gt;29.9,"Very High")</f>
        <v>Very High</v>
      </c>
    </row>
    <row r="231" spans="1:17" x14ac:dyDescent="0.25">
      <c r="A231" s="5">
        <v>70</v>
      </c>
      <c r="B231" s="5" t="s">
        <v>9</v>
      </c>
      <c r="C231" s="6">
        <v>271.06</v>
      </c>
      <c r="D231" s="6">
        <v>21.3</v>
      </c>
      <c r="E231" s="5" t="s">
        <v>1</v>
      </c>
      <c r="F231" s="5">
        <v>128</v>
      </c>
      <c r="G231" s="5" t="s">
        <v>226</v>
      </c>
      <c r="H231" s="6">
        <v>6.43</v>
      </c>
      <c r="I231" s="5">
        <v>7</v>
      </c>
      <c r="J231" s="5" t="s">
        <v>4</v>
      </c>
      <c r="K231" s="5" t="s">
        <v>3</v>
      </c>
      <c r="L231" s="5">
        <v>137</v>
      </c>
      <c r="M231" s="5">
        <v>67</v>
      </c>
      <c r="N231" s="5" t="s">
        <v>21</v>
      </c>
      <c r="O231" s="5" t="str">
        <f>_xlfn.IFS('Data set'!$H231&lt;5.7,"Normal",'Data set'!$H231&lt;=6.4,"Prediabetes",'Data set'!$H231&lt;=7.5,"Diabetes",'Data set'!$H231&gt;=7.5,"Uncontrolled")</f>
        <v>Diabetes</v>
      </c>
      <c r="P231" s="5" t="str">
        <f>_xlfn.IFS('Data set'!$F231&lt;120,"Low",'Data set'!$F231&lt;=200,"Normal",'Data set'!$F231&lt;=240,"Boarderline",'Data set'!$F231&gt;=241,"High")</f>
        <v>Normal</v>
      </c>
      <c r="Q231" s="5" t="str">
        <f>_xlfn.IFS('Data set'!$D231&lt;=18.5,"Low",'Data set'!$D231&lt;=24.9,"Normal",'Data set'!$D231&lt;=29.9,"High",'Data set'!$D231&gt;29.9,"Very High")</f>
        <v>Normal</v>
      </c>
    </row>
    <row r="232" spans="1:17" x14ac:dyDescent="0.25">
      <c r="A232" s="3">
        <v>31</v>
      </c>
      <c r="B232" s="3" t="s">
        <v>9</v>
      </c>
      <c r="C232" s="4">
        <v>299.76</v>
      </c>
      <c r="D232" s="4">
        <v>36.32</v>
      </c>
      <c r="E232" s="3" t="s">
        <v>10</v>
      </c>
      <c r="F232" s="3">
        <v>148</v>
      </c>
      <c r="G232" s="3" t="s">
        <v>227</v>
      </c>
      <c r="H232" s="4">
        <v>7.55</v>
      </c>
      <c r="I232" s="3">
        <v>6</v>
      </c>
      <c r="J232" s="3" t="s">
        <v>4</v>
      </c>
      <c r="K232" s="3" t="s">
        <v>4</v>
      </c>
      <c r="L232" s="3">
        <v>135</v>
      </c>
      <c r="M232" s="3">
        <v>84</v>
      </c>
      <c r="N232" s="3" t="s">
        <v>12</v>
      </c>
      <c r="O232" s="3" t="str">
        <f>_xlfn.IFS('Data set'!$H232&lt;5.7,"Normal",'Data set'!$H232&lt;=6.4,"Prediabetes",'Data set'!$H232&lt;=7.5,"Diabetes",'Data set'!$H232&gt;=7.5,"Uncontrolled")</f>
        <v>Uncontrolled</v>
      </c>
      <c r="P232" s="3" t="str">
        <f>_xlfn.IFS('Data set'!$F232&lt;120,"Low",'Data set'!$F232&lt;=200,"Normal",'Data set'!$F232&lt;=240,"Boarderline",'Data set'!$F232&gt;=241,"High")</f>
        <v>Normal</v>
      </c>
      <c r="Q232" s="3" t="str">
        <f>_xlfn.IFS('Data set'!$D232&lt;=18.5,"Low",'Data set'!$D232&lt;=24.9,"Normal",'Data set'!$D232&lt;=29.9,"High",'Data set'!$D232&gt;29.9,"Very High")</f>
        <v>Very High</v>
      </c>
    </row>
    <row r="233" spans="1:17" x14ac:dyDescent="0.25">
      <c r="A233" s="5">
        <v>63</v>
      </c>
      <c r="B233" s="5" t="s">
        <v>0</v>
      </c>
      <c r="C233" s="6">
        <v>125.76</v>
      </c>
      <c r="D233" s="6">
        <v>29.52</v>
      </c>
      <c r="E233" s="5" t="s">
        <v>6</v>
      </c>
      <c r="F233" s="5">
        <v>125</v>
      </c>
      <c r="G233" s="5" t="s">
        <v>228</v>
      </c>
      <c r="H233" s="6">
        <v>4.59</v>
      </c>
      <c r="I233" s="5">
        <v>4</v>
      </c>
      <c r="J233" s="5" t="s">
        <v>4</v>
      </c>
      <c r="K233" s="5" t="s">
        <v>3</v>
      </c>
      <c r="L233" s="5">
        <v>125</v>
      </c>
      <c r="M233" s="5">
        <v>63</v>
      </c>
      <c r="N233" s="5" t="s">
        <v>21</v>
      </c>
      <c r="O233" s="5" t="str">
        <f>_xlfn.IFS('Data set'!$H233&lt;5.7,"Normal",'Data set'!$H233&lt;=6.4,"Prediabetes",'Data set'!$H233&lt;=7.5,"Diabetes",'Data set'!$H233&gt;=7.5,"Uncontrolled")</f>
        <v>Normal</v>
      </c>
      <c r="P233" s="5" t="str">
        <f>_xlfn.IFS('Data set'!$F233&lt;120,"Low",'Data set'!$F233&lt;=200,"Normal",'Data set'!$F233&lt;=240,"Boarderline",'Data set'!$F233&gt;=241,"High")</f>
        <v>Normal</v>
      </c>
      <c r="Q233" s="5" t="str">
        <f>_xlfn.IFS('Data set'!$D233&lt;=18.5,"Low",'Data set'!$D233&lt;=24.9,"Normal",'Data set'!$D233&lt;=29.9,"High",'Data set'!$D233&gt;29.9,"Very High")</f>
        <v>High</v>
      </c>
    </row>
    <row r="234" spans="1:17" x14ac:dyDescent="0.25">
      <c r="A234" s="3">
        <v>54</v>
      </c>
      <c r="B234" s="3" t="s">
        <v>9</v>
      </c>
      <c r="C234" s="4">
        <v>135.16999999999999</v>
      </c>
      <c r="D234" s="4">
        <v>26.72</v>
      </c>
      <c r="E234" s="3" t="s">
        <v>1</v>
      </c>
      <c r="F234" s="3">
        <v>162</v>
      </c>
      <c r="G234" s="3" t="s">
        <v>229</v>
      </c>
      <c r="H234" s="4">
        <v>4.6399999999999997</v>
      </c>
      <c r="I234" s="3">
        <v>0</v>
      </c>
      <c r="J234" s="3" t="s">
        <v>4</v>
      </c>
      <c r="K234" s="3" t="s">
        <v>4</v>
      </c>
      <c r="L234" s="3">
        <v>131</v>
      </c>
      <c r="M234" s="3">
        <v>71</v>
      </c>
      <c r="N234" s="3" t="s">
        <v>8</v>
      </c>
      <c r="O234" s="3" t="str">
        <f>_xlfn.IFS('Data set'!$H234&lt;5.7,"Normal",'Data set'!$H234&lt;=6.4,"Prediabetes",'Data set'!$H234&lt;=7.5,"Diabetes",'Data set'!$H234&gt;=7.5,"Uncontrolled")</f>
        <v>Normal</v>
      </c>
      <c r="P234" s="3" t="str">
        <f>_xlfn.IFS('Data set'!$F234&lt;120,"Low",'Data set'!$F234&lt;=200,"Normal",'Data set'!$F234&lt;=240,"Boarderline",'Data set'!$F234&gt;=241,"High")</f>
        <v>Normal</v>
      </c>
      <c r="Q234" s="3" t="str">
        <f>_xlfn.IFS('Data set'!$D234&lt;=18.5,"Low",'Data set'!$D234&lt;=24.9,"Normal",'Data set'!$D234&lt;=29.9,"High",'Data set'!$D234&gt;29.9,"Very High")</f>
        <v>High</v>
      </c>
    </row>
    <row r="235" spans="1:17" x14ac:dyDescent="0.25">
      <c r="A235" s="5">
        <v>71</v>
      </c>
      <c r="B235" s="5" t="s">
        <v>0</v>
      </c>
      <c r="C235" s="6">
        <v>141.4</v>
      </c>
      <c r="D235" s="6">
        <v>22.77</v>
      </c>
      <c r="E235" s="5" t="s">
        <v>6</v>
      </c>
      <c r="F235" s="5">
        <v>198</v>
      </c>
      <c r="G235" s="5" t="s">
        <v>230</v>
      </c>
      <c r="H235" s="6">
        <v>5.42</v>
      </c>
      <c r="I235" s="5">
        <v>3</v>
      </c>
      <c r="J235" s="5" t="s">
        <v>4</v>
      </c>
      <c r="K235" s="5" t="s">
        <v>4</v>
      </c>
      <c r="L235" s="5">
        <v>121</v>
      </c>
      <c r="M235" s="5">
        <v>82</v>
      </c>
      <c r="N235" s="5" t="s">
        <v>5</v>
      </c>
      <c r="O235" s="5" t="str">
        <f>_xlfn.IFS('Data set'!$H235&lt;5.7,"Normal",'Data set'!$H235&lt;=6.4,"Prediabetes",'Data set'!$H235&lt;=7.5,"Diabetes",'Data set'!$H235&gt;=7.5,"Uncontrolled")</f>
        <v>Normal</v>
      </c>
      <c r="P235" s="5" t="str">
        <f>_xlfn.IFS('Data set'!$F235&lt;120,"Low",'Data set'!$F235&lt;=200,"Normal",'Data set'!$F235&lt;=240,"Boarderline",'Data set'!$F235&gt;=241,"High")</f>
        <v>Normal</v>
      </c>
      <c r="Q235" s="5" t="str">
        <f>_xlfn.IFS('Data set'!$D235&lt;=18.5,"Low",'Data set'!$D235&lt;=24.9,"Normal",'Data set'!$D235&lt;=29.9,"High",'Data set'!$D235&gt;29.9,"Very High")</f>
        <v>Normal</v>
      </c>
    </row>
    <row r="236" spans="1:17" x14ac:dyDescent="0.25">
      <c r="A236" s="3">
        <v>62</v>
      </c>
      <c r="B236" s="3" t="s">
        <v>0</v>
      </c>
      <c r="C236" s="4">
        <v>215.92</v>
      </c>
      <c r="D236" s="4">
        <v>28.17</v>
      </c>
      <c r="E236" s="3" t="s">
        <v>1</v>
      </c>
      <c r="F236" s="3">
        <v>215</v>
      </c>
      <c r="G236" s="3" t="s">
        <v>231</v>
      </c>
      <c r="H236" s="4">
        <v>5.15</v>
      </c>
      <c r="I236" s="3">
        <v>1</v>
      </c>
      <c r="J236" s="3" t="s">
        <v>4</v>
      </c>
      <c r="K236" s="3" t="s">
        <v>3</v>
      </c>
      <c r="L236" s="3">
        <v>103</v>
      </c>
      <c r="M236" s="3">
        <v>84</v>
      </c>
      <c r="N236" s="3" t="s">
        <v>21</v>
      </c>
      <c r="O236" s="3" t="str">
        <f>_xlfn.IFS('Data set'!$H236&lt;5.7,"Normal",'Data set'!$H236&lt;=6.4,"Prediabetes",'Data set'!$H236&lt;=7.5,"Diabetes",'Data set'!$H236&gt;=7.5,"Uncontrolled")</f>
        <v>Normal</v>
      </c>
      <c r="P236" s="3" t="str">
        <f>_xlfn.IFS('Data set'!$F236&lt;120,"Low",'Data set'!$F236&lt;=200,"Normal",'Data set'!$F236&lt;=240,"Boarderline",'Data set'!$F236&gt;=241,"High")</f>
        <v>Boarderline</v>
      </c>
      <c r="Q236" s="3" t="str">
        <f>_xlfn.IFS('Data set'!$D236&lt;=18.5,"Low",'Data set'!$D236&lt;=24.9,"Normal",'Data set'!$D236&lt;=29.9,"High",'Data set'!$D236&gt;29.9,"Very High")</f>
        <v>High</v>
      </c>
    </row>
    <row r="237" spans="1:17" x14ac:dyDescent="0.25">
      <c r="A237" s="5">
        <v>29</v>
      </c>
      <c r="B237" s="5" t="s">
        <v>9</v>
      </c>
      <c r="C237" s="6">
        <v>182.4</v>
      </c>
      <c r="D237" s="6">
        <v>38.58</v>
      </c>
      <c r="E237" s="5" t="s">
        <v>1</v>
      </c>
      <c r="F237" s="5">
        <v>124</v>
      </c>
      <c r="G237" s="5" t="s">
        <v>232</v>
      </c>
      <c r="H237" s="6">
        <v>6.78</v>
      </c>
      <c r="I237" s="5">
        <v>2</v>
      </c>
      <c r="J237" s="5" t="s">
        <v>3</v>
      </c>
      <c r="K237" s="5" t="s">
        <v>3</v>
      </c>
      <c r="L237" s="5">
        <v>96</v>
      </c>
      <c r="M237" s="5">
        <v>74</v>
      </c>
      <c r="N237" s="5" t="s">
        <v>17</v>
      </c>
      <c r="O237" s="5" t="str">
        <f>_xlfn.IFS('Data set'!$H237&lt;5.7,"Normal",'Data set'!$H237&lt;=6.4,"Prediabetes",'Data set'!$H237&lt;=7.5,"Diabetes",'Data set'!$H237&gt;=7.5,"Uncontrolled")</f>
        <v>Diabetes</v>
      </c>
      <c r="P237" s="5" t="str">
        <f>_xlfn.IFS('Data set'!$F237&lt;120,"Low",'Data set'!$F237&lt;=200,"Normal",'Data set'!$F237&lt;=240,"Boarderline",'Data set'!$F237&gt;=241,"High")</f>
        <v>Normal</v>
      </c>
      <c r="Q237" s="5" t="str">
        <f>_xlfn.IFS('Data set'!$D237&lt;=18.5,"Low",'Data set'!$D237&lt;=24.9,"Normal",'Data set'!$D237&lt;=29.9,"High",'Data set'!$D237&gt;29.9,"Very High")</f>
        <v>Very High</v>
      </c>
    </row>
    <row r="238" spans="1:17" x14ac:dyDescent="0.25">
      <c r="A238" s="3">
        <v>21</v>
      </c>
      <c r="B238" s="3" t="s">
        <v>0</v>
      </c>
      <c r="C238" s="4">
        <v>214.82</v>
      </c>
      <c r="D238" s="4">
        <v>38.590000000000003</v>
      </c>
      <c r="E238" s="3" t="s">
        <v>1</v>
      </c>
      <c r="F238" s="3">
        <v>284</v>
      </c>
      <c r="G238" s="3" t="s">
        <v>233</v>
      </c>
      <c r="H238" s="4">
        <v>7.31</v>
      </c>
      <c r="I238" s="3">
        <v>7</v>
      </c>
      <c r="J238" s="3" t="s">
        <v>3</v>
      </c>
      <c r="K238" s="3" t="s">
        <v>4</v>
      </c>
      <c r="L238" s="3">
        <v>99</v>
      </c>
      <c r="M238" s="3">
        <v>68</v>
      </c>
      <c r="N238" s="3" t="s">
        <v>17</v>
      </c>
      <c r="O238" s="3" t="str">
        <f>_xlfn.IFS('Data set'!$H238&lt;5.7,"Normal",'Data set'!$H238&lt;=6.4,"Prediabetes",'Data set'!$H238&lt;=7.5,"Diabetes",'Data set'!$H238&gt;=7.5,"Uncontrolled")</f>
        <v>Diabetes</v>
      </c>
      <c r="P238" s="3" t="str">
        <f>_xlfn.IFS('Data set'!$F238&lt;120,"Low",'Data set'!$F238&lt;=200,"Normal",'Data set'!$F238&lt;=240,"Boarderline",'Data set'!$F238&gt;=241,"High")</f>
        <v>High</v>
      </c>
      <c r="Q238" s="3" t="str">
        <f>_xlfn.IFS('Data set'!$D238&lt;=18.5,"Low",'Data set'!$D238&lt;=24.9,"Normal",'Data set'!$D238&lt;=29.9,"High",'Data set'!$D238&gt;29.9,"Very High")</f>
        <v>Very High</v>
      </c>
    </row>
    <row r="239" spans="1:17" x14ac:dyDescent="0.25">
      <c r="A239" s="5">
        <v>31</v>
      </c>
      <c r="B239" s="5" t="s">
        <v>0</v>
      </c>
      <c r="C239" s="6">
        <v>155.93</v>
      </c>
      <c r="D239" s="6">
        <v>34.450000000000003</v>
      </c>
      <c r="E239" s="5" t="s">
        <v>1</v>
      </c>
      <c r="F239" s="5">
        <v>216</v>
      </c>
      <c r="G239" s="5" t="s">
        <v>234</v>
      </c>
      <c r="H239" s="6">
        <v>4.79</v>
      </c>
      <c r="I239" s="5">
        <v>7</v>
      </c>
      <c r="J239" s="5" t="s">
        <v>4</v>
      </c>
      <c r="K239" s="5" t="s">
        <v>3</v>
      </c>
      <c r="L239" s="5">
        <v>135</v>
      </c>
      <c r="M239" s="5">
        <v>90</v>
      </c>
      <c r="N239" s="5" t="s">
        <v>12</v>
      </c>
      <c r="O239" s="5" t="str">
        <f>_xlfn.IFS('Data set'!$H239&lt;5.7,"Normal",'Data set'!$H239&lt;=6.4,"Prediabetes",'Data set'!$H239&lt;=7.5,"Diabetes",'Data set'!$H239&gt;=7.5,"Uncontrolled")</f>
        <v>Normal</v>
      </c>
      <c r="P239" s="5" t="str">
        <f>_xlfn.IFS('Data set'!$F239&lt;120,"Low",'Data set'!$F239&lt;=200,"Normal",'Data set'!$F239&lt;=240,"Boarderline",'Data set'!$F239&gt;=241,"High")</f>
        <v>Boarderline</v>
      </c>
      <c r="Q239" s="5" t="str">
        <f>_xlfn.IFS('Data set'!$D239&lt;=18.5,"Low",'Data set'!$D239&lt;=24.9,"Normal",'Data set'!$D239&lt;=29.9,"High",'Data set'!$D239&gt;29.9,"Very High")</f>
        <v>Very High</v>
      </c>
    </row>
    <row r="240" spans="1:17" x14ac:dyDescent="0.25">
      <c r="A240" s="3">
        <v>32</v>
      </c>
      <c r="B240" s="3" t="s">
        <v>0</v>
      </c>
      <c r="C240" s="4">
        <v>127.23</v>
      </c>
      <c r="D240" s="4">
        <v>36.86</v>
      </c>
      <c r="E240" s="3" t="s">
        <v>10</v>
      </c>
      <c r="F240" s="3">
        <v>289</v>
      </c>
      <c r="G240" s="3" t="s">
        <v>235</v>
      </c>
      <c r="H240" s="4">
        <v>7.05</v>
      </c>
      <c r="I240" s="3">
        <v>6</v>
      </c>
      <c r="J240" s="3" t="s">
        <v>3</v>
      </c>
      <c r="K240" s="3" t="s">
        <v>3</v>
      </c>
      <c r="L240" s="3">
        <v>98</v>
      </c>
      <c r="M240" s="3">
        <v>89</v>
      </c>
      <c r="N240" s="3" t="s">
        <v>12</v>
      </c>
      <c r="O240" s="3" t="str">
        <f>_xlfn.IFS('Data set'!$H240&lt;5.7,"Normal",'Data set'!$H240&lt;=6.4,"Prediabetes",'Data set'!$H240&lt;=7.5,"Diabetes",'Data set'!$H240&gt;=7.5,"Uncontrolled")</f>
        <v>Diabetes</v>
      </c>
      <c r="P240" s="3" t="str">
        <f>_xlfn.IFS('Data set'!$F240&lt;120,"Low",'Data set'!$F240&lt;=200,"Normal",'Data set'!$F240&lt;=240,"Boarderline",'Data set'!$F240&gt;=241,"High")</f>
        <v>High</v>
      </c>
      <c r="Q240" s="3" t="str">
        <f>_xlfn.IFS('Data set'!$D240&lt;=18.5,"Low",'Data set'!$D240&lt;=24.9,"Normal",'Data set'!$D240&lt;=29.9,"High",'Data set'!$D240&gt;29.9,"Very High")</f>
        <v>Very High</v>
      </c>
    </row>
    <row r="241" spans="1:17" x14ac:dyDescent="0.25">
      <c r="A241" s="5">
        <v>66</v>
      </c>
      <c r="B241" s="5" t="s">
        <v>9</v>
      </c>
      <c r="C241" s="6">
        <v>124.55</v>
      </c>
      <c r="D241" s="6">
        <v>24.69</v>
      </c>
      <c r="E241" s="5" t="s">
        <v>6</v>
      </c>
      <c r="F241" s="5">
        <v>144</v>
      </c>
      <c r="G241" s="5" t="s">
        <v>236</v>
      </c>
      <c r="H241" s="6">
        <v>8</v>
      </c>
      <c r="I241" s="5">
        <v>1</v>
      </c>
      <c r="J241" s="5" t="s">
        <v>4</v>
      </c>
      <c r="K241" s="5" t="s">
        <v>4</v>
      </c>
      <c r="L241" s="5">
        <v>137</v>
      </c>
      <c r="M241" s="5">
        <v>75</v>
      </c>
      <c r="N241" s="5" t="s">
        <v>21</v>
      </c>
      <c r="O241" s="5" t="str">
        <f>_xlfn.IFS('Data set'!$H241&lt;5.7,"Normal",'Data set'!$H241&lt;=6.4,"Prediabetes",'Data set'!$H241&lt;=7.5,"Diabetes",'Data set'!$H241&gt;=7.5,"Uncontrolled")</f>
        <v>Uncontrolled</v>
      </c>
      <c r="P241" s="5" t="str">
        <f>_xlfn.IFS('Data set'!$F241&lt;120,"Low",'Data set'!$F241&lt;=200,"Normal",'Data set'!$F241&lt;=240,"Boarderline",'Data set'!$F241&gt;=241,"High")</f>
        <v>Normal</v>
      </c>
      <c r="Q241" s="5" t="str">
        <f>_xlfn.IFS('Data set'!$D241&lt;=18.5,"Low",'Data set'!$D241&lt;=24.9,"Normal",'Data set'!$D241&lt;=29.9,"High",'Data set'!$D241&gt;29.9,"Very High")</f>
        <v>Normal</v>
      </c>
    </row>
    <row r="242" spans="1:17" x14ac:dyDescent="0.25">
      <c r="A242" s="3">
        <v>76</v>
      </c>
      <c r="B242" s="3" t="s">
        <v>9</v>
      </c>
      <c r="C242" s="4">
        <v>110.47</v>
      </c>
      <c r="D242" s="4">
        <v>35.49</v>
      </c>
      <c r="E242" s="3" t="s">
        <v>10</v>
      </c>
      <c r="F242" s="3">
        <v>106</v>
      </c>
      <c r="G242" s="3" t="s">
        <v>237</v>
      </c>
      <c r="H242" s="4">
        <v>7.98</v>
      </c>
      <c r="I242" s="3">
        <v>4</v>
      </c>
      <c r="J242" s="3" t="s">
        <v>4</v>
      </c>
      <c r="K242" s="3" t="s">
        <v>4</v>
      </c>
      <c r="L242" s="3">
        <v>104</v>
      </c>
      <c r="M242" s="3">
        <v>66</v>
      </c>
      <c r="N242" s="3" t="s">
        <v>5</v>
      </c>
      <c r="O242" s="3" t="str">
        <f>_xlfn.IFS('Data set'!$H242&lt;5.7,"Normal",'Data set'!$H242&lt;=6.4,"Prediabetes",'Data set'!$H242&lt;=7.5,"Diabetes",'Data set'!$H242&gt;=7.5,"Uncontrolled")</f>
        <v>Uncontrolled</v>
      </c>
      <c r="P242" s="3" t="str">
        <f>_xlfn.IFS('Data set'!$F242&lt;120,"Low",'Data set'!$F242&lt;=200,"Normal",'Data set'!$F242&lt;=240,"Boarderline",'Data set'!$F242&gt;=241,"High")</f>
        <v>Low</v>
      </c>
      <c r="Q242" s="3" t="str">
        <f>_xlfn.IFS('Data set'!$D242&lt;=18.5,"Low",'Data set'!$D242&lt;=24.9,"Normal",'Data set'!$D242&lt;=29.9,"High",'Data set'!$D242&gt;29.9,"Very High")</f>
        <v>Very High</v>
      </c>
    </row>
    <row r="243" spans="1:17" x14ac:dyDescent="0.25">
      <c r="A243" s="5">
        <v>39</v>
      </c>
      <c r="B243" s="5" t="s">
        <v>9</v>
      </c>
      <c r="C243" s="6">
        <v>179.62</v>
      </c>
      <c r="D243" s="6">
        <v>22.56</v>
      </c>
      <c r="E243" s="5" t="s">
        <v>1</v>
      </c>
      <c r="F243" s="5">
        <v>264</v>
      </c>
      <c r="G243" s="5" t="s">
        <v>238</v>
      </c>
      <c r="H243" s="6">
        <v>9.81</v>
      </c>
      <c r="I243" s="5">
        <v>3</v>
      </c>
      <c r="J243" s="5" t="s">
        <v>3</v>
      </c>
      <c r="K243" s="5" t="s">
        <v>4</v>
      </c>
      <c r="L243" s="5">
        <v>116</v>
      </c>
      <c r="M243" s="5">
        <v>75</v>
      </c>
      <c r="N243" s="5" t="s">
        <v>12</v>
      </c>
      <c r="O243" s="5" t="str">
        <f>_xlfn.IFS('Data set'!$H243&lt;5.7,"Normal",'Data set'!$H243&lt;=6.4,"Prediabetes",'Data set'!$H243&lt;=7.5,"Diabetes",'Data set'!$H243&gt;=7.5,"Uncontrolled")</f>
        <v>Uncontrolled</v>
      </c>
      <c r="P243" s="5" t="str">
        <f>_xlfn.IFS('Data set'!$F243&lt;120,"Low",'Data set'!$F243&lt;=200,"Normal",'Data set'!$F243&lt;=240,"Boarderline",'Data set'!$F243&gt;=241,"High")</f>
        <v>High</v>
      </c>
      <c r="Q243" s="5" t="str">
        <f>_xlfn.IFS('Data set'!$D243&lt;=18.5,"Low",'Data set'!$D243&lt;=24.9,"Normal",'Data set'!$D243&lt;=29.9,"High",'Data set'!$D243&gt;29.9,"Very High")</f>
        <v>Normal</v>
      </c>
    </row>
    <row r="244" spans="1:17" x14ac:dyDescent="0.25">
      <c r="A244" s="3">
        <v>22</v>
      </c>
      <c r="B244" s="3" t="s">
        <v>9</v>
      </c>
      <c r="C244" s="4">
        <v>294.99</v>
      </c>
      <c r="D244" s="4">
        <v>34.92</v>
      </c>
      <c r="E244" s="3" t="s">
        <v>1</v>
      </c>
      <c r="F244" s="3">
        <v>140</v>
      </c>
      <c r="G244" s="3" t="s">
        <v>239</v>
      </c>
      <c r="H244" s="4">
        <v>5.07</v>
      </c>
      <c r="I244" s="3">
        <v>6</v>
      </c>
      <c r="J244" s="3" t="s">
        <v>4</v>
      </c>
      <c r="K244" s="3" t="s">
        <v>3</v>
      </c>
      <c r="L244" s="3">
        <v>133</v>
      </c>
      <c r="M244" s="3">
        <v>70</v>
      </c>
      <c r="N244" s="3" t="s">
        <v>17</v>
      </c>
      <c r="O244" s="3" t="str">
        <f>_xlfn.IFS('Data set'!$H244&lt;5.7,"Normal",'Data set'!$H244&lt;=6.4,"Prediabetes",'Data set'!$H244&lt;=7.5,"Diabetes",'Data set'!$H244&gt;=7.5,"Uncontrolled")</f>
        <v>Normal</v>
      </c>
      <c r="P244" s="3" t="str">
        <f>_xlfn.IFS('Data set'!$F244&lt;120,"Low",'Data set'!$F244&lt;=200,"Normal",'Data set'!$F244&lt;=240,"Boarderline",'Data set'!$F244&gt;=241,"High")</f>
        <v>Normal</v>
      </c>
      <c r="Q244" s="3" t="str">
        <f>_xlfn.IFS('Data set'!$D244&lt;=18.5,"Low",'Data set'!$D244&lt;=24.9,"Normal",'Data set'!$D244&lt;=29.9,"High",'Data set'!$D244&gt;29.9,"Very High")</f>
        <v>Very High</v>
      </c>
    </row>
    <row r="245" spans="1:17" x14ac:dyDescent="0.25">
      <c r="A245" s="5">
        <v>45</v>
      </c>
      <c r="B245" s="5" t="s">
        <v>9</v>
      </c>
      <c r="C245" s="6">
        <v>187.01</v>
      </c>
      <c r="D245" s="6">
        <v>30.04</v>
      </c>
      <c r="E245" s="5" t="s">
        <v>10</v>
      </c>
      <c r="F245" s="5">
        <v>170</v>
      </c>
      <c r="G245" s="5" t="s">
        <v>240</v>
      </c>
      <c r="H245" s="6">
        <v>7</v>
      </c>
      <c r="I245" s="5">
        <v>0</v>
      </c>
      <c r="J245" s="5" t="s">
        <v>4</v>
      </c>
      <c r="K245" s="5" t="s">
        <v>3</v>
      </c>
      <c r="L245" s="5">
        <v>118</v>
      </c>
      <c r="M245" s="5">
        <v>67</v>
      </c>
      <c r="N245" s="5" t="s">
        <v>23</v>
      </c>
      <c r="O245" s="5" t="str">
        <f>_xlfn.IFS('Data set'!$H245&lt;5.7,"Normal",'Data set'!$H245&lt;=6.4,"Prediabetes",'Data set'!$H245&lt;=7.5,"Diabetes",'Data set'!$H245&gt;=7.5,"Uncontrolled")</f>
        <v>Diabetes</v>
      </c>
      <c r="P245" s="5" t="str">
        <f>_xlfn.IFS('Data set'!$F245&lt;120,"Low",'Data set'!$F245&lt;=200,"Normal",'Data set'!$F245&lt;=240,"Boarderline",'Data set'!$F245&gt;=241,"High")</f>
        <v>Normal</v>
      </c>
      <c r="Q245" s="5" t="str">
        <f>_xlfn.IFS('Data set'!$D245&lt;=18.5,"Low",'Data set'!$D245&lt;=24.9,"Normal",'Data set'!$D245&lt;=29.9,"High",'Data set'!$D245&gt;29.9,"Very High")</f>
        <v>Very High</v>
      </c>
    </row>
    <row r="246" spans="1:17" x14ac:dyDescent="0.25">
      <c r="A246" s="3">
        <v>46</v>
      </c>
      <c r="B246" s="3" t="s">
        <v>9</v>
      </c>
      <c r="C246" s="4">
        <v>151.58000000000001</v>
      </c>
      <c r="D246" s="4">
        <v>38.81</v>
      </c>
      <c r="E246" s="3" t="s">
        <v>6</v>
      </c>
      <c r="F246" s="3">
        <v>199</v>
      </c>
      <c r="G246" s="3" t="s">
        <v>241</v>
      </c>
      <c r="H246" s="4">
        <v>5.22</v>
      </c>
      <c r="I246" s="3">
        <v>4</v>
      </c>
      <c r="J246" s="3" t="s">
        <v>3</v>
      </c>
      <c r="K246" s="3" t="s">
        <v>3</v>
      </c>
      <c r="L246" s="3">
        <v>105</v>
      </c>
      <c r="M246" s="3">
        <v>67</v>
      </c>
      <c r="N246" s="3" t="s">
        <v>23</v>
      </c>
      <c r="O246" s="3" t="str">
        <f>_xlfn.IFS('Data set'!$H246&lt;5.7,"Normal",'Data set'!$H246&lt;=6.4,"Prediabetes",'Data set'!$H246&lt;=7.5,"Diabetes",'Data set'!$H246&gt;=7.5,"Uncontrolled")</f>
        <v>Normal</v>
      </c>
      <c r="P246" s="3" t="str">
        <f>_xlfn.IFS('Data set'!$F246&lt;120,"Low",'Data set'!$F246&lt;=200,"Normal",'Data set'!$F246&lt;=240,"Boarderline",'Data set'!$F246&gt;=241,"High")</f>
        <v>Normal</v>
      </c>
      <c r="Q246" s="3" t="str">
        <f>_xlfn.IFS('Data set'!$D246&lt;=18.5,"Low",'Data set'!$D246&lt;=24.9,"Normal",'Data set'!$D246&lt;=29.9,"High",'Data set'!$D246&gt;29.9,"Very High")</f>
        <v>Very High</v>
      </c>
    </row>
    <row r="247" spans="1:17" x14ac:dyDescent="0.25">
      <c r="A247" s="5">
        <v>40</v>
      </c>
      <c r="B247" s="5" t="s">
        <v>9</v>
      </c>
      <c r="C247" s="6">
        <v>91.18</v>
      </c>
      <c r="D247" s="6">
        <v>36.69</v>
      </c>
      <c r="E247" s="5" t="s">
        <v>6</v>
      </c>
      <c r="F247" s="5">
        <v>262</v>
      </c>
      <c r="G247" s="5" t="s">
        <v>242</v>
      </c>
      <c r="H247" s="6">
        <v>9.58</v>
      </c>
      <c r="I247" s="5">
        <v>5</v>
      </c>
      <c r="J247" s="5" t="s">
        <v>3</v>
      </c>
      <c r="K247" s="5" t="s">
        <v>3</v>
      </c>
      <c r="L247" s="5">
        <v>138</v>
      </c>
      <c r="M247" s="5">
        <v>70</v>
      </c>
      <c r="N247" s="5" t="s">
        <v>12</v>
      </c>
      <c r="O247" s="5" t="str">
        <f>_xlfn.IFS('Data set'!$H247&lt;5.7,"Normal",'Data set'!$H247&lt;=6.4,"Prediabetes",'Data set'!$H247&lt;=7.5,"Diabetes",'Data set'!$H247&gt;=7.5,"Uncontrolled")</f>
        <v>Uncontrolled</v>
      </c>
      <c r="P247" s="5" t="str">
        <f>_xlfn.IFS('Data set'!$F247&lt;120,"Low",'Data set'!$F247&lt;=200,"Normal",'Data set'!$F247&lt;=240,"Boarderline",'Data set'!$F247&gt;=241,"High")</f>
        <v>High</v>
      </c>
      <c r="Q247" s="5" t="str">
        <f>_xlfn.IFS('Data set'!$D247&lt;=18.5,"Low",'Data set'!$D247&lt;=24.9,"Normal",'Data set'!$D247&lt;=29.9,"High",'Data set'!$D247&gt;29.9,"Very High")</f>
        <v>Very High</v>
      </c>
    </row>
    <row r="248" spans="1:17" x14ac:dyDescent="0.25">
      <c r="A248" s="3">
        <v>25</v>
      </c>
      <c r="B248" s="3" t="s">
        <v>0</v>
      </c>
      <c r="C248" s="4">
        <v>248.15</v>
      </c>
      <c r="D248" s="4">
        <v>38.19</v>
      </c>
      <c r="E248" s="3" t="s">
        <v>6</v>
      </c>
      <c r="F248" s="3">
        <v>112</v>
      </c>
      <c r="G248" s="3" t="s">
        <v>243</v>
      </c>
      <c r="H248" s="4">
        <v>8.86</v>
      </c>
      <c r="I248" s="3">
        <v>0</v>
      </c>
      <c r="J248" s="3" t="s">
        <v>4</v>
      </c>
      <c r="K248" s="3" t="s">
        <v>4</v>
      </c>
      <c r="L248" s="3">
        <v>110</v>
      </c>
      <c r="M248" s="3">
        <v>86</v>
      </c>
      <c r="N248" s="3" t="s">
        <v>17</v>
      </c>
      <c r="O248" s="3" t="str">
        <f>_xlfn.IFS('Data set'!$H248&lt;5.7,"Normal",'Data set'!$H248&lt;=6.4,"Prediabetes",'Data set'!$H248&lt;=7.5,"Diabetes",'Data set'!$H248&gt;=7.5,"Uncontrolled")</f>
        <v>Uncontrolled</v>
      </c>
      <c r="P248" s="3" t="str">
        <f>_xlfn.IFS('Data set'!$F248&lt;120,"Low",'Data set'!$F248&lt;=200,"Normal",'Data set'!$F248&lt;=240,"Boarderline",'Data set'!$F248&gt;=241,"High")</f>
        <v>Low</v>
      </c>
      <c r="Q248" s="3" t="str">
        <f>_xlfn.IFS('Data set'!$D248&lt;=18.5,"Low",'Data set'!$D248&lt;=24.9,"Normal",'Data set'!$D248&lt;=29.9,"High",'Data set'!$D248&gt;29.9,"Very High")</f>
        <v>Very High</v>
      </c>
    </row>
    <row r="249" spans="1:17" x14ac:dyDescent="0.25">
      <c r="A249" s="5">
        <v>52</v>
      </c>
      <c r="B249" s="5" t="s">
        <v>0</v>
      </c>
      <c r="C249" s="6">
        <v>167.19</v>
      </c>
      <c r="D249" s="6">
        <v>34.72</v>
      </c>
      <c r="E249" s="5" t="s">
        <v>10</v>
      </c>
      <c r="F249" s="5">
        <v>256</v>
      </c>
      <c r="G249" s="5" t="s">
        <v>244</v>
      </c>
      <c r="H249" s="6">
        <v>4.59</v>
      </c>
      <c r="I249" s="5">
        <v>5</v>
      </c>
      <c r="J249" s="5" t="s">
        <v>3</v>
      </c>
      <c r="K249" s="5" t="s">
        <v>4</v>
      </c>
      <c r="L249" s="5">
        <v>94</v>
      </c>
      <c r="M249" s="5">
        <v>60</v>
      </c>
      <c r="N249" s="5" t="s">
        <v>8</v>
      </c>
      <c r="O249" s="5" t="str">
        <f>_xlfn.IFS('Data set'!$H249&lt;5.7,"Normal",'Data set'!$H249&lt;=6.4,"Prediabetes",'Data set'!$H249&lt;=7.5,"Diabetes",'Data set'!$H249&gt;=7.5,"Uncontrolled")</f>
        <v>Normal</v>
      </c>
      <c r="P249" s="5" t="str">
        <f>_xlfn.IFS('Data set'!$F249&lt;120,"Low",'Data set'!$F249&lt;=200,"Normal",'Data set'!$F249&lt;=240,"Boarderline",'Data set'!$F249&gt;=241,"High")</f>
        <v>High</v>
      </c>
      <c r="Q249" s="5" t="str">
        <f>_xlfn.IFS('Data set'!$D249&lt;=18.5,"Low",'Data set'!$D249&lt;=24.9,"Normal",'Data set'!$D249&lt;=29.9,"High",'Data set'!$D249&gt;29.9,"Very High")</f>
        <v>Very High</v>
      </c>
    </row>
    <row r="250" spans="1:17" x14ac:dyDescent="0.25">
      <c r="A250" s="3">
        <v>64</v>
      </c>
      <c r="B250" s="3" t="s">
        <v>9</v>
      </c>
      <c r="C250" s="4">
        <v>238.54</v>
      </c>
      <c r="D250" s="4">
        <v>37.86</v>
      </c>
      <c r="E250" s="3" t="s">
        <v>6</v>
      </c>
      <c r="F250" s="3">
        <v>140</v>
      </c>
      <c r="G250" s="3" t="s">
        <v>245</v>
      </c>
      <c r="H250" s="4">
        <v>7.6</v>
      </c>
      <c r="I250" s="3">
        <v>0</v>
      </c>
      <c r="J250" s="3" t="s">
        <v>3</v>
      </c>
      <c r="K250" s="3" t="s">
        <v>3</v>
      </c>
      <c r="L250" s="3">
        <v>94</v>
      </c>
      <c r="M250" s="3">
        <v>72</v>
      </c>
      <c r="N250" s="3" t="s">
        <v>21</v>
      </c>
      <c r="O250" s="3" t="str">
        <f>_xlfn.IFS('Data set'!$H250&lt;5.7,"Normal",'Data set'!$H250&lt;=6.4,"Prediabetes",'Data set'!$H250&lt;=7.5,"Diabetes",'Data set'!$H250&gt;=7.5,"Uncontrolled")</f>
        <v>Uncontrolled</v>
      </c>
      <c r="P250" s="3" t="str">
        <f>_xlfn.IFS('Data set'!$F250&lt;120,"Low",'Data set'!$F250&lt;=200,"Normal",'Data set'!$F250&lt;=240,"Boarderline",'Data set'!$F250&gt;=241,"High")</f>
        <v>Normal</v>
      </c>
      <c r="Q250" s="3" t="str">
        <f>_xlfn.IFS('Data set'!$D250&lt;=18.5,"Low",'Data set'!$D250&lt;=24.9,"Normal",'Data set'!$D250&lt;=29.9,"High",'Data set'!$D250&gt;29.9,"Very High")</f>
        <v>Very High</v>
      </c>
    </row>
    <row r="251" spans="1:17" x14ac:dyDescent="0.25">
      <c r="A251" s="5">
        <v>75</v>
      </c>
      <c r="B251" s="5" t="s">
        <v>9</v>
      </c>
      <c r="C251" s="6">
        <v>132.46</v>
      </c>
      <c r="D251" s="6">
        <v>34.409999999999997</v>
      </c>
      <c r="E251" s="5" t="s">
        <v>10</v>
      </c>
      <c r="F251" s="5">
        <v>184</v>
      </c>
      <c r="G251" s="5" t="s">
        <v>240</v>
      </c>
      <c r="H251" s="6">
        <v>8.0500000000000007</v>
      </c>
      <c r="I251" s="5">
        <v>4</v>
      </c>
      <c r="J251" s="5" t="s">
        <v>3</v>
      </c>
      <c r="K251" s="5" t="s">
        <v>4</v>
      </c>
      <c r="L251" s="5">
        <v>118</v>
      </c>
      <c r="M251" s="5">
        <v>67</v>
      </c>
      <c r="N251" s="5" t="s">
        <v>5</v>
      </c>
      <c r="O251" s="5" t="str">
        <f>_xlfn.IFS('Data set'!$H251&lt;5.7,"Normal",'Data set'!$H251&lt;=6.4,"Prediabetes",'Data set'!$H251&lt;=7.5,"Diabetes",'Data set'!$H251&gt;=7.5,"Uncontrolled")</f>
        <v>Uncontrolled</v>
      </c>
      <c r="P251" s="5" t="str">
        <f>_xlfn.IFS('Data set'!$F251&lt;120,"Low",'Data set'!$F251&lt;=200,"Normal",'Data set'!$F251&lt;=240,"Boarderline",'Data set'!$F251&gt;=241,"High")</f>
        <v>Normal</v>
      </c>
      <c r="Q251" s="5" t="str">
        <f>_xlfn.IFS('Data set'!$D251&lt;=18.5,"Low",'Data set'!$D251&lt;=24.9,"Normal",'Data set'!$D251&lt;=29.9,"High",'Data set'!$D251&gt;29.9,"Very High")</f>
        <v>Very High</v>
      </c>
    </row>
    <row r="252" spans="1:17" x14ac:dyDescent="0.25">
      <c r="A252" s="3">
        <v>32</v>
      </c>
      <c r="B252" s="3" t="s">
        <v>9</v>
      </c>
      <c r="C252" s="4">
        <v>263.36</v>
      </c>
      <c r="D252" s="4">
        <v>25.97</v>
      </c>
      <c r="E252" s="3" t="s">
        <v>6</v>
      </c>
      <c r="F252" s="3">
        <v>155</v>
      </c>
      <c r="G252" s="3" t="s">
        <v>246</v>
      </c>
      <c r="H252" s="4">
        <v>5.92</v>
      </c>
      <c r="I252" s="3">
        <v>6</v>
      </c>
      <c r="J252" s="3" t="s">
        <v>4</v>
      </c>
      <c r="K252" s="3" t="s">
        <v>4</v>
      </c>
      <c r="L252" s="3">
        <v>129</v>
      </c>
      <c r="M252" s="3">
        <v>73</v>
      </c>
      <c r="N252" s="3" t="s">
        <v>12</v>
      </c>
      <c r="O252" s="3" t="str">
        <f>_xlfn.IFS('Data set'!$H252&lt;5.7,"Normal",'Data set'!$H252&lt;=6.4,"Prediabetes",'Data set'!$H252&lt;=7.5,"Diabetes",'Data set'!$H252&gt;=7.5,"Uncontrolled")</f>
        <v>Prediabetes</v>
      </c>
      <c r="P252" s="3" t="str">
        <f>_xlfn.IFS('Data set'!$F252&lt;120,"Low",'Data set'!$F252&lt;=200,"Normal",'Data set'!$F252&lt;=240,"Boarderline",'Data set'!$F252&gt;=241,"High")</f>
        <v>Normal</v>
      </c>
      <c r="Q252" s="3" t="str">
        <f>_xlfn.IFS('Data set'!$D252&lt;=18.5,"Low",'Data set'!$D252&lt;=24.9,"Normal",'Data set'!$D252&lt;=29.9,"High",'Data set'!$D252&gt;29.9,"Very High")</f>
        <v>High</v>
      </c>
    </row>
    <row r="253" spans="1:17" x14ac:dyDescent="0.25">
      <c r="A253" s="5">
        <v>64</v>
      </c>
      <c r="B253" s="5" t="s">
        <v>0</v>
      </c>
      <c r="C253" s="6">
        <v>274.37</v>
      </c>
      <c r="D253" s="6">
        <v>27.69</v>
      </c>
      <c r="E253" s="5" t="s">
        <v>14</v>
      </c>
      <c r="F253" s="5">
        <v>274</v>
      </c>
      <c r="G253" s="5" t="s">
        <v>247</v>
      </c>
      <c r="H253" s="6">
        <v>4.9000000000000004</v>
      </c>
      <c r="I253" s="5">
        <v>4</v>
      </c>
      <c r="J253" s="5" t="s">
        <v>4</v>
      </c>
      <c r="K253" s="5" t="s">
        <v>3</v>
      </c>
      <c r="L253" s="5">
        <v>108</v>
      </c>
      <c r="M253" s="5">
        <v>64</v>
      </c>
      <c r="N253" s="5" t="s">
        <v>21</v>
      </c>
      <c r="O253" s="5" t="str">
        <f>_xlfn.IFS('Data set'!$H253&lt;5.7,"Normal",'Data set'!$H253&lt;=6.4,"Prediabetes",'Data set'!$H253&lt;=7.5,"Diabetes",'Data set'!$H253&gt;=7.5,"Uncontrolled")</f>
        <v>Normal</v>
      </c>
      <c r="P253" s="5" t="str">
        <f>_xlfn.IFS('Data set'!$F253&lt;120,"Low",'Data set'!$F253&lt;=200,"Normal",'Data set'!$F253&lt;=240,"Boarderline",'Data set'!$F253&gt;=241,"High")</f>
        <v>High</v>
      </c>
      <c r="Q253" s="5" t="str">
        <f>_xlfn.IFS('Data set'!$D253&lt;=18.5,"Low",'Data set'!$D253&lt;=24.9,"Normal",'Data set'!$D253&lt;=29.9,"High",'Data set'!$D253&gt;29.9,"Very High")</f>
        <v>High</v>
      </c>
    </row>
    <row r="254" spans="1:17" x14ac:dyDescent="0.25">
      <c r="A254" s="3">
        <v>23</v>
      </c>
      <c r="B254" s="3" t="s">
        <v>9</v>
      </c>
      <c r="C254" s="4">
        <v>271.52999999999997</v>
      </c>
      <c r="D254" s="4">
        <v>36.450000000000003</v>
      </c>
      <c r="E254" s="3" t="s">
        <v>6</v>
      </c>
      <c r="F254" s="3">
        <v>166</v>
      </c>
      <c r="G254" s="3" t="s">
        <v>248</v>
      </c>
      <c r="H254" s="4">
        <v>9.2100000000000009</v>
      </c>
      <c r="I254" s="3">
        <v>4</v>
      </c>
      <c r="J254" s="3" t="s">
        <v>4</v>
      </c>
      <c r="K254" s="3" t="s">
        <v>4</v>
      </c>
      <c r="L254" s="3">
        <v>93</v>
      </c>
      <c r="M254" s="3">
        <v>78</v>
      </c>
      <c r="N254" s="3" t="s">
        <v>17</v>
      </c>
      <c r="O254" s="3" t="str">
        <f>_xlfn.IFS('Data set'!$H254&lt;5.7,"Normal",'Data set'!$H254&lt;=6.4,"Prediabetes",'Data set'!$H254&lt;=7.5,"Diabetes",'Data set'!$H254&gt;=7.5,"Uncontrolled")</f>
        <v>Uncontrolled</v>
      </c>
      <c r="P254" s="3" t="str">
        <f>_xlfn.IFS('Data set'!$F254&lt;120,"Low",'Data set'!$F254&lt;=200,"Normal",'Data set'!$F254&lt;=240,"Boarderline",'Data set'!$F254&gt;=241,"High")</f>
        <v>Normal</v>
      </c>
      <c r="Q254" s="3" t="str">
        <f>_xlfn.IFS('Data set'!$D254&lt;=18.5,"Low",'Data set'!$D254&lt;=24.9,"Normal",'Data set'!$D254&lt;=29.9,"High",'Data set'!$D254&gt;29.9,"Very High")</f>
        <v>Very High</v>
      </c>
    </row>
    <row r="255" spans="1:17" x14ac:dyDescent="0.25">
      <c r="A255" s="5">
        <v>63</v>
      </c>
      <c r="B255" s="5" t="s">
        <v>0</v>
      </c>
      <c r="C255" s="6">
        <v>248.09</v>
      </c>
      <c r="D255" s="6">
        <v>33.340000000000003</v>
      </c>
      <c r="E255" s="5" t="s">
        <v>14</v>
      </c>
      <c r="F255" s="5">
        <v>225</v>
      </c>
      <c r="G255" s="5" t="s">
        <v>249</v>
      </c>
      <c r="H255" s="6">
        <v>5.39</v>
      </c>
      <c r="I255" s="5">
        <v>4</v>
      </c>
      <c r="J255" s="5" t="s">
        <v>4</v>
      </c>
      <c r="K255" s="5" t="s">
        <v>4</v>
      </c>
      <c r="L255" s="5">
        <v>117</v>
      </c>
      <c r="M255" s="5">
        <v>62</v>
      </c>
      <c r="N255" s="5" t="s">
        <v>21</v>
      </c>
      <c r="O255" s="5" t="str">
        <f>_xlfn.IFS('Data set'!$H255&lt;5.7,"Normal",'Data set'!$H255&lt;=6.4,"Prediabetes",'Data set'!$H255&lt;=7.5,"Diabetes",'Data set'!$H255&gt;=7.5,"Uncontrolled")</f>
        <v>Normal</v>
      </c>
      <c r="P255" s="5" t="str">
        <f>_xlfn.IFS('Data set'!$F255&lt;120,"Low",'Data set'!$F255&lt;=200,"Normal",'Data set'!$F255&lt;=240,"Boarderline",'Data set'!$F255&gt;=241,"High")</f>
        <v>Boarderline</v>
      </c>
      <c r="Q255" s="5" t="str">
        <f>_xlfn.IFS('Data set'!$D255&lt;=18.5,"Low",'Data set'!$D255&lt;=24.9,"Normal",'Data set'!$D255&lt;=29.9,"High",'Data set'!$D255&gt;29.9,"Very High")</f>
        <v>Very High</v>
      </c>
    </row>
    <row r="256" spans="1:17" x14ac:dyDescent="0.25">
      <c r="A256" s="3">
        <v>31</v>
      </c>
      <c r="B256" s="3" t="s">
        <v>9</v>
      </c>
      <c r="C256" s="4">
        <v>188.38</v>
      </c>
      <c r="D256" s="4">
        <v>30.1</v>
      </c>
      <c r="E256" s="3" t="s">
        <v>10</v>
      </c>
      <c r="F256" s="3">
        <v>206</v>
      </c>
      <c r="G256" s="3" t="s">
        <v>250</v>
      </c>
      <c r="H256" s="4">
        <v>6.27</v>
      </c>
      <c r="I256" s="3">
        <v>7</v>
      </c>
      <c r="J256" s="3" t="s">
        <v>4</v>
      </c>
      <c r="K256" s="3" t="s">
        <v>4</v>
      </c>
      <c r="L256" s="3">
        <v>100</v>
      </c>
      <c r="M256" s="3">
        <v>80</v>
      </c>
      <c r="N256" s="3" t="s">
        <v>12</v>
      </c>
      <c r="O256" s="3" t="str">
        <f>_xlfn.IFS('Data set'!$H256&lt;5.7,"Normal",'Data set'!$H256&lt;=6.4,"Prediabetes",'Data set'!$H256&lt;=7.5,"Diabetes",'Data set'!$H256&gt;=7.5,"Uncontrolled")</f>
        <v>Prediabetes</v>
      </c>
      <c r="P256" s="3" t="str">
        <f>_xlfn.IFS('Data set'!$F256&lt;120,"Low",'Data set'!$F256&lt;=200,"Normal",'Data set'!$F256&lt;=240,"Boarderline",'Data set'!$F256&gt;=241,"High")</f>
        <v>Boarderline</v>
      </c>
      <c r="Q256" s="3" t="str">
        <f>_xlfn.IFS('Data set'!$D256&lt;=18.5,"Low",'Data set'!$D256&lt;=24.9,"Normal",'Data set'!$D256&lt;=29.9,"High",'Data set'!$D256&gt;29.9,"Very High")</f>
        <v>Very High</v>
      </c>
    </row>
    <row r="257" spans="1:17" x14ac:dyDescent="0.25">
      <c r="A257" s="5">
        <v>55</v>
      </c>
      <c r="B257" s="5" t="s">
        <v>0</v>
      </c>
      <c r="C257" s="6">
        <v>233.3</v>
      </c>
      <c r="D257" s="6">
        <v>35.270000000000003</v>
      </c>
      <c r="E257" s="5" t="s">
        <v>1</v>
      </c>
      <c r="F257" s="5">
        <v>105</v>
      </c>
      <c r="G257" s="5" t="s">
        <v>84</v>
      </c>
      <c r="H257" s="6">
        <v>4.03</v>
      </c>
      <c r="I257" s="5">
        <v>6</v>
      </c>
      <c r="J257" s="5" t="s">
        <v>4</v>
      </c>
      <c r="K257" s="5" t="s">
        <v>4</v>
      </c>
      <c r="L257" s="5">
        <v>103</v>
      </c>
      <c r="M257" s="5">
        <v>61</v>
      </c>
      <c r="N257" s="5" t="s">
        <v>8</v>
      </c>
      <c r="O257" s="5" t="str">
        <f>_xlfn.IFS('Data set'!$H257&lt;5.7,"Normal",'Data set'!$H257&lt;=6.4,"Prediabetes",'Data set'!$H257&lt;=7.5,"Diabetes",'Data set'!$H257&gt;=7.5,"Uncontrolled")</f>
        <v>Normal</v>
      </c>
      <c r="P257" s="5" t="str">
        <f>_xlfn.IFS('Data set'!$F257&lt;120,"Low",'Data set'!$F257&lt;=200,"Normal",'Data set'!$F257&lt;=240,"Boarderline",'Data set'!$F257&gt;=241,"High")</f>
        <v>Low</v>
      </c>
      <c r="Q257" s="5" t="str">
        <f>_xlfn.IFS('Data set'!$D257&lt;=18.5,"Low",'Data set'!$D257&lt;=24.9,"Normal",'Data set'!$D257&lt;=29.9,"High",'Data set'!$D257&gt;29.9,"Very High")</f>
        <v>Very High</v>
      </c>
    </row>
    <row r="258" spans="1:17" x14ac:dyDescent="0.25">
      <c r="A258" s="3">
        <v>79</v>
      </c>
      <c r="B258" s="3" t="s">
        <v>9</v>
      </c>
      <c r="C258" s="4">
        <v>117.61</v>
      </c>
      <c r="D258" s="4">
        <v>24.8</v>
      </c>
      <c r="E258" s="3" t="s">
        <v>10</v>
      </c>
      <c r="F258" s="3">
        <v>119</v>
      </c>
      <c r="G258" s="3" t="s">
        <v>251</v>
      </c>
      <c r="H258" s="4">
        <v>5.16</v>
      </c>
      <c r="I258" s="3">
        <v>5</v>
      </c>
      <c r="J258" s="3" t="s">
        <v>4</v>
      </c>
      <c r="K258" s="3" t="s">
        <v>4</v>
      </c>
      <c r="L258" s="3">
        <v>114</v>
      </c>
      <c r="M258" s="3">
        <v>61</v>
      </c>
      <c r="N258" s="3" t="s">
        <v>5</v>
      </c>
      <c r="O258" s="3" t="str">
        <f>_xlfn.IFS('Data set'!$H258&lt;5.7,"Normal",'Data set'!$H258&lt;=6.4,"Prediabetes",'Data set'!$H258&lt;=7.5,"Diabetes",'Data set'!$H258&gt;=7.5,"Uncontrolled")</f>
        <v>Normal</v>
      </c>
      <c r="P258" s="3" t="str">
        <f>_xlfn.IFS('Data set'!$F258&lt;120,"Low",'Data set'!$F258&lt;=200,"Normal",'Data set'!$F258&lt;=240,"Boarderline",'Data set'!$F258&gt;=241,"High")</f>
        <v>Low</v>
      </c>
      <c r="Q258" s="3" t="str">
        <f>_xlfn.IFS('Data set'!$D258&lt;=18.5,"Low",'Data set'!$D258&lt;=24.9,"Normal",'Data set'!$D258&lt;=29.9,"High",'Data set'!$D258&gt;29.9,"Very High")</f>
        <v>Normal</v>
      </c>
    </row>
    <row r="259" spans="1:17" x14ac:dyDescent="0.25">
      <c r="A259" s="5">
        <v>52</v>
      </c>
      <c r="B259" s="5" t="s">
        <v>9</v>
      </c>
      <c r="C259" s="6">
        <v>135.68</v>
      </c>
      <c r="D259" s="6">
        <v>26.59</v>
      </c>
      <c r="E259" s="5" t="s">
        <v>6</v>
      </c>
      <c r="F259" s="5">
        <v>244</v>
      </c>
      <c r="G259" s="5" t="s">
        <v>252</v>
      </c>
      <c r="H259" s="6">
        <v>8.94</v>
      </c>
      <c r="I259" s="5">
        <v>7</v>
      </c>
      <c r="J259" s="5" t="s">
        <v>4</v>
      </c>
      <c r="K259" s="5" t="s">
        <v>3</v>
      </c>
      <c r="L259" s="5">
        <v>137</v>
      </c>
      <c r="M259" s="5">
        <v>62</v>
      </c>
      <c r="N259" s="5" t="s">
        <v>8</v>
      </c>
      <c r="O259" s="5" t="str">
        <f>_xlfn.IFS('Data set'!$H259&lt;5.7,"Normal",'Data set'!$H259&lt;=6.4,"Prediabetes",'Data set'!$H259&lt;=7.5,"Diabetes",'Data set'!$H259&gt;=7.5,"Uncontrolled")</f>
        <v>Uncontrolled</v>
      </c>
      <c r="P259" s="5" t="str">
        <f>_xlfn.IFS('Data set'!$F259&lt;120,"Low",'Data set'!$F259&lt;=200,"Normal",'Data set'!$F259&lt;=240,"Boarderline",'Data set'!$F259&gt;=241,"High")</f>
        <v>High</v>
      </c>
      <c r="Q259" s="5" t="str">
        <f>_xlfn.IFS('Data set'!$D259&lt;=18.5,"Low",'Data set'!$D259&lt;=24.9,"Normal",'Data set'!$D259&lt;=29.9,"High",'Data set'!$D259&gt;29.9,"Very High")</f>
        <v>High</v>
      </c>
    </row>
    <row r="260" spans="1:17" x14ac:dyDescent="0.25">
      <c r="A260" s="3">
        <v>39</v>
      </c>
      <c r="B260" s="3" t="s">
        <v>0</v>
      </c>
      <c r="C260" s="4">
        <v>118.67</v>
      </c>
      <c r="D260" s="4">
        <v>19.03</v>
      </c>
      <c r="E260" s="3" t="s">
        <v>1</v>
      </c>
      <c r="F260" s="3">
        <v>197</v>
      </c>
      <c r="G260" s="3" t="s">
        <v>253</v>
      </c>
      <c r="H260" s="4">
        <v>4.53</v>
      </c>
      <c r="I260" s="3">
        <v>5</v>
      </c>
      <c r="J260" s="3" t="s">
        <v>3</v>
      </c>
      <c r="K260" s="3" t="s">
        <v>3</v>
      </c>
      <c r="L260" s="3">
        <v>99</v>
      </c>
      <c r="M260" s="3">
        <v>74</v>
      </c>
      <c r="N260" s="3" t="s">
        <v>12</v>
      </c>
      <c r="O260" s="3" t="str">
        <f>_xlfn.IFS('Data set'!$H260&lt;5.7,"Normal",'Data set'!$H260&lt;=6.4,"Prediabetes",'Data set'!$H260&lt;=7.5,"Diabetes",'Data set'!$H260&gt;=7.5,"Uncontrolled")</f>
        <v>Normal</v>
      </c>
      <c r="P260" s="3" t="str">
        <f>_xlfn.IFS('Data set'!$F260&lt;120,"Low",'Data set'!$F260&lt;=200,"Normal",'Data set'!$F260&lt;=240,"Boarderline",'Data set'!$F260&gt;=241,"High")</f>
        <v>Normal</v>
      </c>
      <c r="Q260" s="3" t="str">
        <f>_xlfn.IFS('Data set'!$D260&lt;=18.5,"Low",'Data set'!$D260&lt;=24.9,"Normal",'Data set'!$D260&lt;=29.9,"High",'Data set'!$D260&gt;29.9,"Very High")</f>
        <v>Normal</v>
      </c>
    </row>
    <row r="261" spans="1:17" x14ac:dyDescent="0.25">
      <c r="A261" s="5">
        <v>44</v>
      </c>
      <c r="B261" s="5" t="s">
        <v>0</v>
      </c>
      <c r="C261" s="6">
        <v>253.56</v>
      </c>
      <c r="D261" s="6">
        <v>23.37</v>
      </c>
      <c r="E261" s="5" t="s">
        <v>10</v>
      </c>
      <c r="F261" s="5">
        <v>126</v>
      </c>
      <c r="G261" s="5" t="s">
        <v>254</v>
      </c>
      <c r="H261" s="6">
        <v>6.19</v>
      </c>
      <c r="I261" s="5">
        <v>4</v>
      </c>
      <c r="J261" s="5" t="s">
        <v>4</v>
      </c>
      <c r="K261" s="5" t="s">
        <v>3</v>
      </c>
      <c r="L261" s="5">
        <v>134</v>
      </c>
      <c r="M261" s="5">
        <v>66</v>
      </c>
      <c r="N261" s="5" t="s">
        <v>23</v>
      </c>
      <c r="O261" s="5" t="str">
        <f>_xlfn.IFS('Data set'!$H261&lt;5.7,"Normal",'Data set'!$H261&lt;=6.4,"Prediabetes",'Data set'!$H261&lt;=7.5,"Diabetes",'Data set'!$H261&gt;=7.5,"Uncontrolled")</f>
        <v>Prediabetes</v>
      </c>
      <c r="P261" s="5" t="str">
        <f>_xlfn.IFS('Data set'!$F261&lt;120,"Low",'Data set'!$F261&lt;=200,"Normal",'Data set'!$F261&lt;=240,"Boarderline",'Data set'!$F261&gt;=241,"High")</f>
        <v>Normal</v>
      </c>
      <c r="Q261" s="5" t="str">
        <f>_xlfn.IFS('Data set'!$D261&lt;=18.5,"Low",'Data set'!$D261&lt;=24.9,"Normal",'Data set'!$D261&lt;=29.9,"High",'Data set'!$D261&gt;29.9,"Very High")</f>
        <v>Normal</v>
      </c>
    </row>
    <row r="262" spans="1:17" x14ac:dyDescent="0.25">
      <c r="A262" s="3">
        <v>71</v>
      </c>
      <c r="B262" s="3" t="s">
        <v>0</v>
      </c>
      <c r="C262" s="4">
        <v>273.72000000000003</v>
      </c>
      <c r="D262" s="4">
        <v>19.71</v>
      </c>
      <c r="E262" s="3" t="s">
        <v>1</v>
      </c>
      <c r="F262" s="3">
        <v>251</v>
      </c>
      <c r="G262" s="3" t="s">
        <v>154</v>
      </c>
      <c r="H262" s="4">
        <v>4.2300000000000004</v>
      </c>
      <c r="I262" s="3">
        <v>3</v>
      </c>
      <c r="J262" s="3" t="s">
        <v>3</v>
      </c>
      <c r="K262" s="3" t="s">
        <v>3</v>
      </c>
      <c r="L262" s="3">
        <v>116</v>
      </c>
      <c r="M262" s="3">
        <v>69</v>
      </c>
      <c r="N262" s="3" t="s">
        <v>5</v>
      </c>
      <c r="O262" s="3" t="str">
        <f>_xlfn.IFS('Data set'!$H262&lt;5.7,"Normal",'Data set'!$H262&lt;=6.4,"Prediabetes",'Data set'!$H262&lt;=7.5,"Diabetes",'Data set'!$H262&gt;=7.5,"Uncontrolled")</f>
        <v>Normal</v>
      </c>
      <c r="P262" s="3" t="str">
        <f>_xlfn.IFS('Data set'!$F262&lt;120,"Low",'Data set'!$F262&lt;=200,"Normal",'Data set'!$F262&lt;=240,"Boarderline",'Data set'!$F262&gt;=241,"High")</f>
        <v>High</v>
      </c>
      <c r="Q262" s="3" t="str">
        <f>_xlfn.IFS('Data set'!$D262&lt;=18.5,"Low",'Data set'!$D262&lt;=24.9,"Normal",'Data set'!$D262&lt;=29.9,"High",'Data set'!$D262&gt;29.9,"Very High")</f>
        <v>Normal</v>
      </c>
    </row>
    <row r="263" spans="1:17" x14ac:dyDescent="0.25">
      <c r="A263" s="5">
        <v>65</v>
      </c>
      <c r="B263" s="5" t="s">
        <v>9</v>
      </c>
      <c r="C263" s="6">
        <v>198.3</v>
      </c>
      <c r="D263" s="6">
        <v>38.1</v>
      </c>
      <c r="E263" s="5" t="s">
        <v>1</v>
      </c>
      <c r="F263" s="5">
        <v>297</v>
      </c>
      <c r="G263" s="5" t="s">
        <v>255</v>
      </c>
      <c r="H263" s="6">
        <v>9.35</v>
      </c>
      <c r="I263" s="5">
        <v>0</v>
      </c>
      <c r="J263" s="5" t="s">
        <v>3</v>
      </c>
      <c r="K263" s="5" t="s">
        <v>4</v>
      </c>
      <c r="L263" s="5">
        <v>102</v>
      </c>
      <c r="M263" s="5">
        <v>88</v>
      </c>
      <c r="N263" s="5" t="s">
        <v>21</v>
      </c>
      <c r="O263" s="5" t="str">
        <f>_xlfn.IFS('Data set'!$H263&lt;5.7,"Normal",'Data set'!$H263&lt;=6.4,"Prediabetes",'Data set'!$H263&lt;=7.5,"Diabetes",'Data set'!$H263&gt;=7.5,"Uncontrolled")</f>
        <v>Uncontrolled</v>
      </c>
      <c r="P263" s="5" t="str">
        <f>_xlfn.IFS('Data set'!$F263&lt;120,"Low",'Data set'!$F263&lt;=200,"Normal",'Data set'!$F263&lt;=240,"Boarderline",'Data set'!$F263&gt;=241,"High")</f>
        <v>High</v>
      </c>
      <c r="Q263" s="5" t="str">
        <f>_xlfn.IFS('Data set'!$D263&lt;=18.5,"Low",'Data set'!$D263&lt;=24.9,"Normal",'Data set'!$D263&lt;=29.9,"High",'Data set'!$D263&gt;29.9,"Very High")</f>
        <v>Very High</v>
      </c>
    </row>
    <row r="264" spans="1:17" x14ac:dyDescent="0.25">
      <c r="A264" s="3">
        <v>21</v>
      </c>
      <c r="B264" s="3" t="s">
        <v>9</v>
      </c>
      <c r="C264" s="4">
        <v>265.86</v>
      </c>
      <c r="D264" s="4">
        <v>21.59</v>
      </c>
      <c r="E264" s="3" t="s">
        <v>1</v>
      </c>
      <c r="F264" s="3">
        <v>228</v>
      </c>
      <c r="G264" s="3" t="s">
        <v>256</v>
      </c>
      <c r="H264" s="4">
        <v>4.9800000000000004</v>
      </c>
      <c r="I264" s="3">
        <v>1</v>
      </c>
      <c r="J264" s="3" t="s">
        <v>3</v>
      </c>
      <c r="K264" s="3" t="s">
        <v>3</v>
      </c>
      <c r="L264" s="3">
        <v>94</v>
      </c>
      <c r="M264" s="3">
        <v>64</v>
      </c>
      <c r="N264" s="3" t="s">
        <v>17</v>
      </c>
      <c r="O264" s="3" t="str">
        <f>_xlfn.IFS('Data set'!$H264&lt;5.7,"Normal",'Data set'!$H264&lt;=6.4,"Prediabetes",'Data set'!$H264&lt;=7.5,"Diabetes",'Data set'!$H264&gt;=7.5,"Uncontrolled")</f>
        <v>Normal</v>
      </c>
      <c r="P264" s="3" t="str">
        <f>_xlfn.IFS('Data set'!$F264&lt;120,"Low",'Data set'!$F264&lt;=200,"Normal",'Data set'!$F264&lt;=240,"Boarderline",'Data set'!$F264&gt;=241,"High")</f>
        <v>Boarderline</v>
      </c>
      <c r="Q264" s="3" t="str">
        <f>_xlfn.IFS('Data set'!$D264&lt;=18.5,"Low",'Data set'!$D264&lt;=24.9,"Normal",'Data set'!$D264&lt;=29.9,"High",'Data set'!$D264&gt;29.9,"Very High")</f>
        <v>Normal</v>
      </c>
    </row>
    <row r="265" spans="1:17" x14ac:dyDescent="0.25">
      <c r="A265" s="5">
        <v>54</v>
      </c>
      <c r="B265" s="5" t="s">
        <v>0</v>
      </c>
      <c r="C265" s="6">
        <v>82.96</v>
      </c>
      <c r="D265" s="6">
        <v>29.58</v>
      </c>
      <c r="E265" s="5" t="s">
        <v>1</v>
      </c>
      <c r="F265" s="5">
        <v>247</v>
      </c>
      <c r="G265" s="5" t="s">
        <v>257</v>
      </c>
      <c r="H265" s="6">
        <v>7.82</v>
      </c>
      <c r="I265" s="5">
        <v>4</v>
      </c>
      <c r="J265" s="5" t="s">
        <v>4</v>
      </c>
      <c r="K265" s="5" t="s">
        <v>4</v>
      </c>
      <c r="L265" s="5">
        <v>139</v>
      </c>
      <c r="M265" s="5">
        <v>81</v>
      </c>
      <c r="N265" s="5" t="s">
        <v>8</v>
      </c>
      <c r="O265" s="5" t="str">
        <f>_xlfn.IFS('Data set'!$H265&lt;5.7,"Normal",'Data set'!$H265&lt;=6.4,"Prediabetes",'Data set'!$H265&lt;=7.5,"Diabetes",'Data set'!$H265&gt;=7.5,"Uncontrolled")</f>
        <v>Uncontrolled</v>
      </c>
      <c r="P265" s="5" t="str">
        <f>_xlfn.IFS('Data set'!$F265&lt;120,"Low",'Data set'!$F265&lt;=200,"Normal",'Data set'!$F265&lt;=240,"Boarderline",'Data set'!$F265&gt;=241,"High")</f>
        <v>High</v>
      </c>
      <c r="Q265" s="5" t="str">
        <f>_xlfn.IFS('Data set'!$D265&lt;=18.5,"Low",'Data set'!$D265&lt;=24.9,"Normal",'Data set'!$D265&lt;=29.9,"High",'Data set'!$D265&gt;29.9,"Very High")</f>
        <v>High</v>
      </c>
    </row>
    <row r="266" spans="1:17" x14ac:dyDescent="0.25">
      <c r="A266" s="3">
        <v>69</v>
      </c>
      <c r="B266" s="3" t="s">
        <v>9</v>
      </c>
      <c r="C266" s="4">
        <v>149.41999999999999</v>
      </c>
      <c r="D266" s="4">
        <v>38.86</v>
      </c>
      <c r="E266" s="3" t="s">
        <v>10</v>
      </c>
      <c r="F266" s="3">
        <v>149</v>
      </c>
      <c r="G266" s="3" t="s">
        <v>258</v>
      </c>
      <c r="H266" s="4">
        <v>8.18</v>
      </c>
      <c r="I266" s="3">
        <v>7</v>
      </c>
      <c r="J266" s="3" t="s">
        <v>3</v>
      </c>
      <c r="K266" s="3" t="s">
        <v>4</v>
      </c>
      <c r="L266" s="3">
        <v>101</v>
      </c>
      <c r="M266" s="3">
        <v>71</v>
      </c>
      <c r="N266" s="3" t="s">
        <v>21</v>
      </c>
      <c r="O266" s="3" t="str">
        <f>_xlfn.IFS('Data set'!$H266&lt;5.7,"Normal",'Data set'!$H266&lt;=6.4,"Prediabetes",'Data set'!$H266&lt;=7.5,"Diabetes",'Data set'!$H266&gt;=7.5,"Uncontrolled")</f>
        <v>Uncontrolled</v>
      </c>
      <c r="P266" s="3" t="str">
        <f>_xlfn.IFS('Data set'!$F266&lt;120,"Low",'Data set'!$F266&lt;=200,"Normal",'Data set'!$F266&lt;=240,"Boarderline",'Data set'!$F266&gt;=241,"High")</f>
        <v>Normal</v>
      </c>
      <c r="Q266" s="3" t="str">
        <f>_xlfn.IFS('Data set'!$D266&lt;=18.5,"Low",'Data set'!$D266&lt;=24.9,"Normal",'Data set'!$D266&lt;=29.9,"High",'Data set'!$D266&gt;29.9,"Very High")</f>
        <v>Very High</v>
      </c>
    </row>
    <row r="267" spans="1:17" x14ac:dyDescent="0.25">
      <c r="A267" s="5">
        <v>57</v>
      </c>
      <c r="B267" s="5" t="s">
        <v>0</v>
      </c>
      <c r="C267" s="6">
        <v>117.66</v>
      </c>
      <c r="D267" s="6">
        <v>30.74</v>
      </c>
      <c r="E267" s="5" t="s">
        <v>1</v>
      </c>
      <c r="F267" s="5">
        <v>202</v>
      </c>
      <c r="G267" s="5" t="s">
        <v>259</v>
      </c>
      <c r="H267" s="6">
        <v>8.2899999999999991</v>
      </c>
      <c r="I267" s="5">
        <v>7</v>
      </c>
      <c r="J267" s="5" t="s">
        <v>4</v>
      </c>
      <c r="K267" s="5" t="s">
        <v>3</v>
      </c>
      <c r="L267" s="5">
        <v>136</v>
      </c>
      <c r="M267" s="5">
        <v>85</v>
      </c>
      <c r="N267" s="5" t="s">
        <v>8</v>
      </c>
      <c r="O267" s="5" t="str">
        <f>_xlfn.IFS('Data set'!$H267&lt;5.7,"Normal",'Data set'!$H267&lt;=6.4,"Prediabetes",'Data set'!$H267&lt;=7.5,"Diabetes",'Data set'!$H267&gt;=7.5,"Uncontrolled")</f>
        <v>Uncontrolled</v>
      </c>
      <c r="P267" s="5" t="str">
        <f>_xlfn.IFS('Data set'!$F267&lt;120,"Low",'Data set'!$F267&lt;=200,"Normal",'Data set'!$F267&lt;=240,"Boarderline",'Data set'!$F267&gt;=241,"High")</f>
        <v>Boarderline</v>
      </c>
      <c r="Q267" s="5" t="str">
        <f>_xlfn.IFS('Data set'!$D267&lt;=18.5,"Low",'Data set'!$D267&lt;=24.9,"Normal",'Data set'!$D267&lt;=29.9,"High",'Data set'!$D267&gt;29.9,"Very High")</f>
        <v>Very High</v>
      </c>
    </row>
    <row r="268" spans="1:17" x14ac:dyDescent="0.25">
      <c r="A268" s="3">
        <v>25</v>
      </c>
      <c r="B268" s="3" t="s">
        <v>9</v>
      </c>
      <c r="C268" s="4">
        <v>187.98</v>
      </c>
      <c r="D268" s="4">
        <v>28.75</v>
      </c>
      <c r="E268" s="3" t="s">
        <v>14</v>
      </c>
      <c r="F268" s="3">
        <v>242</v>
      </c>
      <c r="G268" s="3" t="s">
        <v>260</v>
      </c>
      <c r="H268" s="4">
        <v>7.76</v>
      </c>
      <c r="I268" s="3">
        <v>7</v>
      </c>
      <c r="J268" s="3" t="s">
        <v>3</v>
      </c>
      <c r="K268" s="3" t="s">
        <v>4</v>
      </c>
      <c r="L268" s="3">
        <v>111</v>
      </c>
      <c r="M268" s="3">
        <v>90</v>
      </c>
      <c r="N268" s="3" t="s">
        <v>17</v>
      </c>
      <c r="O268" s="3" t="str">
        <f>_xlfn.IFS('Data set'!$H268&lt;5.7,"Normal",'Data set'!$H268&lt;=6.4,"Prediabetes",'Data set'!$H268&lt;=7.5,"Diabetes",'Data set'!$H268&gt;=7.5,"Uncontrolled")</f>
        <v>Uncontrolled</v>
      </c>
      <c r="P268" s="3" t="str">
        <f>_xlfn.IFS('Data set'!$F268&lt;120,"Low",'Data set'!$F268&lt;=200,"Normal",'Data set'!$F268&lt;=240,"Boarderline",'Data set'!$F268&gt;=241,"High")</f>
        <v>High</v>
      </c>
      <c r="Q268" s="3" t="str">
        <f>_xlfn.IFS('Data set'!$D268&lt;=18.5,"Low",'Data set'!$D268&lt;=24.9,"Normal",'Data set'!$D268&lt;=29.9,"High",'Data set'!$D268&gt;29.9,"Very High")</f>
        <v>High</v>
      </c>
    </row>
    <row r="269" spans="1:17" x14ac:dyDescent="0.25">
      <c r="A269" s="5">
        <v>42</v>
      </c>
      <c r="B269" s="5" t="s">
        <v>9</v>
      </c>
      <c r="C269" s="6">
        <v>141.4</v>
      </c>
      <c r="D269" s="6">
        <v>21.36</v>
      </c>
      <c r="E269" s="5" t="s">
        <v>14</v>
      </c>
      <c r="F269" s="5">
        <v>263</v>
      </c>
      <c r="G269" s="5" t="s">
        <v>261</v>
      </c>
      <c r="H269" s="6">
        <v>4.1500000000000004</v>
      </c>
      <c r="I269" s="5">
        <v>2</v>
      </c>
      <c r="J269" s="5" t="s">
        <v>4</v>
      </c>
      <c r="K269" s="5" t="s">
        <v>3</v>
      </c>
      <c r="L269" s="5">
        <v>121</v>
      </c>
      <c r="M269" s="5">
        <v>67</v>
      </c>
      <c r="N269" s="5" t="s">
        <v>23</v>
      </c>
      <c r="O269" s="5" t="str">
        <f>_xlfn.IFS('Data set'!$H269&lt;5.7,"Normal",'Data set'!$H269&lt;=6.4,"Prediabetes",'Data set'!$H269&lt;=7.5,"Diabetes",'Data set'!$H269&gt;=7.5,"Uncontrolled")</f>
        <v>Normal</v>
      </c>
      <c r="P269" s="5" t="str">
        <f>_xlfn.IFS('Data set'!$F269&lt;120,"Low",'Data set'!$F269&lt;=200,"Normal",'Data set'!$F269&lt;=240,"Boarderline",'Data set'!$F269&gt;=241,"High")</f>
        <v>High</v>
      </c>
      <c r="Q269" s="5" t="str">
        <f>_xlfn.IFS('Data set'!$D269&lt;=18.5,"Low",'Data set'!$D269&lt;=24.9,"Normal",'Data set'!$D269&lt;=29.9,"High",'Data set'!$D269&gt;29.9,"Very High")</f>
        <v>Normal</v>
      </c>
    </row>
    <row r="270" spans="1:17" x14ac:dyDescent="0.25">
      <c r="A270" s="3">
        <v>34</v>
      </c>
      <c r="B270" s="3" t="s">
        <v>0</v>
      </c>
      <c r="C270" s="4">
        <v>217.77</v>
      </c>
      <c r="D270" s="4">
        <v>18.46</v>
      </c>
      <c r="E270" s="3" t="s">
        <v>14</v>
      </c>
      <c r="F270" s="3">
        <v>300</v>
      </c>
      <c r="G270" s="3" t="s">
        <v>262</v>
      </c>
      <c r="H270" s="4">
        <v>5.92</v>
      </c>
      <c r="I270" s="3">
        <v>7</v>
      </c>
      <c r="J270" s="3" t="s">
        <v>3</v>
      </c>
      <c r="K270" s="3" t="s">
        <v>4</v>
      </c>
      <c r="L270" s="3">
        <v>94</v>
      </c>
      <c r="M270" s="3">
        <v>82</v>
      </c>
      <c r="N270" s="3" t="s">
        <v>12</v>
      </c>
      <c r="O270" s="3" t="str">
        <f>_xlfn.IFS('Data set'!$H270&lt;5.7,"Normal",'Data set'!$H270&lt;=6.4,"Prediabetes",'Data set'!$H270&lt;=7.5,"Diabetes",'Data set'!$H270&gt;=7.5,"Uncontrolled")</f>
        <v>Prediabetes</v>
      </c>
      <c r="P270" s="3" t="str">
        <f>_xlfn.IFS('Data set'!$F270&lt;120,"Low",'Data set'!$F270&lt;=200,"Normal",'Data set'!$F270&lt;=240,"Boarderline",'Data set'!$F270&gt;=241,"High")</f>
        <v>High</v>
      </c>
      <c r="Q270" s="3" t="str">
        <f>_xlfn.IFS('Data set'!$D270&lt;=18.5,"Low",'Data set'!$D270&lt;=24.9,"Normal",'Data set'!$D270&lt;=29.9,"High",'Data set'!$D270&gt;29.9,"Very High")</f>
        <v>Low</v>
      </c>
    </row>
    <row r="271" spans="1:17" x14ac:dyDescent="0.25">
      <c r="A271" s="5">
        <v>62</v>
      </c>
      <c r="B271" s="5" t="s">
        <v>0</v>
      </c>
      <c r="C271" s="6">
        <v>267.10000000000002</v>
      </c>
      <c r="D271" s="6">
        <v>27.12</v>
      </c>
      <c r="E271" s="5" t="s">
        <v>1</v>
      </c>
      <c r="F271" s="5">
        <v>299</v>
      </c>
      <c r="G271" s="5" t="s">
        <v>263</v>
      </c>
      <c r="H271" s="6">
        <v>8.48</v>
      </c>
      <c r="I271" s="5">
        <v>0</v>
      </c>
      <c r="J271" s="5" t="s">
        <v>3</v>
      </c>
      <c r="K271" s="5" t="s">
        <v>3</v>
      </c>
      <c r="L271" s="5">
        <v>103</v>
      </c>
      <c r="M271" s="5">
        <v>78</v>
      </c>
      <c r="N271" s="5" t="s">
        <v>21</v>
      </c>
      <c r="O271" s="5" t="str">
        <f>_xlfn.IFS('Data set'!$H271&lt;5.7,"Normal",'Data set'!$H271&lt;=6.4,"Prediabetes",'Data set'!$H271&lt;=7.5,"Diabetes",'Data set'!$H271&gt;=7.5,"Uncontrolled")</f>
        <v>Uncontrolled</v>
      </c>
      <c r="P271" s="5" t="str">
        <f>_xlfn.IFS('Data set'!$F271&lt;120,"Low",'Data set'!$F271&lt;=200,"Normal",'Data set'!$F271&lt;=240,"Boarderline",'Data set'!$F271&gt;=241,"High")</f>
        <v>High</v>
      </c>
      <c r="Q271" s="5" t="str">
        <f>_xlfn.IFS('Data set'!$D271&lt;=18.5,"Low",'Data set'!$D271&lt;=24.9,"Normal",'Data set'!$D271&lt;=29.9,"High",'Data set'!$D271&gt;29.9,"Very High")</f>
        <v>High</v>
      </c>
    </row>
    <row r="272" spans="1:17" x14ac:dyDescent="0.25">
      <c r="A272" s="3">
        <v>54</v>
      </c>
      <c r="B272" s="3" t="s">
        <v>9</v>
      </c>
      <c r="C272" s="4">
        <v>221.07</v>
      </c>
      <c r="D272" s="4">
        <v>27.06</v>
      </c>
      <c r="E272" s="3" t="s">
        <v>10</v>
      </c>
      <c r="F272" s="3">
        <v>125</v>
      </c>
      <c r="G272" s="3" t="s">
        <v>166</v>
      </c>
      <c r="H272" s="4">
        <v>7.21</v>
      </c>
      <c r="I272" s="3">
        <v>7</v>
      </c>
      <c r="J272" s="3" t="s">
        <v>3</v>
      </c>
      <c r="K272" s="3" t="s">
        <v>4</v>
      </c>
      <c r="L272" s="3">
        <v>105</v>
      </c>
      <c r="M272" s="3">
        <v>80</v>
      </c>
      <c r="N272" s="3" t="s">
        <v>8</v>
      </c>
      <c r="O272" s="3" t="str">
        <f>_xlfn.IFS('Data set'!$H272&lt;5.7,"Normal",'Data set'!$H272&lt;=6.4,"Prediabetes",'Data set'!$H272&lt;=7.5,"Diabetes",'Data set'!$H272&gt;=7.5,"Uncontrolled")</f>
        <v>Diabetes</v>
      </c>
      <c r="P272" s="3" t="str">
        <f>_xlfn.IFS('Data set'!$F272&lt;120,"Low",'Data set'!$F272&lt;=200,"Normal",'Data set'!$F272&lt;=240,"Boarderline",'Data set'!$F272&gt;=241,"High")</f>
        <v>Normal</v>
      </c>
      <c r="Q272" s="3" t="str">
        <f>_xlfn.IFS('Data set'!$D272&lt;=18.5,"Low",'Data set'!$D272&lt;=24.9,"Normal",'Data set'!$D272&lt;=29.9,"High",'Data set'!$D272&gt;29.9,"Very High")</f>
        <v>High</v>
      </c>
    </row>
    <row r="273" spans="1:17" x14ac:dyDescent="0.25">
      <c r="A273" s="5">
        <v>42</v>
      </c>
      <c r="B273" s="5" t="s">
        <v>0</v>
      </c>
      <c r="C273" s="6">
        <v>101.27</v>
      </c>
      <c r="D273" s="6">
        <v>27.32</v>
      </c>
      <c r="E273" s="5" t="s">
        <v>6</v>
      </c>
      <c r="F273" s="5">
        <v>122</v>
      </c>
      <c r="G273" s="5" t="s">
        <v>264</v>
      </c>
      <c r="H273" s="6">
        <v>7.34</v>
      </c>
      <c r="I273" s="5">
        <v>7</v>
      </c>
      <c r="J273" s="5" t="s">
        <v>3</v>
      </c>
      <c r="K273" s="5" t="s">
        <v>3</v>
      </c>
      <c r="L273" s="5">
        <v>113</v>
      </c>
      <c r="M273" s="5">
        <v>72</v>
      </c>
      <c r="N273" s="5" t="s">
        <v>23</v>
      </c>
      <c r="O273" s="5" t="str">
        <f>_xlfn.IFS('Data set'!$H273&lt;5.7,"Normal",'Data set'!$H273&lt;=6.4,"Prediabetes",'Data set'!$H273&lt;=7.5,"Diabetes",'Data set'!$H273&gt;=7.5,"Uncontrolled")</f>
        <v>Diabetes</v>
      </c>
      <c r="P273" s="5" t="str">
        <f>_xlfn.IFS('Data set'!$F273&lt;120,"Low",'Data set'!$F273&lt;=200,"Normal",'Data set'!$F273&lt;=240,"Boarderline",'Data set'!$F273&gt;=241,"High")</f>
        <v>Normal</v>
      </c>
      <c r="Q273" s="5" t="str">
        <f>_xlfn.IFS('Data set'!$D273&lt;=18.5,"Low",'Data set'!$D273&lt;=24.9,"Normal",'Data set'!$D273&lt;=29.9,"High",'Data set'!$D273&gt;29.9,"Very High")</f>
        <v>High</v>
      </c>
    </row>
    <row r="274" spans="1:17" x14ac:dyDescent="0.25">
      <c r="A274" s="3">
        <v>63</v>
      </c>
      <c r="B274" s="3" t="s">
        <v>9</v>
      </c>
      <c r="C274" s="4">
        <v>149.08000000000001</v>
      </c>
      <c r="D274" s="4">
        <v>25.5</v>
      </c>
      <c r="E274" s="3" t="s">
        <v>6</v>
      </c>
      <c r="F274" s="3">
        <v>219</v>
      </c>
      <c r="G274" s="3" t="s">
        <v>265</v>
      </c>
      <c r="H274" s="4">
        <v>5.08</v>
      </c>
      <c r="I274" s="3">
        <v>7</v>
      </c>
      <c r="J274" s="3" t="s">
        <v>4</v>
      </c>
      <c r="K274" s="3" t="s">
        <v>4</v>
      </c>
      <c r="L274" s="3">
        <v>120</v>
      </c>
      <c r="M274" s="3">
        <v>68</v>
      </c>
      <c r="N274" s="3" t="s">
        <v>21</v>
      </c>
      <c r="O274" s="3" t="str">
        <f>_xlfn.IFS('Data set'!$H274&lt;5.7,"Normal",'Data set'!$H274&lt;=6.4,"Prediabetes",'Data set'!$H274&lt;=7.5,"Diabetes",'Data set'!$H274&gt;=7.5,"Uncontrolled")</f>
        <v>Normal</v>
      </c>
      <c r="P274" s="3" t="str">
        <f>_xlfn.IFS('Data set'!$F274&lt;120,"Low",'Data set'!$F274&lt;=200,"Normal",'Data set'!$F274&lt;=240,"Boarderline",'Data set'!$F274&gt;=241,"High")</f>
        <v>Boarderline</v>
      </c>
      <c r="Q274" s="3" t="str">
        <f>_xlfn.IFS('Data set'!$D274&lt;=18.5,"Low",'Data set'!$D274&lt;=24.9,"Normal",'Data set'!$D274&lt;=29.9,"High",'Data set'!$D274&gt;29.9,"Very High")</f>
        <v>High</v>
      </c>
    </row>
    <row r="275" spans="1:17" x14ac:dyDescent="0.25">
      <c r="A275" s="5">
        <v>22</v>
      </c>
      <c r="B275" s="5" t="s">
        <v>9</v>
      </c>
      <c r="C275" s="6">
        <v>241.11</v>
      </c>
      <c r="D275" s="6">
        <v>26</v>
      </c>
      <c r="E275" s="5" t="s">
        <v>14</v>
      </c>
      <c r="F275" s="5">
        <v>188</v>
      </c>
      <c r="G275" s="5" t="s">
        <v>266</v>
      </c>
      <c r="H275" s="6">
        <v>6.05</v>
      </c>
      <c r="I275" s="5">
        <v>2</v>
      </c>
      <c r="J275" s="5" t="s">
        <v>3</v>
      </c>
      <c r="K275" s="5" t="s">
        <v>4</v>
      </c>
      <c r="L275" s="5">
        <v>118</v>
      </c>
      <c r="M275" s="5">
        <v>81</v>
      </c>
      <c r="N275" s="5" t="s">
        <v>17</v>
      </c>
      <c r="O275" s="5" t="str">
        <f>_xlfn.IFS('Data set'!$H275&lt;5.7,"Normal",'Data set'!$H275&lt;=6.4,"Prediabetes",'Data set'!$H275&lt;=7.5,"Diabetes",'Data set'!$H275&gt;=7.5,"Uncontrolled")</f>
        <v>Prediabetes</v>
      </c>
      <c r="P275" s="5" t="str">
        <f>_xlfn.IFS('Data set'!$F275&lt;120,"Low",'Data set'!$F275&lt;=200,"Normal",'Data set'!$F275&lt;=240,"Boarderline",'Data set'!$F275&gt;=241,"High")</f>
        <v>Normal</v>
      </c>
      <c r="Q275" s="5" t="str">
        <f>_xlfn.IFS('Data set'!$D275&lt;=18.5,"Low",'Data set'!$D275&lt;=24.9,"Normal",'Data set'!$D275&lt;=29.9,"High",'Data set'!$D275&gt;29.9,"Very High")</f>
        <v>High</v>
      </c>
    </row>
    <row r="276" spans="1:17" x14ac:dyDescent="0.25">
      <c r="A276" s="3">
        <v>73</v>
      </c>
      <c r="B276" s="3" t="s">
        <v>0</v>
      </c>
      <c r="C276" s="4">
        <v>168.97</v>
      </c>
      <c r="D276" s="4">
        <v>31.51</v>
      </c>
      <c r="E276" s="3" t="s">
        <v>6</v>
      </c>
      <c r="F276" s="3">
        <v>105</v>
      </c>
      <c r="G276" s="3" t="s">
        <v>267</v>
      </c>
      <c r="H276" s="4">
        <v>9.14</v>
      </c>
      <c r="I276" s="3">
        <v>0</v>
      </c>
      <c r="J276" s="3" t="s">
        <v>4</v>
      </c>
      <c r="K276" s="3" t="s">
        <v>3</v>
      </c>
      <c r="L276" s="3">
        <v>130</v>
      </c>
      <c r="M276" s="3">
        <v>89</v>
      </c>
      <c r="N276" s="3" t="s">
        <v>5</v>
      </c>
      <c r="O276" s="3" t="str">
        <f>_xlfn.IFS('Data set'!$H276&lt;5.7,"Normal",'Data set'!$H276&lt;=6.4,"Prediabetes",'Data set'!$H276&lt;=7.5,"Diabetes",'Data set'!$H276&gt;=7.5,"Uncontrolled")</f>
        <v>Uncontrolled</v>
      </c>
      <c r="P276" s="3" t="str">
        <f>_xlfn.IFS('Data set'!$F276&lt;120,"Low",'Data set'!$F276&lt;=200,"Normal",'Data set'!$F276&lt;=240,"Boarderline",'Data set'!$F276&gt;=241,"High")</f>
        <v>Low</v>
      </c>
      <c r="Q276" s="3" t="str">
        <f>_xlfn.IFS('Data set'!$D276&lt;=18.5,"Low",'Data set'!$D276&lt;=24.9,"Normal",'Data set'!$D276&lt;=29.9,"High",'Data set'!$D276&gt;29.9,"Very High")</f>
        <v>Very High</v>
      </c>
    </row>
    <row r="277" spans="1:17" x14ac:dyDescent="0.25">
      <c r="A277" s="5">
        <v>40</v>
      </c>
      <c r="B277" s="5" t="s">
        <v>0</v>
      </c>
      <c r="C277" s="6">
        <v>236.32</v>
      </c>
      <c r="D277" s="6">
        <v>27.87</v>
      </c>
      <c r="E277" s="5" t="s">
        <v>1</v>
      </c>
      <c r="F277" s="5">
        <v>283</v>
      </c>
      <c r="G277" s="5" t="s">
        <v>268</v>
      </c>
      <c r="H277" s="6">
        <v>5.24</v>
      </c>
      <c r="I277" s="5">
        <v>6</v>
      </c>
      <c r="J277" s="5" t="s">
        <v>4</v>
      </c>
      <c r="K277" s="5" t="s">
        <v>4</v>
      </c>
      <c r="L277" s="5">
        <v>97</v>
      </c>
      <c r="M277" s="5">
        <v>73</v>
      </c>
      <c r="N277" s="5" t="s">
        <v>12</v>
      </c>
      <c r="O277" s="5" t="str">
        <f>_xlfn.IFS('Data set'!$H277&lt;5.7,"Normal",'Data set'!$H277&lt;=6.4,"Prediabetes",'Data set'!$H277&lt;=7.5,"Diabetes",'Data set'!$H277&gt;=7.5,"Uncontrolled")</f>
        <v>Normal</v>
      </c>
      <c r="P277" s="5" t="str">
        <f>_xlfn.IFS('Data set'!$F277&lt;120,"Low",'Data set'!$F277&lt;=200,"Normal",'Data set'!$F277&lt;=240,"Boarderline",'Data set'!$F277&gt;=241,"High")</f>
        <v>High</v>
      </c>
      <c r="Q277" s="5" t="str">
        <f>_xlfn.IFS('Data set'!$D277&lt;=18.5,"Low",'Data set'!$D277&lt;=24.9,"Normal",'Data set'!$D277&lt;=29.9,"High",'Data set'!$D277&gt;29.9,"Very High")</f>
        <v>High</v>
      </c>
    </row>
    <row r="278" spans="1:17" x14ac:dyDescent="0.25">
      <c r="A278" s="3">
        <v>58</v>
      </c>
      <c r="B278" s="3" t="s">
        <v>9</v>
      </c>
      <c r="C278" s="4">
        <v>204.54</v>
      </c>
      <c r="D278" s="4">
        <v>21.46</v>
      </c>
      <c r="E278" s="3" t="s">
        <v>6</v>
      </c>
      <c r="F278" s="3">
        <v>139</v>
      </c>
      <c r="G278" s="3" t="s">
        <v>87</v>
      </c>
      <c r="H278" s="4">
        <v>7.53</v>
      </c>
      <c r="I278" s="3">
        <v>7</v>
      </c>
      <c r="J278" s="3" t="s">
        <v>3</v>
      </c>
      <c r="K278" s="3" t="s">
        <v>3</v>
      </c>
      <c r="L278" s="3">
        <v>96</v>
      </c>
      <c r="M278" s="3">
        <v>68</v>
      </c>
      <c r="N278" s="3" t="s">
        <v>8</v>
      </c>
      <c r="O278" s="3" t="str">
        <f>_xlfn.IFS('Data set'!$H278&lt;5.7,"Normal",'Data set'!$H278&lt;=6.4,"Prediabetes",'Data set'!$H278&lt;=7.5,"Diabetes",'Data set'!$H278&gt;=7.5,"Uncontrolled")</f>
        <v>Uncontrolled</v>
      </c>
      <c r="P278" s="3" t="str">
        <f>_xlfn.IFS('Data set'!$F278&lt;120,"Low",'Data set'!$F278&lt;=200,"Normal",'Data set'!$F278&lt;=240,"Boarderline",'Data set'!$F278&gt;=241,"High")</f>
        <v>Normal</v>
      </c>
      <c r="Q278" s="3" t="str">
        <f>_xlfn.IFS('Data set'!$D278&lt;=18.5,"Low",'Data set'!$D278&lt;=24.9,"Normal",'Data set'!$D278&lt;=29.9,"High",'Data set'!$D278&gt;29.9,"Very High")</f>
        <v>Normal</v>
      </c>
    </row>
    <row r="279" spans="1:17" x14ac:dyDescent="0.25">
      <c r="A279" s="5">
        <v>23</v>
      </c>
      <c r="B279" s="5" t="s">
        <v>9</v>
      </c>
      <c r="C279" s="6">
        <v>165.58</v>
      </c>
      <c r="D279" s="6">
        <v>37.71</v>
      </c>
      <c r="E279" s="5" t="s">
        <v>1</v>
      </c>
      <c r="F279" s="5">
        <v>275</v>
      </c>
      <c r="G279" s="5" t="s">
        <v>143</v>
      </c>
      <c r="H279" s="6">
        <v>8.67</v>
      </c>
      <c r="I279" s="5">
        <v>7</v>
      </c>
      <c r="J279" s="5" t="s">
        <v>4</v>
      </c>
      <c r="K279" s="5" t="s">
        <v>3</v>
      </c>
      <c r="L279" s="5">
        <v>115</v>
      </c>
      <c r="M279" s="5">
        <v>71</v>
      </c>
      <c r="N279" s="5" t="s">
        <v>17</v>
      </c>
      <c r="O279" s="5" t="str">
        <f>_xlfn.IFS('Data set'!$H279&lt;5.7,"Normal",'Data set'!$H279&lt;=6.4,"Prediabetes",'Data set'!$H279&lt;=7.5,"Diabetes",'Data set'!$H279&gt;=7.5,"Uncontrolled")</f>
        <v>Uncontrolled</v>
      </c>
      <c r="P279" s="5" t="str">
        <f>_xlfn.IFS('Data set'!$F279&lt;120,"Low",'Data set'!$F279&lt;=200,"Normal",'Data set'!$F279&lt;=240,"Boarderline",'Data set'!$F279&gt;=241,"High")</f>
        <v>High</v>
      </c>
      <c r="Q279" s="5" t="str">
        <f>_xlfn.IFS('Data set'!$D279&lt;=18.5,"Low",'Data set'!$D279&lt;=24.9,"Normal",'Data set'!$D279&lt;=29.9,"High",'Data set'!$D279&gt;29.9,"Very High")</f>
        <v>Very High</v>
      </c>
    </row>
    <row r="280" spans="1:17" x14ac:dyDescent="0.25">
      <c r="A280" s="3">
        <v>36</v>
      </c>
      <c r="B280" s="3" t="s">
        <v>0</v>
      </c>
      <c r="C280" s="4">
        <v>96.34</v>
      </c>
      <c r="D280" s="4">
        <v>33.79</v>
      </c>
      <c r="E280" s="3" t="s">
        <v>6</v>
      </c>
      <c r="F280" s="3">
        <v>172</v>
      </c>
      <c r="G280" s="3" t="s">
        <v>269</v>
      </c>
      <c r="H280" s="4">
        <v>4.8499999999999996</v>
      </c>
      <c r="I280" s="3">
        <v>0</v>
      </c>
      <c r="J280" s="3" t="s">
        <v>4</v>
      </c>
      <c r="K280" s="3" t="s">
        <v>3</v>
      </c>
      <c r="L280" s="3">
        <v>136</v>
      </c>
      <c r="M280" s="3">
        <v>78</v>
      </c>
      <c r="N280" s="3" t="s">
        <v>12</v>
      </c>
      <c r="O280" s="3" t="str">
        <f>_xlfn.IFS('Data set'!$H280&lt;5.7,"Normal",'Data set'!$H280&lt;=6.4,"Prediabetes",'Data set'!$H280&lt;=7.5,"Diabetes",'Data set'!$H280&gt;=7.5,"Uncontrolled")</f>
        <v>Normal</v>
      </c>
      <c r="P280" s="3" t="str">
        <f>_xlfn.IFS('Data set'!$F280&lt;120,"Low",'Data set'!$F280&lt;=200,"Normal",'Data set'!$F280&lt;=240,"Boarderline",'Data set'!$F280&gt;=241,"High")</f>
        <v>Normal</v>
      </c>
      <c r="Q280" s="3" t="str">
        <f>_xlfn.IFS('Data set'!$D280&lt;=18.5,"Low",'Data set'!$D280&lt;=24.9,"Normal",'Data set'!$D280&lt;=29.9,"High",'Data set'!$D280&gt;29.9,"Very High")</f>
        <v>Very High</v>
      </c>
    </row>
    <row r="281" spans="1:17" x14ac:dyDescent="0.25">
      <c r="A281" s="5">
        <v>33</v>
      </c>
      <c r="B281" s="5" t="s">
        <v>0</v>
      </c>
      <c r="C281" s="6">
        <v>84.51</v>
      </c>
      <c r="D281" s="6">
        <v>34.619999999999997</v>
      </c>
      <c r="E281" s="5" t="s">
        <v>1</v>
      </c>
      <c r="F281" s="5">
        <v>172</v>
      </c>
      <c r="G281" s="5" t="s">
        <v>270</v>
      </c>
      <c r="H281" s="6">
        <v>6.35</v>
      </c>
      <c r="I281" s="5">
        <v>4</v>
      </c>
      <c r="J281" s="5" t="s">
        <v>3</v>
      </c>
      <c r="K281" s="5" t="s">
        <v>3</v>
      </c>
      <c r="L281" s="5">
        <v>116</v>
      </c>
      <c r="M281" s="5">
        <v>77</v>
      </c>
      <c r="N281" s="5" t="s">
        <v>12</v>
      </c>
      <c r="O281" s="5" t="str">
        <f>_xlfn.IFS('Data set'!$H281&lt;5.7,"Normal",'Data set'!$H281&lt;=6.4,"Prediabetes",'Data set'!$H281&lt;=7.5,"Diabetes",'Data set'!$H281&gt;=7.5,"Uncontrolled")</f>
        <v>Prediabetes</v>
      </c>
      <c r="P281" s="5" t="str">
        <f>_xlfn.IFS('Data set'!$F281&lt;120,"Low",'Data set'!$F281&lt;=200,"Normal",'Data set'!$F281&lt;=240,"Boarderline",'Data set'!$F281&gt;=241,"High")</f>
        <v>Normal</v>
      </c>
      <c r="Q281" s="5" t="str">
        <f>_xlfn.IFS('Data set'!$D281&lt;=18.5,"Low",'Data set'!$D281&lt;=24.9,"Normal",'Data set'!$D281&lt;=29.9,"High",'Data set'!$D281&gt;29.9,"Very High")</f>
        <v>Very High</v>
      </c>
    </row>
    <row r="282" spans="1:17" x14ac:dyDescent="0.25">
      <c r="A282" s="3">
        <v>76</v>
      </c>
      <c r="B282" s="3" t="s">
        <v>9</v>
      </c>
      <c r="C282" s="4">
        <v>132.34</v>
      </c>
      <c r="D282" s="4">
        <v>29.62</v>
      </c>
      <c r="E282" s="3" t="s">
        <v>10</v>
      </c>
      <c r="F282" s="3">
        <v>134</v>
      </c>
      <c r="G282" s="3" t="s">
        <v>271</v>
      </c>
      <c r="H282" s="4">
        <v>4.8600000000000003</v>
      </c>
      <c r="I282" s="3">
        <v>5</v>
      </c>
      <c r="J282" s="3" t="s">
        <v>3</v>
      </c>
      <c r="K282" s="3" t="s">
        <v>3</v>
      </c>
      <c r="L282" s="3">
        <v>113</v>
      </c>
      <c r="M282" s="3">
        <v>83</v>
      </c>
      <c r="N282" s="3" t="s">
        <v>5</v>
      </c>
      <c r="O282" s="3" t="str">
        <f>_xlfn.IFS('Data set'!$H282&lt;5.7,"Normal",'Data set'!$H282&lt;=6.4,"Prediabetes",'Data set'!$H282&lt;=7.5,"Diabetes",'Data set'!$H282&gt;=7.5,"Uncontrolled")</f>
        <v>Normal</v>
      </c>
      <c r="P282" s="3" t="str">
        <f>_xlfn.IFS('Data set'!$F282&lt;120,"Low",'Data set'!$F282&lt;=200,"Normal",'Data set'!$F282&lt;=240,"Boarderline",'Data set'!$F282&gt;=241,"High")</f>
        <v>Normal</v>
      </c>
      <c r="Q282" s="3" t="str">
        <f>_xlfn.IFS('Data set'!$D282&lt;=18.5,"Low",'Data set'!$D282&lt;=24.9,"Normal",'Data set'!$D282&lt;=29.9,"High",'Data set'!$D282&gt;29.9,"Very High")</f>
        <v>High</v>
      </c>
    </row>
    <row r="283" spans="1:17" x14ac:dyDescent="0.25">
      <c r="A283" s="5">
        <v>45</v>
      </c>
      <c r="B283" s="5" t="s">
        <v>9</v>
      </c>
      <c r="C283" s="6">
        <v>153.13</v>
      </c>
      <c r="D283" s="6">
        <v>24.07</v>
      </c>
      <c r="E283" s="5" t="s">
        <v>1</v>
      </c>
      <c r="F283" s="5">
        <v>197</v>
      </c>
      <c r="G283" s="5" t="s">
        <v>272</v>
      </c>
      <c r="H283" s="6">
        <v>7</v>
      </c>
      <c r="I283" s="5">
        <v>7</v>
      </c>
      <c r="J283" s="5" t="s">
        <v>4</v>
      </c>
      <c r="K283" s="5" t="s">
        <v>4</v>
      </c>
      <c r="L283" s="5">
        <v>121</v>
      </c>
      <c r="M283" s="5">
        <v>83</v>
      </c>
      <c r="N283" s="5" t="s">
        <v>23</v>
      </c>
      <c r="O283" s="5" t="str">
        <f>_xlfn.IFS('Data set'!$H283&lt;5.7,"Normal",'Data set'!$H283&lt;=6.4,"Prediabetes",'Data set'!$H283&lt;=7.5,"Diabetes",'Data set'!$H283&gt;=7.5,"Uncontrolled")</f>
        <v>Diabetes</v>
      </c>
      <c r="P283" s="5" t="str">
        <f>_xlfn.IFS('Data set'!$F283&lt;120,"Low",'Data set'!$F283&lt;=200,"Normal",'Data set'!$F283&lt;=240,"Boarderline",'Data set'!$F283&gt;=241,"High")</f>
        <v>Normal</v>
      </c>
      <c r="Q283" s="5" t="str">
        <f>_xlfn.IFS('Data set'!$D283&lt;=18.5,"Low",'Data set'!$D283&lt;=24.9,"Normal",'Data set'!$D283&lt;=29.9,"High",'Data set'!$D283&gt;29.9,"Very High")</f>
        <v>Normal</v>
      </c>
    </row>
    <row r="284" spans="1:17" x14ac:dyDescent="0.25">
      <c r="A284" s="3">
        <v>34</v>
      </c>
      <c r="B284" s="3" t="s">
        <v>0</v>
      </c>
      <c r="C284" s="4">
        <v>287.16000000000003</v>
      </c>
      <c r="D284" s="4">
        <v>36.15</v>
      </c>
      <c r="E284" s="3" t="s">
        <v>10</v>
      </c>
      <c r="F284" s="3">
        <v>176</v>
      </c>
      <c r="G284" s="3" t="s">
        <v>273</v>
      </c>
      <c r="H284" s="4">
        <v>5.66</v>
      </c>
      <c r="I284" s="3">
        <v>2</v>
      </c>
      <c r="J284" s="3" t="s">
        <v>3</v>
      </c>
      <c r="K284" s="3" t="s">
        <v>3</v>
      </c>
      <c r="L284" s="3">
        <v>130</v>
      </c>
      <c r="M284" s="3">
        <v>71</v>
      </c>
      <c r="N284" s="3" t="s">
        <v>12</v>
      </c>
      <c r="O284" s="3" t="str">
        <f>_xlfn.IFS('Data set'!$H284&lt;5.7,"Normal",'Data set'!$H284&lt;=6.4,"Prediabetes",'Data set'!$H284&lt;=7.5,"Diabetes",'Data set'!$H284&gt;=7.5,"Uncontrolled")</f>
        <v>Normal</v>
      </c>
      <c r="P284" s="3" t="str">
        <f>_xlfn.IFS('Data set'!$F284&lt;120,"Low",'Data set'!$F284&lt;=200,"Normal",'Data set'!$F284&lt;=240,"Boarderline",'Data set'!$F284&gt;=241,"High")</f>
        <v>Normal</v>
      </c>
      <c r="Q284" s="3" t="str">
        <f>_xlfn.IFS('Data set'!$D284&lt;=18.5,"Low",'Data set'!$D284&lt;=24.9,"Normal",'Data set'!$D284&lt;=29.9,"High",'Data set'!$D284&gt;29.9,"Very High")</f>
        <v>Very High</v>
      </c>
    </row>
    <row r="285" spans="1:17" x14ac:dyDescent="0.25">
      <c r="A285" s="5">
        <v>55</v>
      </c>
      <c r="B285" s="5" t="s">
        <v>9</v>
      </c>
      <c r="C285" s="6">
        <v>82.27</v>
      </c>
      <c r="D285" s="6">
        <v>27.5</v>
      </c>
      <c r="E285" s="5" t="s">
        <v>10</v>
      </c>
      <c r="F285" s="5">
        <v>261</v>
      </c>
      <c r="G285" s="5" t="s">
        <v>274</v>
      </c>
      <c r="H285" s="6">
        <v>5.7</v>
      </c>
      <c r="I285" s="5">
        <v>2</v>
      </c>
      <c r="J285" s="5" t="s">
        <v>3</v>
      </c>
      <c r="K285" s="5" t="s">
        <v>3</v>
      </c>
      <c r="L285" s="5">
        <v>114</v>
      </c>
      <c r="M285" s="5">
        <v>69</v>
      </c>
      <c r="N285" s="5" t="s">
        <v>8</v>
      </c>
      <c r="O285" s="5" t="str">
        <f>_xlfn.IFS('Data set'!$H285&lt;5.7,"Normal",'Data set'!$H285&lt;=6.4,"Prediabetes",'Data set'!$H285&lt;=7.5,"Diabetes",'Data set'!$H285&gt;=7.5,"Uncontrolled")</f>
        <v>Prediabetes</v>
      </c>
      <c r="P285" s="5" t="str">
        <f>_xlfn.IFS('Data set'!$F285&lt;120,"Low",'Data set'!$F285&lt;=200,"Normal",'Data set'!$F285&lt;=240,"Boarderline",'Data set'!$F285&gt;=241,"High")</f>
        <v>High</v>
      </c>
      <c r="Q285" s="5" t="str">
        <f>_xlfn.IFS('Data set'!$D285&lt;=18.5,"Low",'Data set'!$D285&lt;=24.9,"Normal",'Data set'!$D285&lt;=29.9,"High",'Data set'!$D285&gt;29.9,"Very High")</f>
        <v>High</v>
      </c>
    </row>
    <row r="286" spans="1:17" x14ac:dyDescent="0.25">
      <c r="A286" s="3">
        <v>64</v>
      </c>
      <c r="B286" s="3" t="s">
        <v>0</v>
      </c>
      <c r="C286" s="4">
        <v>229.83</v>
      </c>
      <c r="D286" s="4">
        <v>21.49</v>
      </c>
      <c r="E286" s="3" t="s">
        <v>10</v>
      </c>
      <c r="F286" s="3">
        <v>261</v>
      </c>
      <c r="G286" s="3" t="s">
        <v>275</v>
      </c>
      <c r="H286" s="4">
        <v>4.29</v>
      </c>
      <c r="I286" s="3">
        <v>5</v>
      </c>
      <c r="J286" s="3" t="s">
        <v>3</v>
      </c>
      <c r="K286" s="3" t="s">
        <v>4</v>
      </c>
      <c r="L286" s="3">
        <v>110</v>
      </c>
      <c r="M286" s="3">
        <v>60</v>
      </c>
      <c r="N286" s="3" t="s">
        <v>21</v>
      </c>
      <c r="O286" s="3" t="str">
        <f>_xlfn.IFS('Data set'!$H286&lt;5.7,"Normal",'Data set'!$H286&lt;=6.4,"Prediabetes",'Data set'!$H286&lt;=7.5,"Diabetes",'Data set'!$H286&gt;=7.5,"Uncontrolled")</f>
        <v>Normal</v>
      </c>
      <c r="P286" s="3" t="str">
        <f>_xlfn.IFS('Data set'!$F286&lt;120,"Low",'Data set'!$F286&lt;=200,"Normal",'Data set'!$F286&lt;=240,"Boarderline",'Data set'!$F286&gt;=241,"High")</f>
        <v>High</v>
      </c>
      <c r="Q286" s="3" t="str">
        <f>_xlfn.IFS('Data set'!$D286&lt;=18.5,"Low",'Data set'!$D286&lt;=24.9,"Normal",'Data set'!$D286&lt;=29.9,"High",'Data set'!$D286&gt;29.9,"Very High")</f>
        <v>Normal</v>
      </c>
    </row>
    <row r="287" spans="1:17" x14ac:dyDescent="0.25">
      <c r="A287" s="5">
        <v>34</v>
      </c>
      <c r="B287" s="5" t="s">
        <v>9</v>
      </c>
      <c r="C287" s="6">
        <v>132.27000000000001</v>
      </c>
      <c r="D287" s="6">
        <v>23.87</v>
      </c>
      <c r="E287" s="5" t="s">
        <v>10</v>
      </c>
      <c r="F287" s="5">
        <v>144</v>
      </c>
      <c r="G287" s="5" t="s">
        <v>276</v>
      </c>
      <c r="H287" s="6">
        <v>6.09</v>
      </c>
      <c r="I287" s="5">
        <v>1</v>
      </c>
      <c r="J287" s="5" t="s">
        <v>3</v>
      </c>
      <c r="K287" s="5" t="s">
        <v>3</v>
      </c>
      <c r="L287" s="5">
        <v>110</v>
      </c>
      <c r="M287" s="5">
        <v>90</v>
      </c>
      <c r="N287" s="5" t="s">
        <v>12</v>
      </c>
      <c r="O287" s="5" t="str">
        <f>_xlfn.IFS('Data set'!$H287&lt;5.7,"Normal",'Data set'!$H287&lt;=6.4,"Prediabetes",'Data set'!$H287&lt;=7.5,"Diabetes",'Data set'!$H287&gt;=7.5,"Uncontrolled")</f>
        <v>Prediabetes</v>
      </c>
      <c r="P287" s="5" t="str">
        <f>_xlfn.IFS('Data set'!$F287&lt;120,"Low",'Data set'!$F287&lt;=200,"Normal",'Data set'!$F287&lt;=240,"Boarderline",'Data set'!$F287&gt;=241,"High")</f>
        <v>Normal</v>
      </c>
      <c r="Q287" s="5" t="str">
        <f>_xlfn.IFS('Data set'!$D287&lt;=18.5,"Low",'Data set'!$D287&lt;=24.9,"Normal",'Data set'!$D287&lt;=29.9,"High",'Data set'!$D287&gt;29.9,"Very High")</f>
        <v>Normal</v>
      </c>
    </row>
    <row r="288" spans="1:17" x14ac:dyDescent="0.25">
      <c r="A288" s="3">
        <v>39</v>
      </c>
      <c r="B288" s="3" t="s">
        <v>9</v>
      </c>
      <c r="C288" s="4">
        <v>296.32</v>
      </c>
      <c r="D288" s="4">
        <v>29.17</v>
      </c>
      <c r="E288" s="3" t="s">
        <v>10</v>
      </c>
      <c r="F288" s="3">
        <v>134</v>
      </c>
      <c r="G288" s="3" t="s">
        <v>277</v>
      </c>
      <c r="H288" s="4">
        <v>6.9</v>
      </c>
      <c r="I288" s="3">
        <v>5</v>
      </c>
      <c r="J288" s="3" t="s">
        <v>3</v>
      </c>
      <c r="K288" s="3" t="s">
        <v>3</v>
      </c>
      <c r="L288" s="3">
        <v>104</v>
      </c>
      <c r="M288" s="3">
        <v>77</v>
      </c>
      <c r="N288" s="3" t="s">
        <v>12</v>
      </c>
      <c r="O288" s="3" t="str">
        <f>_xlfn.IFS('Data set'!$H288&lt;5.7,"Normal",'Data set'!$H288&lt;=6.4,"Prediabetes",'Data set'!$H288&lt;=7.5,"Diabetes",'Data set'!$H288&gt;=7.5,"Uncontrolled")</f>
        <v>Diabetes</v>
      </c>
      <c r="P288" s="3" t="str">
        <f>_xlfn.IFS('Data set'!$F288&lt;120,"Low",'Data set'!$F288&lt;=200,"Normal",'Data set'!$F288&lt;=240,"Boarderline",'Data set'!$F288&gt;=241,"High")</f>
        <v>Normal</v>
      </c>
      <c r="Q288" s="3" t="str">
        <f>_xlfn.IFS('Data set'!$D288&lt;=18.5,"Low",'Data set'!$D288&lt;=24.9,"Normal",'Data set'!$D288&lt;=29.9,"High",'Data set'!$D288&gt;29.9,"Very High")</f>
        <v>High</v>
      </c>
    </row>
    <row r="289" spans="1:17" x14ac:dyDescent="0.25">
      <c r="A289" s="5">
        <v>73</v>
      </c>
      <c r="B289" s="5" t="s">
        <v>9</v>
      </c>
      <c r="C289" s="6">
        <v>174.42</v>
      </c>
      <c r="D289" s="6">
        <v>34.54</v>
      </c>
      <c r="E289" s="5" t="s">
        <v>1</v>
      </c>
      <c r="F289" s="5">
        <v>299</v>
      </c>
      <c r="G289" s="5" t="s">
        <v>278</v>
      </c>
      <c r="H289" s="6">
        <v>6.77</v>
      </c>
      <c r="I289" s="5">
        <v>6</v>
      </c>
      <c r="J289" s="5" t="s">
        <v>4</v>
      </c>
      <c r="K289" s="5" t="s">
        <v>4</v>
      </c>
      <c r="L289" s="5">
        <v>140</v>
      </c>
      <c r="M289" s="5">
        <v>78</v>
      </c>
      <c r="N289" s="5" t="s">
        <v>5</v>
      </c>
      <c r="O289" s="5" t="str">
        <f>_xlfn.IFS('Data set'!$H289&lt;5.7,"Normal",'Data set'!$H289&lt;=6.4,"Prediabetes",'Data set'!$H289&lt;=7.5,"Diabetes",'Data set'!$H289&gt;=7.5,"Uncontrolled")</f>
        <v>Diabetes</v>
      </c>
      <c r="P289" s="5" t="str">
        <f>_xlfn.IFS('Data set'!$F289&lt;120,"Low",'Data set'!$F289&lt;=200,"Normal",'Data set'!$F289&lt;=240,"Boarderline",'Data set'!$F289&gt;=241,"High")</f>
        <v>High</v>
      </c>
      <c r="Q289" s="5" t="str">
        <f>_xlfn.IFS('Data set'!$D289&lt;=18.5,"Low",'Data set'!$D289&lt;=24.9,"Normal",'Data set'!$D289&lt;=29.9,"High",'Data set'!$D289&gt;29.9,"Very High")</f>
        <v>Very High</v>
      </c>
    </row>
    <row r="290" spans="1:17" x14ac:dyDescent="0.25">
      <c r="A290" s="3">
        <v>60</v>
      </c>
      <c r="B290" s="3" t="s">
        <v>9</v>
      </c>
      <c r="C290" s="4">
        <v>91.77</v>
      </c>
      <c r="D290" s="4">
        <v>27.01</v>
      </c>
      <c r="E290" s="3" t="s">
        <v>14</v>
      </c>
      <c r="F290" s="3">
        <v>151</v>
      </c>
      <c r="G290" s="3" t="s">
        <v>279</v>
      </c>
      <c r="H290" s="4">
        <v>9.33</v>
      </c>
      <c r="I290" s="3">
        <v>7</v>
      </c>
      <c r="J290" s="3" t="s">
        <v>3</v>
      </c>
      <c r="K290" s="3" t="s">
        <v>4</v>
      </c>
      <c r="L290" s="3">
        <v>125</v>
      </c>
      <c r="M290" s="3">
        <v>71</v>
      </c>
      <c r="N290" s="3" t="s">
        <v>8</v>
      </c>
      <c r="O290" s="3" t="str">
        <f>_xlfn.IFS('Data set'!$H290&lt;5.7,"Normal",'Data set'!$H290&lt;=6.4,"Prediabetes",'Data set'!$H290&lt;=7.5,"Diabetes",'Data set'!$H290&gt;=7.5,"Uncontrolled")</f>
        <v>Uncontrolled</v>
      </c>
      <c r="P290" s="3" t="str">
        <f>_xlfn.IFS('Data set'!$F290&lt;120,"Low",'Data set'!$F290&lt;=200,"Normal",'Data set'!$F290&lt;=240,"Boarderline",'Data set'!$F290&gt;=241,"High")</f>
        <v>Normal</v>
      </c>
      <c r="Q290" s="3" t="str">
        <f>_xlfn.IFS('Data set'!$D290&lt;=18.5,"Low",'Data set'!$D290&lt;=24.9,"Normal",'Data set'!$D290&lt;=29.9,"High",'Data set'!$D290&gt;29.9,"Very High")</f>
        <v>High</v>
      </c>
    </row>
    <row r="291" spans="1:17" x14ac:dyDescent="0.25">
      <c r="A291" s="5">
        <v>40</v>
      </c>
      <c r="B291" s="5" t="s">
        <v>9</v>
      </c>
      <c r="C291" s="6">
        <v>295.08</v>
      </c>
      <c r="D291" s="6">
        <v>34.630000000000003</v>
      </c>
      <c r="E291" s="5" t="s">
        <v>1</v>
      </c>
      <c r="F291" s="5">
        <v>219</v>
      </c>
      <c r="G291" s="5" t="s">
        <v>280</v>
      </c>
      <c r="H291" s="6">
        <v>6.95</v>
      </c>
      <c r="I291" s="5">
        <v>2</v>
      </c>
      <c r="J291" s="5" t="s">
        <v>4</v>
      </c>
      <c r="K291" s="5" t="s">
        <v>3</v>
      </c>
      <c r="L291" s="5">
        <v>103</v>
      </c>
      <c r="M291" s="5">
        <v>71</v>
      </c>
      <c r="N291" s="5" t="s">
        <v>12</v>
      </c>
      <c r="O291" s="5" t="str">
        <f>_xlfn.IFS('Data set'!$H291&lt;5.7,"Normal",'Data set'!$H291&lt;=6.4,"Prediabetes",'Data set'!$H291&lt;=7.5,"Diabetes",'Data set'!$H291&gt;=7.5,"Uncontrolled")</f>
        <v>Diabetes</v>
      </c>
      <c r="P291" s="5" t="str">
        <f>_xlfn.IFS('Data set'!$F291&lt;120,"Low",'Data set'!$F291&lt;=200,"Normal",'Data set'!$F291&lt;=240,"Boarderline",'Data set'!$F291&gt;=241,"High")</f>
        <v>Boarderline</v>
      </c>
      <c r="Q291" s="5" t="str">
        <f>_xlfn.IFS('Data set'!$D291&lt;=18.5,"Low",'Data set'!$D291&lt;=24.9,"Normal",'Data set'!$D291&lt;=29.9,"High",'Data set'!$D291&gt;29.9,"Very High")</f>
        <v>Very High</v>
      </c>
    </row>
    <row r="292" spans="1:17" x14ac:dyDescent="0.25">
      <c r="A292" s="3">
        <v>40</v>
      </c>
      <c r="B292" s="3" t="s">
        <v>9</v>
      </c>
      <c r="C292" s="4">
        <v>102.01</v>
      </c>
      <c r="D292" s="4">
        <v>36.380000000000003</v>
      </c>
      <c r="E292" s="3" t="s">
        <v>14</v>
      </c>
      <c r="F292" s="3">
        <v>123</v>
      </c>
      <c r="G292" s="3" t="s">
        <v>281</v>
      </c>
      <c r="H292" s="4">
        <v>8.27</v>
      </c>
      <c r="I292" s="3">
        <v>0</v>
      </c>
      <c r="J292" s="3" t="s">
        <v>3</v>
      </c>
      <c r="K292" s="3" t="s">
        <v>3</v>
      </c>
      <c r="L292" s="3">
        <v>125</v>
      </c>
      <c r="M292" s="3">
        <v>83</v>
      </c>
      <c r="N292" s="3" t="s">
        <v>12</v>
      </c>
      <c r="O292" s="3" t="str">
        <f>_xlfn.IFS('Data set'!$H292&lt;5.7,"Normal",'Data set'!$H292&lt;=6.4,"Prediabetes",'Data set'!$H292&lt;=7.5,"Diabetes",'Data set'!$H292&gt;=7.5,"Uncontrolled")</f>
        <v>Uncontrolled</v>
      </c>
      <c r="P292" s="3" t="str">
        <f>_xlfn.IFS('Data set'!$F292&lt;120,"Low",'Data set'!$F292&lt;=200,"Normal",'Data set'!$F292&lt;=240,"Boarderline",'Data set'!$F292&gt;=241,"High")</f>
        <v>Normal</v>
      </c>
      <c r="Q292" s="3" t="str">
        <f>_xlfn.IFS('Data set'!$D292&lt;=18.5,"Low",'Data set'!$D292&lt;=24.9,"Normal",'Data set'!$D292&lt;=29.9,"High",'Data set'!$D292&gt;29.9,"Very High")</f>
        <v>Very High</v>
      </c>
    </row>
    <row r="293" spans="1:17" x14ac:dyDescent="0.25">
      <c r="A293" s="5">
        <v>56</v>
      </c>
      <c r="B293" s="5" t="s">
        <v>9</v>
      </c>
      <c r="C293" s="6">
        <v>134.27000000000001</v>
      </c>
      <c r="D293" s="6">
        <v>38.92</v>
      </c>
      <c r="E293" s="5" t="s">
        <v>1</v>
      </c>
      <c r="F293" s="5">
        <v>271</v>
      </c>
      <c r="G293" s="5" t="s">
        <v>282</v>
      </c>
      <c r="H293" s="6">
        <v>9.7899999999999991</v>
      </c>
      <c r="I293" s="5">
        <v>3</v>
      </c>
      <c r="J293" s="5" t="s">
        <v>3</v>
      </c>
      <c r="K293" s="5" t="s">
        <v>3</v>
      </c>
      <c r="L293" s="5">
        <v>124</v>
      </c>
      <c r="M293" s="5">
        <v>77</v>
      </c>
      <c r="N293" s="5" t="s">
        <v>8</v>
      </c>
      <c r="O293" s="5" t="str">
        <f>_xlfn.IFS('Data set'!$H293&lt;5.7,"Normal",'Data set'!$H293&lt;=6.4,"Prediabetes",'Data set'!$H293&lt;=7.5,"Diabetes",'Data set'!$H293&gt;=7.5,"Uncontrolled")</f>
        <v>Uncontrolled</v>
      </c>
      <c r="P293" s="5" t="str">
        <f>_xlfn.IFS('Data set'!$F293&lt;120,"Low",'Data set'!$F293&lt;=200,"Normal",'Data set'!$F293&lt;=240,"Boarderline",'Data set'!$F293&gt;=241,"High")</f>
        <v>High</v>
      </c>
      <c r="Q293" s="5" t="str">
        <f>_xlfn.IFS('Data set'!$D293&lt;=18.5,"Low",'Data set'!$D293&lt;=24.9,"Normal",'Data set'!$D293&lt;=29.9,"High",'Data set'!$D293&gt;29.9,"Very High")</f>
        <v>Very High</v>
      </c>
    </row>
    <row r="294" spans="1:17" x14ac:dyDescent="0.25">
      <c r="A294" s="3">
        <v>42</v>
      </c>
      <c r="B294" s="3" t="s">
        <v>9</v>
      </c>
      <c r="C294" s="4">
        <v>74.44</v>
      </c>
      <c r="D294" s="4">
        <v>35.869999999999997</v>
      </c>
      <c r="E294" s="3" t="s">
        <v>10</v>
      </c>
      <c r="F294" s="3">
        <v>184</v>
      </c>
      <c r="G294" s="3" t="s">
        <v>283</v>
      </c>
      <c r="H294" s="4">
        <v>9.68</v>
      </c>
      <c r="I294" s="3">
        <v>2</v>
      </c>
      <c r="J294" s="3" t="s">
        <v>4</v>
      </c>
      <c r="K294" s="3" t="s">
        <v>4</v>
      </c>
      <c r="L294" s="3">
        <v>124</v>
      </c>
      <c r="M294" s="3">
        <v>87</v>
      </c>
      <c r="N294" s="3" t="s">
        <v>23</v>
      </c>
      <c r="O294" s="3" t="str">
        <f>_xlfn.IFS('Data set'!$H294&lt;5.7,"Normal",'Data set'!$H294&lt;=6.4,"Prediabetes",'Data set'!$H294&lt;=7.5,"Diabetes",'Data set'!$H294&gt;=7.5,"Uncontrolled")</f>
        <v>Uncontrolled</v>
      </c>
      <c r="P294" s="3" t="str">
        <f>_xlfn.IFS('Data set'!$F294&lt;120,"Low",'Data set'!$F294&lt;=200,"Normal",'Data set'!$F294&lt;=240,"Boarderline",'Data set'!$F294&gt;=241,"High")</f>
        <v>Normal</v>
      </c>
      <c r="Q294" s="3" t="str">
        <f>_xlfn.IFS('Data set'!$D294&lt;=18.5,"Low",'Data set'!$D294&lt;=24.9,"Normal",'Data set'!$D294&lt;=29.9,"High",'Data set'!$D294&gt;29.9,"Very High")</f>
        <v>Very High</v>
      </c>
    </row>
    <row r="295" spans="1:17" x14ac:dyDescent="0.25">
      <c r="A295" s="5">
        <v>60</v>
      </c>
      <c r="B295" s="5" t="s">
        <v>0</v>
      </c>
      <c r="C295" s="6">
        <v>143.06</v>
      </c>
      <c r="D295" s="6">
        <v>30.1</v>
      </c>
      <c r="E295" s="5" t="s">
        <v>6</v>
      </c>
      <c r="F295" s="5">
        <v>199</v>
      </c>
      <c r="G295" s="5" t="s">
        <v>284</v>
      </c>
      <c r="H295" s="6">
        <v>8.92</v>
      </c>
      <c r="I295" s="5">
        <v>5</v>
      </c>
      <c r="J295" s="5" t="s">
        <v>3</v>
      </c>
      <c r="K295" s="5" t="s">
        <v>3</v>
      </c>
      <c r="L295" s="5">
        <v>106</v>
      </c>
      <c r="M295" s="5">
        <v>80</v>
      </c>
      <c r="N295" s="5" t="s">
        <v>8</v>
      </c>
      <c r="O295" s="5" t="str">
        <f>_xlfn.IFS('Data set'!$H295&lt;5.7,"Normal",'Data set'!$H295&lt;=6.4,"Prediabetes",'Data set'!$H295&lt;=7.5,"Diabetes",'Data set'!$H295&gt;=7.5,"Uncontrolled")</f>
        <v>Uncontrolled</v>
      </c>
      <c r="P295" s="5" t="str">
        <f>_xlfn.IFS('Data set'!$F295&lt;120,"Low",'Data set'!$F295&lt;=200,"Normal",'Data set'!$F295&lt;=240,"Boarderline",'Data set'!$F295&gt;=241,"High")</f>
        <v>Normal</v>
      </c>
      <c r="Q295" s="5" t="str">
        <f>_xlfn.IFS('Data set'!$D295&lt;=18.5,"Low",'Data set'!$D295&lt;=24.9,"Normal",'Data set'!$D295&lt;=29.9,"High",'Data set'!$D295&gt;29.9,"Very High")</f>
        <v>Very High</v>
      </c>
    </row>
    <row r="296" spans="1:17" x14ac:dyDescent="0.25">
      <c r="A296" s="3">
        <v>19</v>
      </c>
      <c r="B296" s="3" t="s">
        <v>0</v>
      </c>
      <c r="C296" s="4">
        <v>224.37</v>
      </c>
      <c r="D296" s="4">
        <v>39.42</v>
      </c>
      <c r="E296" s="3" t="s">
        <v>10</v>
      </c>
      <c r="F296" s="3">
        <v>157</v>
      </c>
      <c r="G296" s="3" t="s">
        <v>285</v>
      </c>
      <c r="H296" s="4">
        <v>5.44</v>
      </c>
      <c r="I296" s="3">
        <v>2</v>
      </c>
      <c r="J296" s="3" t="s">
        <v>4</v>
      </c>
      <c r="K296" s="3" t="s">
        <v>3</v>
      </c>
      <c r="L296" s="3">
        <v>96</v>
      </c>
      <c r="M296" s="3">
        <v>67</v>
      </c>
      <c r="N296" s="3" t="s">
        <v>17</v>
      </c>
      <c r="O296" s="3" t="str">
        <f>_xlfn.IFS('Data set'!$H296&lt;5.7,"Normal",'Data set'!$H296&lt;=6.4,"Prediabetes",'Data set'!$H296&lt;=7.5,"Diabetes",'Data set'!$H296&gt;=7.5,"Uncontrolled")</f>
        <v>Normal</v>
      </c>
      <c r="P296" s="3" t="str">
        <f>_xlfn.IFS('Data set'!$F296&lt;120,"Low",'Data set'!$F296&lt;=200,"Normal",'Data set'!$F296&lt;=240,"Boarderline",'Data set'!$F296&gt;=241,"High")</f>
        <v>Normal</v>
      </c>
      <c r="Q296" s="3" t="str">
        <f>_xlfn.IFS('Data set'!$D296&lt;=18.5,"Low",'Data set'!$D296&lt;=24.9,"Normal",'Data set'!$D296&lt;=29.9,"High",'Data set'!$D296&gt;29.9,"Very High")</f>
        <v>Very High</v>
      </c>
    </row>
    <row r="297" spans="1:17" x14ac:dyDescent="0.25">
      <c r="A297" s="5">
        <v>48</v>
      </c>
      <c r="B297" s="5" t="s">
        <v>0</v>
      </c>
      <c r="C297" s="6">
        <v>195.59</v>
      </c>
      <c r="D297" s="6">
        <v>27.49</v>
      </c>
      <c r="E297" s="5" t="s">
        <v>6</v>
      </c>
      <c r="F297" s="5">
        <v>264</v>
      </c>
      <c r="G297" s="5" t="s">
        <v>286</v>
      </c>
      <c r="H297" s="6">
        <v>8.31</v>
      </c>
      <c r="I297" s="5">
        <v>6</v>
      </c>
      <c r="J297" s="5" t="s">
        <v>3</v>
      </c>
      <c r="K297" s="5" t="s">
        <v>4</v>
      </c>
      <c r="L297" s="5">
        <v>112</v>
      </c>
      <c r="M297" s="5">
        <v>68</v>
      </c>
      <c r="N297" s="5" t="s">
        <v>23</v>
      </c>
      <c r="O297" s="5" t="str">
        <f>_xlfn.IFS('Data set'!$H297&lt;5.7,"Normal",'Data set'!$H297&lt;=6.4,"Prediabetes",'Data set'!$H297&lt;=7.5,"Diabetes",'Data set'!$H297&gt;=7.5,"Uncontrolled")</f>
        <v>Uncontrolled</v>
      </c>
      <c r="P297" s="5" t="str">
        <f>_xlfn.IFS('Data set'!$F297&lt;120,"Low",'Data set'!$F297&lt;=200,"Normal",'Data set'!$F297&lt;=240,"Boarderline",'Data set'!$F297&gt;=241,"High")</f>
        <v>High</v>
      </c>
      <c r="Q297" s="5" t="str">
        <f>_xlfn.IFS('Data set'!$D297&lt;=18.5,"Low",'Data set'!$D297&lt;=24.9,"Normal",'Data set'!$D297&lt;=29.9,"High",'Data set'!$D297&gt;29.9,"Very High")</f>
        <v>High</v>
      </c>
    </row>
    <row r="298" spans="1:17" x14ac:dyDescent="0.25">
      <c r="A298" s="3">
        <v>65</v>
      </c>
      <c r="B298" s="3" t="s">
        <v>0</v>
      </c>
      <c r="C298" s="4">
        <v>127.2</v>
      </c>
      <c r="D298" s="4">
        <v>21.43</v>
      </c>
      <c r="E298" s="3" t="s">
        <v>10</v>
      </c>
      <c r="F298" s="3">
        <v>278</v>
      </c>
      <c r="G298" s="3" t="s">
        <v>287</v>
      </c>
      <c r="H298" s="4">
        <v>6.79</v>
      </c>
      <c r="I298" s="3">
        <v>6</v>
      </c>
      <c r="J298" s="3" t="s">
        <v>4</v>
      </c>
      <c r="K298" s="3" t="s">
        <v>4</v>
      </c>
      <c r="L298" s="3">
        <v>103</v>
      </c>
      <c r="M298" s="3">
        <v>85</v>
      </c>
      <c r="N298" s="3" t="s">
        <v>21</v>
      </c>
      <c r="O298" s="3" t="str">
        <f>_xlfn.IFS('Data set'!$H298&lt;5.7,"Normal",'Data set'!$H298&lt;=6.4,"Prediabetes",'Data set'!$H298&lt;=7.5,"Diabetes",'Data set'!$H298&gt;=7.5,"Uncontrolled")</f>
        <v>Diabetes</v>
      </c>
      <c r="P298" s="3" t="str">
        <f>_xlfn.IFS('Data set'!$F298&lt;120,"Low",'Data set'!$F298&lt;=200,"Normal",'Data set'!$F298&lt;=240,"Boarderline",'Data set'!$F298&gt;=241,"High")</f>
        <v>High</v>
      </c>
      <c r="Q298" s="3" t="str">
        <f>_xlfn.IFS('Data set'!$D298&lt;=18.5,"Low",'Data set'!$D298&lt;=24.9,"Normal",'Data set'!$D298&lt;=29.9,"High",'Data set'!$D298&gt;29.9,"Very High")</f>
        <v>Normal</v>
      </c>
    </row>
    <row r="299" spans="1:17" x14ac:dyDescent="0.25">
      <c r="A299" s="5">
        <v>30</v>
      </c>
      <c r="B299" s="5" t="s">
        <v>9</v>
      </c>
      <c r="C299" s="6">
        <v>246.45</v>
      </c>
      <c r="D299" s="6">
        <v>29.08</v>
      </c>
      <c r="E299" s="5" t="s">
        <v>10</v>
      </c>
      <c r="F299" s="5">
        <v>202</v>
      </c>
      <c r="G299" s="5" t="s">
        <v>288</v>
      </c>
      <c r="H299" s="6">
        <v>5.04</v>
      </c>
      <c r="I299" s="5">
        <v>2</v>
      </c>
      <c r="J299" s="5" t="s">
        <v>4</v>
      </c>
      <c r="K299" s="5" t="s">
        <v>4</v>
      </c>
      <c r="L299" s="5">
        <v>131</v>
      </c>
      <c r="M299" s="5">
        <v>77</v>
      </c>
      <c r="N299" s="5" t="s">
        <v>17</v>
      </c>
      <c r="O299" s="5" t="str">
        <f>_xlfn.IFS('Data set'!$H299&lt;5.7,"Normal",'Data set'!$H299&lt;=6.4,"Prediabetes",'Data set'!$H299&lt;=7.5,"Diabetes",'Data set'!$H299&gt;=7.5,"Uncontrolled")</f>
        <v>Normal</v>
      </c>
      <c r="P299" s="5" t="str">
        <f>_xlfn.IFS('Data set'!$F299&lt;120,"Low",'Data set'!$F299&lt;=200,"Normal",'Data set'!$F299&lt;=240,"Boarderline",'Data set'!$F299&gt;=241,"High")</f>
        <v>Boarderline</v>
      </c>
      <c r="Q299" s="5" t="str">
        <f>_xlfn.IFS('Data set'!$D299&lt;=18.5,"Low",'Data set'!$D299&lt;=24.9,"Normal",'Data set'!$D299&lt;=29.9,"High",'Data set'!$D299&gt;29.9,"Very High")</f>
        <v>High</v>
      </c>
    </row>
    <row r="300" spans="1:17" x14ac:dyDescent="0.25">
      <c r="A300" s="3">
        <v>31</v>
      </c>
      <c r="B300" s="3" t="s">
        <v>0</v>
      </c>
      <c r="C300" s="4">
        <v>188.63</v>
      </c>
      <c r="D300" s="4">
        <v>34.840000000000003</v>
      </c>
      <c r="E300" s="3" t="s">
        <v>10</v>
      </c>
      <c r="F300" s="3">
        <v>129</v>
      </c>
      <c r="G300" s="3" t="s">
        <v>289</v>
      </c>
      <c r="H300" s="4">
        <v>8.35</v>
      </c>
      <c r="I300" s="3">
        <v>1</v>
      </c>
      <c r="J300" s="3" t="s">
        <v>3</v>
      </c>
      <c r="K300" s="3" t="s">
        <v>4</v>
      </c>
      <c r="L300" s="3">
        <v>113</v>
      </c>
      <c r="M300" s="3">
        <v>78</v>
      </c>
      <c r="N300" s="3" t="s">
        <v>12</v>
      </c>
      <c r="O300" s="3" t="str">
        <f>_xlfn.IFS('Data set'!$H300&lt;5.7,"Normal",'Data set'!$H300&lt;=6.4,"Prediabetes",'Data set'!$H300&lt;=7.5,"Diabetes",'Data set'!$H300&gt;=7.5,"Uncontrolled")</f>
        <v>Uncontrolled</v>
      </c>
      <c r="P300" s="3" t="str">
        <f>_xlfn.IFS('Data set'!$F300&lt;120,"Low",'Data set'!$F300&lt;=200,"Normal",'Data set'!$F300&lt;=240,"Boarderline",'Data set'!$F300&gt;=241,"High")</f>
        <v>Normal</v>
      </c>
      <c r="Q300" s="3" t="str">
        <f>_xlfn.IFS('Data set'!$D300&lt;=18.5,"Low",'Data set'!$D300&lt;=24.9,"Normal",'Data set'!$D300&lt;=29.9,"High",'Data set'!$D300&gt;29.9,"Very High")</f>
        <v>Very High</v>
      </c>
    </row>
    <row r="301" spans="1:17" x14ac:dyDescent="0.25">
      <c r="A301" s="5">
        <v>59</v>
      </c>
      <c r="B301" s="5" t="s">
        <v>0</v>
      </c>
      <c r="C301" s="6">
        <v>158.44999999999999</v>
      </c>
      <c r="D301" s="6">
        <v>18.61</v>
      </c>
      <c r="E301" s="5" t="s">
        <v>1</v>
      </c>
      <c r="F301" s="5">
        <v>100</v>
      </c>
      <c r="G301" s="5" t="s">
        <v>280</v>
      </c>
      <c r="H301" s="6">
        <v>5.34</v>
      </c>
      <c r="I301" s="5">
        <v>4</v>
      </c>
      <c r="J301" s="5" t="s">
        <v>3</v>
      </c>
      <c r="K301" s="5" t="s">
        <v>3</v>
      </c>
      <c r="L301" s="5">
        <v>103</v>
      </c>
      <c r="M301" s="5">
        <v>71</v>
      </c>
      <c r="N301" s="5" t="s">
        <v>8</v>
      </c>
      <c r="O301" s="5" t="str">
        <f>_xlfn.IFS('Data set'!$H301&lt;5.7,"Normal",'Data set'!$H301&lt;=6.4,"Prediabetes",'Data set'!$H301&lt;=7.5,"Diabetes",'Data set'!$H301&gt;=7.5,"Uncontrolled")</f>
        <v>Normal</v>
      </c>
      <c r="P301" s="5" t="str">
        <f>_xlfn.IFS('Data set'!$F301&lt;120,"Low",'Data set'!$F301&lt;=200,"Normal",'Data set'!$F301&lt;=240,"Boarderline",'Data set'!$F301&gt;=241,"High")</f>
        <v>Low</v>
      </c>
      <c r="Q301" s="5" t="str">
        <f>_xlfn.IFS('Data set'!$D301&lt;=18.5,"Low",'Data set'!$D301&lt;=24.9,"Normal",'Data set'!$D301&lt;=29.9,"High",'Data set'!$D301&gt;29.9,"Very High")</f>
        <v>Normal</v>
      </c>
    </row>
    <row r="302" spans="1:17" x14ac:dyDescent="0.25">
      <c r="A302" s="3">
        <v>22</v>
      </c>
      <c r="B302" s="3" t="s">
        <v>9</v>
      </c>
      <c r="C302" s="4">
        <v>128.49</v>
      </c>
      <c r="D302" s="4">
        <v>37.65</v>
      </c>
      <c r="E302" s="3" t="s">
        <v>6</v>
      </c>
      <c r="F302" s="3">
        <v>206</v>
      </c>
      <c r="G302" s="3" t="s">
        <v>290</v>
      </c>
      <c r="H302" s="4">
        <v>7.49</v>
      </c>
      <c r="I302" s="3">
        <v>5</v>
      </c>
      <c r="J302" s="3" t="s">
        <v>4</v>
      </c>
      <c r="K302" s="3" t="s">
        <v>3</v>
      </c>
      <c r="L302" s="3">
        <v>97</v>
      </c>
      <c r="M302" s="3">
        <v>71</v>
      </c>
      <c r="N302" s="3" t="s">
        <v>17</v>
      </c>
      <c r="O302" s="3" t="str">
        <f>_xlfn.IFS('Data set'!$H302&lt;5.7,"Normal",'Data set'!$H302&lt;=6.4,"Prediabetes",'Data set'!$H302&lt;=7.5,"Diabetes",'Data set'!$H302&gt;=7.5,"Uncontrolled")</f>
        <v>Diabetes</v>
      </c>
      <c r="P302" s="3" t="str">
        <f>_xlfn.IFS('Data set'!$F302&lt;120,"Low",'Data set'!$F302&lt;=200,"Normal",'Data set'!$F302&lt;=240,"Boarderline",'Data set'!$F302&gt;=241,"High")</f>
        <v>Boarderline</v>
      </c>
      <c r="Q302" s="3" t="str">
        <f>_xlfn.IFS('Data set'!$D302&lt;=18.5,"Low",'Data set'!$D302&lt;=24.9,"Normal",'Data set'!$D302&lt;=29.9,"High",'Data set'!$D302&gt;29.9,"Very High")</f>
        <v>Very High</v>
      </c>
    </row>
    <row r="303" spans="1:17" x14ac:dyDescent="0.25">
      <c r="A303" s="5">
        <v>61</v>
      </c>
      <c r="B303" s="5" t="s">
        <v>0</v>
      </c>
      <c r="C303" s="6">
        <v>171</v>
      </c>
      <c r="D303" s="6">
        <v>36.93</v>
      </c>
      <c r="E303" s="5" t="s">
        <v>10</v>
      </c>
      <c r="F303" s="5">
        <v>207</v>
      </c>
      <c r="G303" s="5" t="s">
        <v>18</v>
      </c>
      <c r="H303" s="6">
        <v>4.9800000000000004</v>
      </c>
      <c r="I303" s="5">
        <v>6</v>
      </c>
      <c r="J303" s="5" t="s">
        <v>4</v>
      </c>
      <c r="K303" s="5" t="s">
        <v>3</v>
      </c>
      <c r="L303" s="5">
        <v>119</v>
      </c>
      <c r="M303" s="5">
        <v>70</v>
      </c>
      <c r="N303" s="5" t="s">
        <v>21</v>
      </c>
      <c r="O303" s="5" t="str">
        <f>_xlfn.IFS('Data set'!$H303&lt;5.7,"Normal",'Data set'!$H303&lt;=6.4,"Prediabetes",'Data set'!$H303&lt;=7.5,"Diabetes",'Data set'!$H303&gt;=7.5,"Uncontrolled")</f>
        <v>Normal</v>
      </c>
      <c r="P303" s="5" t="str">
        <f>_xlfn.IFS('Data set'!$F303&lt;120,"Low",'Data set'!$F303&lt;=200,"Normal",'Data set'!$F303&lt;=240,"Boarderline",'Data set'!$F303&gt;=241,"High")</f>
        <v>Boarderline</v>
      </c>
      <c r="Q303" s="5" t="str">
        <f>_xlfn.IFS('Data set'!$D303&lt;=18.5,"Low",'Data set'!$D303&lt;=24.9,"Normal",'Data set'!$D303&lt;=29.9,"High",'Data set'!$D303&gt;29.9,"Very High")</f>
        <v>Very High</v>
      </c>
    </row>
    <row r="304" spans="1:17" x14ac:dyDescent="0.25">
      <c r="A304" s="3">
        <v>54</v>
      </c>
      <c r="B304" s="3" t="s">
        <v>9</v>
      </c>
      <c r="C304" s="4">
        <v>239.66</v>
      </c>
      <c r="D304" s="4">
        <v>23.49</v>
      </c>
      <c r="E304" s="3" t="s">
        <v>14</v>
      </c>
      <c r="F304" s="3">
        <v>233</v>
      </c>
      <c r="G304" s="3" t="s">
        <v>291</v>
      </c>
      <c r="H304" s="4">
        <v>9.43</v>
      </c>
      <c r="I304" s="3">
        <v>1</v>
      </c>
      <c r="J304" s="3" t="s">
        <v>3</v>
      </c>
      <c r="K304" s="3" t="s">
        <v>4</v>
      </c>
      <c r="L304" s="3">
        <v>118</v>
      </c>
      <c r="M304" s="3">
        <v>80</v>
      </c>
      <c r="N304" s="3" t="s">
        <v>8</v>
      </c>
      <c r="O304" s="3" t="str">
        <f>_xlfn.IFS('Data set'!$H304&lt;5.7,"Normal",'Data set'!$H304&lt;=6.4,"Prediabetes",'Data set'!$H304&lt;=7.5,"Diabetes",'Data set'!$H304&gt;=7.5,"Uncontrolled")</f>
        <v>Uncontrolled</v>
      </c>
      <c r="P304" s="3" t="str">
        <f>_xlfn.IFS('Data set'!$F304&lt;120,"Low",'Data set'!$F304&lt;=200,"Normal",'Data set'!$F304&lt;=240,"Boarderline",'Data set'!$F304&gt;=241,"High")</f>
        <v>Boarderline</v>
      </c>
      <c r="Q304" s="3" t="str">
        <f>_xlfn.IFS('Data set'!$D304&lt;=18.5,"Low",'Data set'!$D304&lt;=24.9,"Normal",'Data set'!$D304&lt;=29.9,"High",'Data set'!$D304&gt;29.9,"Very High")</f>
        <v>Normal</v>
      </c>
    </row>
    <row r="305" spans="1:17" x14ac:dyDescent="0.25">
      <c r="A305" s="5">
        <v>40</v>
      </c>
      <c r="B305" s="5" t="s">
        <v>0</v>
      </c>
      <c r="C305" s="6">
        <v>94.57</v>
      </c>
      <c r="D305" s="6">
        <v>25.98</v>
      </c>
      <c r="E305" s="5" t="s">
        <v>14</v>
      </c>
      <c r="F305" s="5">
        <v>283</v>
      </c>
      <c r="G305" s="5" t="s">
        <v>292</v>
      </c>
      <c r="H305" s="6">
        <v>4.0999999999999996</v>
      </c>
      <c r="I305" s="5">
        <v>4</v>
      </c>
      <c r="J305" s="5" t="s">
        <v>4</v>
      </c>
      <c r="K305" s="5" t="s">
        <v>3</v>
      </c>
      <c r="L305" s="5">
        <v>130</v>
      </c>
      <c r="M305" s="5">
        <v>78</v>
      </c>
      <c r="N305" s="5" t="s">
        <v>12</v>
      </c>
      <c r="O305" s="5" t="str">
        <f>_xlfn.IFS('Data set'!$H305&lt;5.7,"Normal",'Data set'!$H305&lt;=6.4,"Prediabetes",'Data set'!$H305&lt;=7.5,"Diabetes",'Data set'!$H305&gt;=7.5,"Uncontrolled")</f>
        <v>Normal</v>
      </c>
      <c r="P305" s="5" t="str">
        <f>_xlfn.IFS('Data set'!$F305&lt;120,"Low",'Data set'!$F305&lt;=200,"Normal",'Data set'!$F305&lt;=240,"Boarderline",'Data set'!$F305&gt;=241,"High")</f>
        <v>High</v>
      </c>
      <c r="Q305" s="5" t="str">
        <f>_xlfn.IFS('Data set'!$D305&lt;=18.5,"Low",'Data set'!$D305&lt;=24.9,"Normal",'Data set'!$D305&lt;=29.9,"High",'Data set'!$D305&gt;29.9,"Very High")</f>
        <v>High</v>
      </c>
    </row>
    <row r="306" spans="1:17" x14ac:dyDescent="0.25">
      <c r="A306" s="3">
        <v>32</v>
      </c>
      <c r="B306" s="3" t="s">
        <v>9</v>
      </c>
      <c r="C306" s="4">
        <v>187.02</v>
      </c>
      <c r="D306" s="4">
        <v>21.58</v>
      </c>
      <c r="E306" s="3" t="s">
        <v>10</v>
      </c>
      <c r="F306" s="3">
        <v>200</v>
      </c>
      <c r="G306" s="3" t="s">
        <v>293</v>
      </c>
      <c r="H306" s="4">
        <v>4.47</v>
      </c>
      <c r="I306" s="3">
        <v>5</v>
      </c>
      <c r="J306" s="3" t="s">
        <v>4</v>
      </c>
      <c r="K306" s="3" t="s">
        <v>3</v>
      </c>
      <c r="L306" s="3">
        <v>135</v>
      </c>
      <c r="M306" s="3">
        <v>82</v>
      </c>
      <c r="N306" s="3" t="s">
        <v>12</v>
      </c>
      <c r="O306" s="3" t="str">
        <f>_xlfn.IFS('Data set'!$H306&lt;5.7,"Normal",'Data set'!$H306&lt;=6.4,"Prediabetes",'Data set'!$H306&lt;=7.5,"Diabetes",'Data set'!$H306&gt;=7.5,"Uncontrolled")</f>
        <v>Normal</v>
      </c>
      <c r="P306" s="3" t="str">
        <f>_xlfn.IFS('Data set'!$F306&lt;120,"Low",'Data set'!$F306&lt;=200,"Normal",'Data set'!$F306&lt;=240,"Boarderline",'Data set'!$F306&gt;=241,"High")</f>
        <v>Normal</v>
      </c>
      <c r="Q306" s="3" t="str">
        <f>_xlfn.IFS('Data set'!$D306&lt;=18.5,"Low",'Data set'!$D306&lt;=24.9,"Normal",'Data set'!$D306&lt;=29.9,"High",'Data set'!$D306&gt;29.9,"Very High")</f>
        <v>Normal</v>
      </c>
    </row>
    <row r="307" spans="1:17" x14ac:dyDescent="0.25">
      <c r="A307" s="5">
        <v>27</v>
      </c>
      <c r="B307" s="5" t="s">
        <v>9</v>
      </c>
      <c r="C307" s="6">
        <v>249.12</v>
      </c>
      <c r="D307" s="6">
        <v>24.59</v>
      </c>
      <c r="E307" s="5" t="s">
        <v>14</v>
      </c>
      <c r="F307" s="5">
        <v>112</v>
      </c>
      <c r="G307" s="5" t="s">
        <v>294</v>
      </c>
      <c r="H307" s="6">
        <v>5.98</v>
      </c>
      <c r="I307" s="5">
        <v>7</v>
      </c>
      <c r="J307" s="5" t="s">
        <v>4</v>
      </c>
      <c r="K307" s="5" t="s">
        <v>3</v>
      </c>
      <c r="L307" s="5">
        <v>94</v>
      </c>
      <c r="M307" s="5">
        <v>66</v>
      </c>
      <c r="N307" s="5" t="s">
        <v>17</v>
      </c>
      <c r="O307" s="5" t="str">
        <f>_xlfn.IFS('Data set'!$H307&lt;5.7,"Normal",'Data set'!$H307&lt;=6.4,"Prediabetes",'Data set'!$H307&lt;=7.5,"Diabetes",'Data set'!$H307&gt;=7.5,"Uncontrolled")</f>
        <v>Prediabetes</v>
      </c>
      <c r="P307" s="5" t="str">
        <f>_xlfn.IFS('Data set'!$F307&lt;120,"Low",'Data set'!$F307&lt;=200,"Normal",'Data set'!$F307&lt;=240,"Boarderline",'Data set'!$F307&gt;=241,"High")</f>
        <v>Low</v>
      </c>
      <c r="Q307" s="5" t="str">
        <f>_xlfn.IFS('Data set'!$D307&lt;=18.5,"Low",'Data set'!$D307&lt;=24.9,"Normal",'Data set'!$D307&lt;=29.9,"High",'Data set'!$D307&gt;29.9,"Very High")</f>
        <v>Normal</v>
      </c>
    </row>
    <row r="308" spans="1:17" x14ac:dyDescent="0.25">
      <c r="A308" s="3">
        <v>26</v>
      </c>
      <c r="B308" s="3" t="s">
        <v>0</v>
      </c>
      <c r="C308" s="4">
        <v>202.23</v>
      </c>
      <c r="D308" s="4">
        <v>31.2</v>
      </c>
      <c r="E308" s="3" t="s">
        <v>10</v>
      </c>
      <c r="F308" s="3">
        <v>203</v>
      </c>
      <c r="G308" s="3" t="s">
        <v>295</v>
      </c>
      <c r="H308" s="4">
        <v>6.77</v>
      </c>
      <c r="I308" s="3">
        <v>4</v>
      </c>
      <c r="J308" s="3" t="s">
        <v>3</v>
      </c>
      <c r="K308" s="3" t="s">
        <v>3</v>
      </c>
      <c r="L308" s="3">
        <v>129</v>
      </c>
      <c r="M308" s="3">
        <v>63</v>
      </c>
      <c r="N308" s="3" t="s">
        <v>17</v>
      </c>
      <c r="O308" s="3" t="str">
        <f>_xlfn.IFS('Data set'!$H308&lt;5.7,"Normal",'Data set'!$H308&lt;=6.4,"Prediabetes",'Data set'!$H308&lt;=7.5,"Diabetes",'Data set'!$H308&gt;=7.5,"Uncontrolled")</f>
        <v>Diabetes</v>
      </c>
      <c r="P308" s="3" t="str">
        <f>_xlfn.IFS('Data set'!$F308&lt;120,"Low",'Data set'!$F308&lt;=200,"Normal",'Data set'!$F308&lt;=240,"Boarderline",'Data set'!$F308&gt;=241,"High")</f>
        <v>Boarderline</v>
      </c>
      <c r="Q308" s="3" t="str">
        <f>_xlfn.IFS('Data set'!$D308&lt;=18.5,"Low",'Data set'!$D308&lt;=24.9,"Normal",'Data set'!$D308&lt;=29.9,"High",'Data set'!$D308&gt;29.9,"Very High")</f>
        <v>Very High</v>
      </c>
    </row>
    <row r="309" spans="1:17" x14ac:dyDescent="0.25">
      <c r="A309" s="5">
        <v>38</v>
      </c>
      <c r="B309" s="5" t="s">
        <v>9</v>
      </c>
      <c r="C309" s="6">
        <v>147.76</v>
      </c>
      <c r="D309" s="6">
        <v>25.45</v>
      </c>
      <c r="E309" s="5" t="s">
        <v>10</v>
      </c>
      <c r="F309" s="5">
        <v>217</v>
      </c>
      <c r="G309" s="5" t="s">
        <v>239</v>
      </c>
      <c r="H309" s="6">
        <v>9.14</v>
      </c>
      <c r="I309" s="5">
        <v>5</v>
      </c>
      <c r="J309" s="5" t="s">
        <v>3</v>
      </c>
      <c r="K309" s="5" t="s">
        <v>4</v>
      </c>
      <c r="L309" s="5">
        <v>133</v>
      </c>
      <c r="M309" s="5">
        <v>70</v>
      </c>
      <c r="N309" s="5" t="s">
        <v>12</v>
      </c>
      <c r="O309" s="5" t="str">
        <f>_xlfn.IFS('Data set'!$H309&lt;5.7,"Normal",'Data set'!$H309&lt;=6.4,"Prediabetes",'Data set'!$H309&lt;=7.5,"Diabetes",'Data set'!$H309&gt;=7.5,"Uncontrolled")</f>
        <v>Uncontrolled</v>
      </c>
      <c r="P309" s="5" t="str">
        <f>_xlfn.IFS('Data set'!$F309&lt;120,"Low",'Data set'!$F309&lt;=200,"Normal",'Data set'!$F309&lt;=240,"Boarderline",'Data set'!$F309&gt;=241,"High")</f>
        <v>Boarderline</v>
      </c>
      <c r="Q309" s="5" t="str">
        <f>_xlfn.IFS('Data set'!$D309&lt;=18.5,"Low",'Data set'!$D309&lt;=24.9,"Normal",'Data set'!$D309&lt;=29.9,"High",'Data set'!$D309&gt;29.9,"Very High")</f>
        <v>High</v>
      </c>
    </row>
    <row r="310" spans="1:17" x14ac:dyDescent="0.25">
      <c r="A310" s="3">
        <v>18</v>
      </c>
      <c r="B310" s="3" t="s">
        <v>9</v>
      </c>
      <c r="C310" s="4">
        <v>108.2</v>
      </c>
      <c r="D310" s="4">
        <v>29.37</v>
      </c>
      <c r="E310" s="3" t="s">
        <v>10</v>
      </c>
      <c r="F310" s="3">
        <v>158</v>
      </c>
      <c r="G310" s="3" t="s">
        <v>135</v>
      </c>
      <c r="H310" s="4">
        <v>4.05</v>
      </c>
      <c r="I310" s="3">
        <v>6</v>
      </c>
      <c r="J310" s="3" t="s">
        <v>3</v>
      </c>
      <c r="K310" s="3" t="s">
        <v>4</v>
      </c>
      <c r="L310" s="3">
        <v>139</v>
      </c>
      <c r="M310" s="3">
        <v>84</v>
      </c>
      <c r="N310" s="3" t="s">
        <v>17</v>
      </c>
      <c r="O310" s="3" t="str">
        <f>_xlfn.IFS('Data set'!$H310&lt;5.7,"Normal",'Data set'!$H310&lt;=6.4,"Prediabetes",'Data set'!$H310&lt;=7.5,"Diabetes",'Data set'!$H310&gt;=7.5,"Uncontrolled")</f>
        <v>Normal</v>
      </c>
      <c r="P310" s="3" t="str">
        <f>_xlfn.IFS('Data set'!$F310&lt;120,"Low",'Data set'!$F310&lt;=200,"Normal",'Data set'!$F310&lt;=240,"Boarderline",'Data set'!$F310&gt;=241,"High")</f>
        <v>Normal</v>
      </c>
      <c r="Q310" s="3" t="str">
        <f>_xlfn.IFS('Data set'!$D310&lt;=18.5,"Low",'Data set'!$D310&lt;=24.9,"Normal",'Data set'!$D310&lt;=29.9,"High",'Data set'!$D310&gt;29.9,"Very High")</f>
        <v>High</v>
      </c>
    </row>
    <row r="311" spans="1:17" x14ac:dyDescent="0.25">
      <c r="A311" s="5">
        <v>20</v>
      </c>
      <c r="B311" s="5" t="s">
        <v>0</v>
      </c>
      <c r="C311" s="6">
        <v>224.18</v>
      </c>
      <c r="D311" s="6">
        <v>32.369999999999997</v>
      </c>
      <c r="E311" s="5" t="s">
        <v>14</v>
      </c>
      <c r="F311" s="5">
        <v>232</v>
      </c>
      <c r="G311" s="5" t="s">
        <v>296</v>
      </c>
      <c r="H311" s="6">
        <v>6.7</v>
      </c>
      <c r="I311" s="5">
        <v>1</v>
      </c>
      <c r="J311" s="5" t="s">
        <v>4</v>
      </c>
      <c r="K311" s="5" t="s">
        <v>4</v>
      </c>
      <c r="L311" s="5">
        <v>98</v>
      </c>
      <c r="M311" s="5">
        <v>62</v>
      </c>
      <c r="N311" s="5" t="s">
        <v>17</v>
      </c>
      <c r="O311" s="5" t="str">
        <f>_xlfn.IFS('Data set'!$H311&lt;5.7,"Normal",'Data set'!$H311&lt;=6.4,"Prediabetes",'Data set'!$H311&lt;=7.5,"Diabetes",'Data set'!$H311&gt;=7.5,"Uncontrolled")</f>
        <v>Diabetes</v>
      </c>
      <c r="P311" s="5" t="str">
        <f>_xlfn.IFS('Data set'!$F311&lt;120,"Low",'Data set'!$F311&lt;=200,"Normal",'Data set'!$F311&lt;=240,"Boarderline",'Data set'!$F311&gt;=241,"High")</f>
        <v>Boarderline</v>
      </c>
      <c r="Q311" s="5" t="str">
        <f>_xlfn.IFS('Data set'!$D311&lt;=18.5,"Low",'Data set'!$D311&lt;=24.9,"Normal",'Data set'!$D311&lt;=29.9,"High",'Data set'!$D311&gt;29.9,"Very High")</f>
        <v>Very High</v>
      </c>
    </row>
    <row r="312" spans="1:17" x14ac:dyDescent="0.25">
      <c r="A312" s="3">
        <v>27</v>
      </c>
      <c r="B312" s="3" t="s">
        <v>0</v>
      </c>
      <c r="C312" s="4">
        <v>237.1</v>
      </c>
      <c r="D312" s="4">
        <v>35.619999999999997</v>
      </c>
      <c r="E312" s="3" t="s">
        <v>10</v>
      </c>
      <c r="F312" s="3">
        <v>112</v>
      </c>
      <c r="G312" s="3" t="s">
        <v>297</v>
      </c>
      <c r="H312" s="4">
        <v>4.5199999999999996</v>
      </c>
      <c r="I312" s="3">
        <v>6</v>
      </c>
      <c r="J312" s="3" t="s">
        <v>4</v>
      </c>
      <c r="K312" s="3" t="s">
        <v>4</v>
      </c>
      <c r="L312" s="3">
        <v>140</v>
      </c>
      <c r="M312" s="3">
        <v>85</v>
      </c>
      <c r="N312" s="3" t="s">
        <v>17</v>
      </c>
      <c r="O312" s="3" t="str">
        <f>_xlfn.IFS('Data set'!$H312&lt;5.7,"Normal",'Data set'!$H312&lt;=6.4,"Prediabetes",'Data set'!$H312&lt;=7.5,"Diabetes",'Data set'!$H312&gt;=7.5,"Uncontrolled")</f>
        <v>Normal</v>
      </c>
      <c r="P312" s="3" t="str">
        <f>_xlfn.IFS('Data set'!$F312&lt;120,"Low",'Data set'!$F312&lt;=200,"Normal",'Data set'!$F312&lt;=240,"Boarderline",'Data set'!$F312&gt;=241,"High")</f>
        <v>Low</v>
      </c>
      <c r="Q312" s="3" t="str">
        <f>_xlfn.IFS('Data set'!$D312&lt;=18.5,"Low",'Data set'!$D312&lt;=24.9,"Normal",'Data set'!$D312&lt;=29.9,"High",'Data set'!$D312&gt;29.9,"Very High")</f>
        <v>Very High</v>
      </c>
    </row>
    <row r="313" spans="1:17" x14ac:dyDescent="0.25">
      <c r="A313" s="5">
        <v>42</v>
      </c>
      <c r="B313" s="5" t="s">
        <v>0</v>
      </c>
      <c r="C313" s="6">
        <v>240.63</v>
      </c>
      <c r="D313" s="6">
        <v>20.11</v>
      </c>
      <c r="E313" s="5" t="s">
        <v>10</v>
      </c>
      <c r="F313" s="5">
        <v>176</v>
      </c>
      <c r="G313" s="5" t="s">
        <v>298</v>
      </c>
      <c r="H313" s="6">
        <v>8.07</v>
      </c>
      <c r="I313" s="5">
        <v>5</v>
      </c>
      <c r="J313" s="5" t="s">
        <v>4</v>
      </c>
      <c r="K313" s="5" t="s">
        <v>4</v>
      </c>
      <c r="L313" s="5">
        <v>123</v>
      </c>
      <c r="M313" s="5">
        <v>88</v>
      </c>
      <c r="N313" s="5" t="s">
        <v>23</v>
      </c>
      <c r="O313" s="5" t="str">
        <f>_xlfn.IFS('Data set'!$H313&lt;5.7,"Normal",'Data set'!$H313&lt;=6.4,"Prediabetes",'Data set'!$H313&lt;=7.5,"Diabetes",'Data set'!$H313&gt;=7.5,"Uncontrolled")</f>
        <v>Uncontrolled</v>
      </c>
      <c r="P313" s="5" t="str">
        <f>_xlfn.IFS('Data set'!$F313&lt;120,"Low",'Data set'!$F313&lt;=200,"Normal",'Data set'!$F313&lt;=240,"Boarderline",'Data set'!$F313&gt;=241,"High")</f>
        <v>Normal</v>
      </c>
      <c r="Q313" s="5" t="str">
        <f>_xlfn.IFS('Data set'!$D313&lt;=18.5,"Low",'Data set'!$D313&lt;=24.9,"Normal",'Data set'!$D313&lt;=29.9,"High",'Data set'!$D313&gt;29.9,"Very High")</f>
        <v>Normal</v>
      </c>
    </row>
    <row r="314" spans="1:17" x14ac:dyDescent="0.25">
      <c r="A314" s="3">
        <v>36</v>
      </c>
      <c r="B314" s="3" t="s">
        <v>9</v>
      </c>
      <c r="C314" s="4">
        <v>227.72</v>
      </c>
      <c r="D314" s="4">
        <v>25.87</v>
      </c>
      <c r="E314" s="3" t="s">
        <v>1</v>
      </c>
      <c r="F314" s="3">
        <v>195</v>
      </c>
      <c r="G314" s="3" t="s">
        <v>299</v>
      </c>
      <c r="H314" s="4">
        <v>6.74</v>
      </c>
      <c r="I314" s="3">
        <v>4</v>
      </c>
      <c r="J314" s="3" t="s">
        <v>3</v>
      </c>
      <c r="K314" s="3" t="s">
        <v>3</v>
      </c>
      <c r="L314" s="3">
        <v>139</v>
      </c>
      <c r="M314" s="3">
        <v>74</v>
      </c>
      <c r="N314" s="3" t="s">
        <v>12</v>
      </c>
      <c r="O314" s="3" t="str">
        <f>_xlfn.IFS('Data set'!$H314&lt;5.7,"Normal",'Data set'!$H314&lt;=6.4,"Prediabetes",'Data set'!$H314&lt;=7.5,"Diabetes",'Data set'!$H314&gt;=7.5,"Uncontrolled")</f>
        <v>Diabetes</v>
      </c>
      <c r="P314" s="3" t="str">
        <f>_xlfn.IFS('Data set'!$F314&lt;120,"Low",'Data set'!$F314&lt;=200,"Normal",'Data set'!$F314&lt;=240,"Boarderline",'Data set'!$F314&gt;=241,"High")</f>
        <v>Normal</v>
      </c>
      <c r="Q314" s="3" t="str">
        <f>_xlfn.IFS('Data set'!$D314&lt;=18.5,"Low",'Data set'!$D314&lt;=24.9,"Normal",'Data set'!$D314&lt;=29.9,"High",'Data set'!$D314&gt;29.9,"Very High")</f>
        <v>High</v>
      </c>
    </row>
    <row r="315" spans="1:17" x14ac:dyDescent="0.25">
      <c r="A315" s="5">
        <v>80</v>
      </c>
      <c r="B315" s="5" t="s">
        <v>9</v>
      </c>
      <c r="C315" s="6">
        <v>178.01</v>
      </c>
      <c r="D315" s="6">
        <v>25.84</v>
      </c>
      <c r="E315" s="5" t="s">
        <v>1</v>
      </c>
      <c r="F315" s="5">
        <v>214</v>
      </c>
      <c r="G315" s="5" t="s">
        <v>300</v>
      </c>
      <c r="H315" s="6">
        <v>9.25</v>
      </c>
      <c r="I315" s="5">
        <v>6</v>
      </c>
      <c r="J315" s="5" t="s">
        <v>4</v>
      </c>
      <c r="K315" s="5" t="s">
        <v>3</v>
      </c>
      <c r="L315" s="5">
        <v>95</v>
      </c>
      <c r="M315" s="5">
        <v>60</v>
      </c>
      <c r="N315" s="5" t="s">
        <v>5</v>
      </c>
      <c r="O315" s="5" t="str">
        <f>_xlfn.IFS('Data set'!$H315&lt;5.7,"Normal",'Data set'!$H315&lt;=6.4,"Prediabetes",'Data set'!$H315&lt;=7.5,"Diabetes",'Data set'!$H315&gt;=7.5,"Uncontrolled")</f>
        <v>Uncontrolled</v>
      </c>
      <c r="P315" s="5" t="str">
        <f>_xlfn.IFS('Data set'!$F315&lt;120,"Low",'Data set'!$F315&lt;=200,"Normal",'Data set'!$F315&lt;=240,"Boarderline",'Data set'!$F315&gt;=241,"High")</f>
        <v>Boarderline</v>
      </c>
      <c r="Q315" s="5" t="str">
        <f>_xlfn.IFS('Data set'!$D315&lt;=18.5,"Low",'Data set'!$D315&lt;=24.9,"Normal",'Data set'!$D315&lt;=29.9,"High",'Data set'!$D315&gt;29.9,"Very High")</f>
        <v>High</v>
      </c>
    </row>
    <row r="316" spans="1:17" x14ac:dyDescent="0.25">
      <c r="A316" s="3">
        <v>34</v>
      </c>
      <c r="B316" s="3" t="s">
        <v>0</v>
      </c>
      <c r="C316" s="4">
        <v>286.35000000000002</v>
      </c>
      <c r="D316" s="4">
        <v>23.72</v>
      </c>
      <c r="E316" s="3" t="s">
        <v>1</v>
      </c>
      <c r="F316" s="3">
        <v>280</v>
      </c>
      <c r="G316" s="3" t="s">
        <v>301</v>
      </c>
      <c r="H316" s="4">
        <v>9.84</v>
      </c>
      <c r="I316" s="3">
        <v>6</v>
      </c>
      <c r="J316" s="3" t="s">
        <v>3</v>
      </c>
      <c r="K316" s="3" t="s">
        <v>4</v>
      </c>
      <c r="L316" s="3">
        <v>104</v>
      </c>
      <c r="M316" s="3">
        <v>72</v>
      </c>
      <c r="N316" s="3" t="s">
        <v>12</v>
      </c>
      <c r="O316" s="3" t="str">
        <f>_xlfn.IFS('Data set'!$H316&lt;5.7,"Normal",'Data set'!$H316&lt;=6.4,"Prediabetes",'Data set'!$H316&lt;=7.5,"Diabetes",'Data set'!$H316&gt;=7.5,"Uncontrolled")</f>
        <v>Uncontrolled</v>
      </c>
      <c r="P316" s="3" t="str">
        <f>_xlfn.IFS('Data set'!$F316&lt;120,"Low",'Data set'!$F316&lt;=200,"Normal",'Data set'!$F316&lt;=240,"Boarderline",'Data set'!$F316&gt;=241,"High")</f>
        <v>High</v>
      </c>
      <c r="Q316" s="3" t="str">
        <f>_xlfn.IFS('Data set'!$D316&lt;=18.5,"Low",'Data set'!$D316&lt;=24.9,"Normal",'Data set'!$D316&lt;=29.9,"High",'Data set'!$D316&gt;29.9,"Very High")</f>
        <v>Normal</v>
      </c>
    </row>
    <row r="317" spans="1:17" x14ac:dyDescent="0.25">
      <c r="A317" s="5">
        <v>61</v>
      </c>
      <c r="B317" s="5" t="s">
        <v>9</v>
      </c>
      <c r="C317" s="6">
        <v>296.69</v>
      </c>
      <c r="D317" s="6">
        <v>19.54</v>
      </c>
      <c r="E317" s="5" t="s">
        <v>1</v>
      </c>
      <c r="F317" s="5">
        <v>194</v>
      </c>
      <c r="G317" s="5" t="s">
        <v>302</v>
      </c>
      <c r="H317" s="6">
        <v>8.68</v>
      </c>
      <c r="I317" s="5">
        <v>2</v>
      </c>
      <c r="J317" s="5" t="s">
        <v>3</v>
      </c>
      <c r="K317" s="5" t="s">
        <v>3</v>
      </c>
      <c r="L317" s="5">
        <v>104</v>
      </c>
      <c r="M317" s="5">
        <v>73</v>
      </c>
      <c r="N317" s="5" t="s">
        <v>21</v>
      </c>
      <c r="O317" s="5" t="str">
        <f>_xlfn.IFS('Data set'!$H317&lt;5.7,"Normal",'Data set'!$H317&lt;=6.4,"Prediabetes",'Data set'!$H317&lt;=7.5,"Diabetes",'Data set'!$H317&gt;=7.5,"Uncontrolled")</f>
        <v>Uncontrolled</v>
      </c>
      <c r="P317" s="5" t="str">
        <f>_xlfn.IFS('Data set'!$F317&lt;120,"Low",'Data set'!$F317&lt;=200,"Normal",'Data set'!$F317&lt;=240,"Boarderline",'Data set'!$F317&gt;=241,"High")</f>
        <v>Normal</v>
      </c>
      <c r="Q317" s="5" t="str">
        <f>_xlfn.IFS('Data set'!$D317&lt;=18.5,"Low",'Data set'!$D317&lt;=24.9,"Normal",'Data set'!$D317&lt;=29.9,"High",'Data set'!$D317&gt;29.9,"Very High")</f>
        <v>Normal</v>
      </c>
    </row>
    <row r="318" spans="1:17" x14ac:dyDescent="0.25">
      <c r="A318" s="3">
        <v>21</v>
      </c>
      <c r="B318" s="3" t="s">
        <v>9</v>
      </c>
      <c r="C318" s="4">
        <v>187.8</v>
      </c>
      <c r="D318" s="4">
        <v>35.92</v>
      </c>
      <c r="E318" s="3" t="s">
        <v>14</v>
      </c>
      <c r="F318" s="3">
        <v>149</v>
      </c>
      <c r="G318" s="3" t="s">
        <v>303</v>
      </c>
      <c r="H318" s="4">
        <v>7.27</v>
      </c>
      <c r="I318" s="3">
        <v>4</v>
      </c>
      <c r="J318" s="3" t="s">
        <v>3</v>
      </c>
      <c r="K318" s="3" t="s">
        <v>4</v>
      </c>
      <c r="L318" s="3">
        <v>116</v>
      </c>
      <c r="M318" s="3">
        <v>82</v>
      </c>
      <c r="N318" s="3" t="s">
        <v>17</v>
      </c>
      <c r="O318" s="3" t="str">
        <f>_xlfn.IFS('Data set'!$H318&lt;5.7,"Normal",'Data set'!$H318&lt;=6.4,"Prediabetes",'Data set'!$H318&lt;=7.5,"Diabetes",'Data set'!$H318&gt;=7.5,"Uncontrolled")</f>
        <v>Diabetes</v>
      </c>
      <c r="P318" s="3" t="str">
        <f>_xlfn.IFS('Data set'!$F318&lt;120,"Low",'Data set'!$F318&lt;=200,"Normal",'Data set'!$F318&lt;=240,"Boarderline",'Data set'!$F318&gt;=241,"High")</f>
        <v>Normal</v>
      </c>
      <c r="Q318" s="3" t="str">
        <f>_xlfn.IFS('Data set'!$D318&lt;=18.5,"Low",'Data set'!$D318&lt;=24.9,"Normal",'Data set'!$D318&lt;=29.9,"High",'Data set'!$D318&gt;29.9,"Very High")</f>
        <v>Very High</v>
      </c>
    </row>
    <row r="319" spans="1:17" x14ac:dyDescent="0.25">
      <c r="A319" s="5">
        <v>65</v>
      </c>
      <c r="B319" s="5" t="s">
        <v>0</v>
      </c>
      <c r="C319" s="6">
        <v>266.89999999999998</v>
      </c>
      <c r="D319" s="6">
        <v>25.04</v>
      </c>
      <c r="E319" s="5" t="s">
        <v>6</v>
      </c>
      <c r="F319" s="5">
        <v>188</v>
      </c>
      <c r="G319" s="5" t="s">
        <v>304</v>
      </c>
      <c r="H319" s="6">
        <v>8.3000000000000007</v>
      </c>
      <c r="I319" s="5">
        <v>0</v>
      </c>
      <c r="J319" s="5" t="s">
        <v>3</v>
      </c>
      <c r="K319" s="5" t="s">
        <v>3</v>
      </c>
      <c r="L319" s="5">
        <v>116</v>
      </c>
      <c r="M319" s="5">
        <v>72</v>
      </c>
      <c r="N319" s="5" t="s">
        <v>21</v>
      </c>
      <c r="O319" s="5" t="str">
        <f>_xlfn.IFS('Data set'!$H319&lt;5.7,"Normal",'Data set'!$H319&lt;=6.4,"Prediabetes",'Data set'!$H319&lt;=7.5,"Diabetes",'Data set'!$H319&gt;=7.5,"Uncontrolled")</f>
        <v>Uncontrolled</v>
      </c>
      <c r="P319" s="5" t="str">
        <f>_xlfn.IFS('Data set'!$F319&lt;120,"Low",'Data set'!$F319&lt;=200,"Normal",'Data set'!$F319&lt;=240,"Boarderline",'Data set'!$F319&gt;=241,"High")</f>
        <v>Normal</v>
      </c>
      <c r="Q319" s="5" t="str">
        <f>_xlfn.IFS('Data set'!$D319&lt;=18.5,"Low",'Data set'!$D319&lt;=24.9,"Normal",'Data set'!$D319&lt;=29.9,"High",'Data set'!$D319&gt;29.9,"Very High")</f>
        <v>High</v>
      </c>
    </row>
    <row r="320" spans="1:17" x14ac:dyDescent="0.25">
      <c r="A320" s="3">
        <v>51</v>
      </c>
      <c r="B320" s="3" t="s">
        <v>9</v>
      </c>
      <c r="C320" s="4">
        <v>130.41999999999999</v>
      </c>
      <c r="D320" s="4">
        <v>26.37</v>
      </c>
      <c r="E320" s="3" t="s">
        <v>14</v>
      </c>
      <c r="F320" s="3">
        <v>205</v>
      </c>
      <c r="G320" s="3" t="s">
        <v>305</v>
      </c>
      <c r="H320" s="4">
        <v>5.05</v>
      </c>
      <c r="I320" s="3">
        <v>7</v>
      </c>
      <c r="J320" s="3" t="s">
        <v>3</v>
      </c>
      <c r="K320" s="3" t="s">
        <v>3</v>
      </c>
      <c r="L320" s="3">
        <v>136</v>
      </c>
      <c r="M320" s="3">
        <v>63</v>
      </c>
      <c r="N320" s="3" t="s">
        <v>8</v>
      </c>
      <c r="O320" s="3" t="str">
        <f>_xlfn.IFS('Data set'!$H320&lt;5.7,"Normal",'Data set'!$H320&lt;=6.4,"Prediabetes",'Data set'!$H320&lt;=7.5,"Diabetes",'Data set'!$H320&gt;=7.5,"Uncontrolled")</f>
        <v>Normal</v>
      </c>
      <c r="P320" s="3" t="str">
        <f>_xlfn.IFS('Data set'!$F320&lt;120,"Low",'Data set'!$F320&lt;=200,"Normal",'Data set'!$F320&lt;=240,"Boarderline",'Data set'!$F320&gt;=241,"High")</f>
        <v>Boarderline</v>
      </c>
      <c r="Q320" s="3" t="str">
        <f>_xlfn.IFS('Data set'!$D320&lt;=18.5,"Low",'Data set'!$D320&lt;=24.9,"Normal",'Data set'!$D320&lt;=29.9,"High",'Data set'!$D320&gt;29.9,"Very High")</f>
        <v>High</v>
      </c>
    </row>
    <row r="321" spans="1:17" x14ac:dyDescent="0.25">
      <c r="A321" s="5">
        <v>19</v>
      </c>
      <c r="B321" s="5" t="s">
        <v>9</v>
      </c>
      <c r="C321" s="6">
        <v>213.75</v>
      </c>
      <c r="D321" s="6">
        <v>24.99</v>
      </c>
      <c r="E321" s="5" t="s">
        <v>1</v>
      </c>
      <c r="F321" s="5">
        <v>127</v>
      </c>
      <c r="G321" s="5" t="s">
        <v>306</v>
      </c>
      <c r="H321" s="6">
        <v>5.62</v>
      </c>
      <c r="I321" s="5">
        <v>7</v>
      </c>
      <c r="J321" s="5" t="s">
        <v>4</v>
      </c>
      <c r="K321" s="5" t="s">
        <v>3</v>
      </c>
      <c r="L321" s="5">
        <v>96</v>
      </c>
      <c r="M321" s="5">
        <v>66</v>
      </c>
      <c r="N321" s="5" t="s">
        <v>17</v>
      </c>
      <c r="O321" s="5" t="str">
        <f>_xlfn.IFS('Data set'!$H321&lt;5.7,"Normal",'Data set'!$H321&lt;=6.4,"Prediabetes",'Data set'!$H321&lt;=7.5,"Diabetes",'Data set'!$H321&gt;=7.5,"Uncontrolled")</f>
        <v>Normal</v>
      </c>
      <c r="P321" s="5" t="str">
        <f>_xlfn.IFS('Data set'!$F321&lt;120,"Low",'Data set'!$F321&lt;=200,"Normal",'Data set'!$F321&lt;=240,"Boarderline",'Data set'!$F321&gt;=241,"High")</f>
        <v>Normal</v>
      </c>
      <c r="Q321" s="5" t="str">
        <f>_xlfn.IFS('Data set'!$D321&lt;=18.5,"Low",'Data set'!$D321&lt;=24.9,"Normal",'Data set'!$D321&lt;=29.9,"High",'Data set'!$D321&gt;29.9,"Very High")</f>
        <v>High</v>
      </c>
    </row>
    <row r="322" spans="1:17" x14ac:dyDescent="0.25">
      <c r="A322" s="3">
        <v>53</v>
      </c>
      <c r="B322" s="3" t="s">
        <v>0</v>
      </c>
      <c r="C322" s="4">
        <v>134.81</v>
      </c>
      <c r="D322" s="4">
        <v>39.94</v>
      </c>
      <c r="E322" s="3" t="s">
        <v>14</v>
      </c>
      <c r="F322" s="3">
        <v>181</v>
      </c>
      <c r="G322" s="3" t="s">
        <v>145</v>
      </c>
      <c r="H322" s="4">
        <v>5.79</v>
      </c>
      <c r="I322" s="3">
        <v>0</v>
      </c>
      <c r="J322" s="3" t="s">
        <v>3</v>
      </c>
      <c r="K322" s="3" t="s">
        <v>3</v>
      </c>
      <c r="L322" s="3">
        <v>107</v>
      </c>
      <c r="M322" s="3">
        <v>72</v>
      </c>
      <c r="N322" s="3" t="s">
        <v>8</v>
      </c>
      <c r="O322" s="3" t="str">
        <f>_xlfn.IFS('Data set'!$H322&lt;5.7,"Normal",'Data set'!$H322&lt;=6.4,"Prediabetes",'Data set'!$H322&lt;=7.5,"Diabetes",'Data set'!$H322&gt;=7.5,"Uncontrolled")</f>
        <v>Prediabetes</v>
      </c>
      <c r="P322" s="3" t="str">
        <f>_xlfn.IFS('Data set'!$F322&lt;120,"Low",'Data set'!$F322&lt;=200,"Normal",'Data set'!$F322&lt;=240,"Boarderline",'Data set'!$F322&gt;=241,"High")</f>
        <v>Normal</v>
      </c>
      <c r="Q322" s="3" t="str">
        <f>_xlfn.IFS('Data set'!$D322&lt;=18.5,"Low",'Data set'!$D322&lt;=24.9,"Normal",'Data set'!$D322&lt;=29.9,"High",'Data set'!$D322&gt;29.9,"Very High")</f>
        <v>Very High</v>
      </c>
    </row>
    <row r="323" spans="1:17" x14ac:dyDescent="0.25">
      <c r="A323" s="5">
        <v>47</v>
      </c>
      <c r="B323" s="5" t="s">
        <v>9</v>
      </c>
      <c r="C323" s="6">
        <v>169.78</v>
      </c>
      <c r="D323" s="6">
        <v>35.520000000000003</v>
      </c>
      <c r="E323" s="5" t="s">
        <v>10</v>
      </c>
      <c r="F323" s="5">
        <v>263</v>
      </c>
      <c r="G323" s="5" t="s">
        <v>307</v>
      </c>
      <c r="H323" s="6">
        <v>7.15</v>
      </c>
      <c r="I323" s="5">
        <v>6</v>
      </c>
      <c r="J323" s="5" t="s">
        <v>4</v>
      </c>
      <c r="K323" s="5" t="s">
        <v>3</v>
      </c>
      <c r="L323" s="5">
        <v>97</v>
      </c>
      <c r="M323" s="5">
        <v>68</v>
      </c>
      <c r="N323" s="5" t="s">
        <v>23</v>
      </c>
      <c r="O323" s="5" t="str">
        <f>_xlfn.IFS('Data set'!$H323&lt;5.7,"Normal",'Data set'!$H323&lt;=6.4,"Prediabetes",'Data set'!$H323&lt;=7.5,"Diabetes",'Data set'!$H323&gt;=7.5,"Uncontrolled")</f>
        <v>Diabetes</v>
      </c>
      <c r="P323" s="5" t="str">
        <f>_xlfn.IFS('Data set'!$F323&lt;120,"Low",'Data set'!$F323&lt;=200,"Normal",'Data set'!$F323&lt;=240,"Boarderline",'Data set'!$F323&gt;=241,"High")</f>
        <v>High</v>
      </c>
      <c r="Q323" s="5" t="str">
        <f>_xlfn.IFS('Data set'!$D323&lt;=18.5,"Low",'Data set'!$D323&lt;=24.9,"Normal",'Data set'!$D323&lt;=29.9,"High",'Data set'!$D323&gt;29.9,"Very High")</f>
        <v>Very High</v>
      </c>
    </row>
    <row r="324" spans="1:17" x14ac:dyDescent="0.25">
      <c r="A324" s="3">
        <v>59</v>
      </c>
      <c r="B324" s="3" t="s">
        <v>0</v>
      </c>
      <c r="C324" s="4">
        <v>290.08</v>
      </c>
      <c r="D324" s="4">
        <v>36.520000000000003</v>
      </c>
      <c r="E324" s="3" t="s">
        <v>6</v>
      </c>
      <c r="F324" s="3">
        <v>267</v>
      </c>
      <c r="G324" s="3" t="s">
        <v>49</v>
      </c>
      <c r="H324" s="4">
        <v>7.03</v>
      </c>
      <c r="I324" s="3">
        <v>1</v>
      </c>
      <c r="J324" s="3" t="s">
        <v>3</v>
      </c>
      <c r="K324" s="3" t="s">
        <v>3</v>
      </c>
      <c r="L324" s="3">
        <v>113</v>
      </c>
      <c r="M324" s="3">
        <v>85</v>
      </c>
      <c r="N324" s="3" t="s">
        <v>8</v>
      </c>
      <c r="O324" s="3" t="str">
        <f>_xlfn.IFS('Data set'!$H324&lt;5.7,"Normal",'Data set'!$H324&lt;=6.4,"Prediabetes",'Data set'!$H324&lt;=7.5,"Diabetes",'Data set'!$H324&gt;=7.5,"Uncontrolled")</f>
        <v>Diabetes</v>
      </c>
      <c r="P324" s="3" t="str">
        <f>_xlfn.IFS('Data set'!$F324&lt;120,"Low",'Data set'!$F324&lt;=200,"Normal",'Data set'!$F324&lt;=240,"Boarderline",'Data set'!$F324&gt;=241,"High")</f>
        <v>High</v>
      </c>
      <c r="Q324" s="3" t="str">
        <f>_xlfn.IFS('Data set'!$D324&lt;=18.5,"Low",'Data set'!$D324&lt;=24.9,"Normal",'Data set'!$D324&lt;=29.9,"High",'Data set'!$D324&gt;29.9,"Very High")</f>
        <v>Very High</v>
      </c>
    </row>
    <row r="325" spans="1:17" x14ac:dyDescent="0.25">
      <c r="A325" s="5">
        <v>29</v>
      </c>
      <c r="B325" s="5" t="s">
        <v>9</v>
      </c>
      <c r="C325" s="6">
        <v>122.16</v>
      </c>
      <c r="D325" s="6">
        <v>31.1</v>
      </c>
      <c r="E325" s="5" t="s">
        <v>10</v>
      </c>
      <c r="F325" s="5">
        <v>239</v>
      </c>
      <c r="G325" s="5" t="s">
        <v>308</v>
      </c>
      <c r="H325" s="6">
        <v>7.54</v>
      </c>
      <c r="I325" s="5">
        <v>3</v>
      </c>
      <c r="J325" s="5" t="s">
        <v>4</v>
      </c>
      <c r="K325" s="5" t="s">
        <v>4</v>
      </c>
      <c r="L325" s="5">
        <v>101</v>
      </c>
      <c r="M325" s="5">
        <v>62</v>
      </c>
      <c r="N325" s="5" t="s">
        <v>17</v>
      </c>
      <c r="O325" s="5" t="str">
        <f>_xlfn.IFS('Data set'!$H325&lt;5.7,"Normal",'Data set'!$H325&lt;=6.4,"Prediabetes",'Data set'!$H325&lt;=7.5,"Diabetes",'Data set'!$H325&gt;=7.5,"Uncontrolled")</f>
        <v>Uncontrolled</v>
      </c>
      <c r="P325" s="5" t="str">
        <f>_xlfn.IFS('Data set'!$F325&lt;120,"Low",'Data set'!$F325&lt;=200,"Normal",'Data set'!$F325&lt;=240,"Boarderline",'Data set'!$F325&gt;=241,"High")</f>
        <v>Boarderline</v>
      </c>
      <c r="Q325" s="5" t="str">
        <f>_xlfn.IFS('Data set'!$D325&lt;=18.5,"Low",'Data set'!$D325&lt;=24.9,"Normal",'Data set'!$D325&lt;=29.9,"High",'Data set'!$D325&gt;29.9,"Very High")</f>
        <v>Very High</v>
      </c>
    </row>
    <row r="326" spans="1:17" x14ac:dyDescent="0.25">
      <c r="A326" s="3">
        <v>53</v>
      </c>
      <c r="B326" s="3" t="s">
        <v>9</v>
      </c>
      <c r="C326" s="4">
        <v>224.73</v>
      </c>
      <c r="D326" s="4">
        <v>39.67</v>
      </c>
      <c r="E326" s="3" t="s">
        <v>1</v>
      </c>
      <c r="F326" s="3">
        <v>122</v>
      </c>
      <c r="G326" s="3" t="s">
        <v>309</v>
      </c>
      <c r="H326" s="4">
        <v>5.07</v>
      </c>
      <c r="I326" s="3">
        <v>5</v>
      </c>
      <c r="J326" s="3" t="s">
        <v>4</v>
      </c>
      <c r="K326" s="3" t="s">
        <v>4</v>
      </c>
      <c r="L326" s="3">
        <v>126</v>
      </c>
      <c r="M326" s="3">
        <v>60</v>
      </c>
      <c r="N326" s="3" t="s">
        <v>8</v>
      </c>
      <c r="O326" s="3" t="str">
        <f>_xlfn.IFS('Data set'!$H326&lt;5.7,"Normal",'Data set'!$H326&lt;=6.4,"Prediabetes",'Data set'!$H326&lt;=7.5,"Diabetes",'Data set'!$H326&gt;=7.5,"Uncontrolled")</f>
        <v>Normal</v>
      </c>
      <c r="P326" s="3" t="str">
        <f>_xlfn.IFS('Data set'!$F326&lt;120,"Low",'Data set'!$F326&lt;=200,"Normal",'Data set'!$F326&lt;=240,"Boarderline",'Data set'!$F326&gt;=241,"High")</f>
        <v>Normal</v>
      </c>
      <c r="Q326" s="3" t="str">
        <f>_xlfn.IFS('Data set'!$D326&lt;=18.5,"Low",'Data set'!$D326&lt;=24.9,"Normal",'Data set'!$D326&lt;=29.9,"High",'Data set'!$D326&gt;29.9,"Very High")</f>
        <v>Very High</v>
      </c>
    </row>
    <row r="327" spans="1:17" x14ac:dyDescent="0.25">
      <c r="A327" s="5">
        <v>31</v>
      </c>
      <c r="B327" s="5" t="s">
        <v>9</v>
      </c>
      <c r="C327" s="6">
        <v>172.87</v>
      </c>
      <c r="D327" s="6">
        <v>22.62</v>
      </c>
      <c r="E327" s="5" t="s">
        <v>10</v>
      </c>
      <c r="F327" s="5">
        <v>168</v>
      </c>
      <c r="G327" s="5" t="s">
        <v>310</v>
      </c>
      <c r="H327" s="6">
        <v>4.3600000000000003</v>
      </c>
      <c r="I327" s="5">
        <v>3</v>
      </c>
      <c r="J327" s="5" t="s">
        <v>3</v>
      </c>
      <c r="K327" s="5" t="s">
        <v>3</v>
      </c>
      <c r="L327" s="5">
        <v>106</v>
      </c>
      <c r="M327" s="5">
        <v>83</v>
      </c>
      <c r="N327" s="5" t="s">
        <v>12</v>
      </c>
      <c r="O327" s="5" t="str">
        <f>_xlfn.IFS('Data set'!$H327&lt;5.7,"Normal",'Data set'!$H327&lt;=6.4,"Prediabetes",'Data set'!$H327&lt;=7.5,"Diabetes",'Data set'!$H327&gt;=7.5,"Uncontrolled")</f>
        <v>Normal</v>
      </c>
      <c r="P327" s="5" t="str">
        <f>_xlfn.IFS('Data set'!$F327&lt;120,"Low",'Data set'!$F327&lt;=200,"Normal",'Data set'!$F327&lt;=240,"Boarderline",'Data set'!$F327&gt;=241,"High")</f>
        <v>Normal</v>
      </c>
      <c r="Q327" s="5" t="str">
        <f>_xlfn.IFS('Data set'!$D327&lt;=18.5,"Low",'Data set'!$D327&lt;=24.9,"Normal",'Data set'!$D327&lt;=29.9,"High",'Data set'!$D327&gt;29.9,"Very High")</f>
        <v>Normal</v>
      </c>
    </row>
    <row r="328" spans="1:17" x14ac:dyDescent="0.25">
      <c r="A328" s="3">
        <v>72</v>
      </c>
      <c r="B328" s="3" t="s">
        <v>0</v>
      </c>
      <c r="C328" s="4">
        <v>101.78</v>
      </c>
      <c r="D328" s="4">
        <v>38.590000000000003</v>
      </c>
      <c r="E328" s="3" t="s">
        <v>14</v>
      </c>
      <c r="F328" s="3">
        <v>181</v>
      </c>
      <c r="G328" s="3" t="s">
        <v>311</v>
      </c>
      <c r="H328" s="4">
        <v>7.78</v>
      </c>
      <c r="I328" s="3">
        <v>2</v>
      </c>
      <c r="J328" s="3" t="s">
        <v>3</v>
      </c>
      <c r="K328" s="3" t="s">
        <v>4</v>
      </c>
      <c r="L328" s="3">
        <v>113</v>
      </c>
      <c r="M328" s="3">
        <v>68</v>
      </c>
      <c r="N328" s="3" t="s">
        <v>5</v>
      </c>
      <c r="O328" s="3" t="str">
        <f>_xlfn.IFS('Data set'!$H328&lt;5.7,"Normal",'Data set'!$H328&lt;=6.4,"Prediabetes",'Data set'!$H328&lt;=7.5,"Diabetes",'Data set'!$H328&gt;=7.5,"Uncontrolled")</f>
        <v>Uncontrolled</v>
      </c>
      <c r="P328" s="3" t="str">
        <f>_xlfn.IFS('Data set'!$F328&lt;120,"Low",'Data set'!$F328&lt;=200,"Normal",'Data set'!$F328&lt;=240,"Boarderline",'Data set'!$F328&gt;=241,"High")</f>
        <v>Normal</v>
      </c>
      <c r="Q328" s="3" t="str">
        <f>_xlfn.IFS('Data set'!$D328&lt;=18.5,"Low",'Data set'!$D328&lt;=24.9,"Normal",'Data set'!$D328&lt;=29.9,"High",'Data set'!$D328&gt;29.9,"Very High")</f>
        <v>Very High</v>
      </c>
    </row>
    <row r="329" spans="1:17" x14ac:dyDescent="0.25">
      <c r="A329" s="5">
        <v>69</v>
      </c>
      <c r="B329" s="5" t="s">
        <v>0</v>
      </c>
      <c r="C329" s="6">
        <v>108.58</v>
      </c>
      <c r="D329" s="6">
        <v>30.16</v>
      </c>
      <c r="E329" s="5" t="s">
        <v>14</v>
      </c>
      <c r="F329" s="5">
        <v>191</v>
      </c>
      <c r="G329" s="5" t="s">
        <v>312</v>
      </c>
      <c r="H329" s="6">
        <v>5.47</v>
      </c>
      <c r="I329" s="5">
        <v>4</v>
      </c>
      <c r="J329" s="5" t="s">
        <v>4</v>
      </c>
      <c r="K329" s="5" t="s">
        <v>4</v>
      </c>
      <c r="L329" s="5">
        <v>140</v>
      </c>
      <c r="M329" s="5">
        <v>66</v>
      </c>
      <c r="N329" s="5" t="s">
        <v>21</v>
      </c>
      <c r="O329" s="5" t="str">
        <f>_xlfn.IFS('Data set'!$H329&lt;5.7,"Normal",'Data set'!$H329&lt;=6.4,"Prediabetes",'Data set'!$H329&lt;=7.5,"Diabetes",'Data set'!$H329&gt;=7.5,"Uncontrolled")</f>
        <v>Normal</v>
      </c>
      <c r="P329" s="5" t="str">
        <f>_xlfn.IFS('Data set'!$F329&lt;120,"Low",'Data set'!$F329&lt;=200,"Normal",'Data set'!$F329&lt;=240,"Boarderline",'Data set'!$F329&gt;=241,"High")</f>
        <v>Normal</v>
      </c>
      <c r="Q329" s="5" t="str">
        <f>_xlfn.IFS('Data set'!$D329&lt;=18.5,"Low",'Data set'!$D329&lt;=24.9,"Normal",'Data set'!$D329&lt;=29.9,"High",'Data set'!$D329&gt;29.9,"Very High")</f>
        <v>Very High</v>
      </c>
    </row>
    <row r="330" spans="1:17" x14ac:dyDescent="0.25">
      <c r="A330" s="3">
        <v>28</v>
      </c>
      <c r="B330" s="3" t="s">
        <v>9</v>
      </c>
      <c r="C330" s="4">
        <v>196.15</v>
      </c>
      <c r="D330" s="4">
        <v>28.92</v>
      </c>
      <c r="E330" s="3" t="s">
        <v>6</v>
      </c>
      <c r="F330" s="3">
        <v>221</v>
      </c>
      <c r="G330" s="3" t="s">
        <v>260</v>
      </c>
      <c r="H330" s="4">
        <v>6.16</v>
      </c>
      <c r="I330" s="3">
        <v>4</v>
      </c>
      <c r="J330" s="3" t="s">
        <v>3</v>
      </c>
      <c r="K330" s="3" t="s">
        <v>3</v>
      </c>
      <c r="L330" s="3">
        <v>111</v>
      </c>
      <c r="M330" s="3">
        <v>90</v>
      </c>
      <c r="N330" s="3" t="s">
        <v>17</v>
      </c>
      <c r="O330" s="3" t="str">
        <f>_xlfn.IFS('Data set'!$H330&lt;5.7,"Normal",'Data set'!$H330&lt;=6.4,"Prediabetes",'Data set'!$H330&lt;=7.5,"Diabetes",'Data set'!$H330&gt;=7.5,"Uncontrolled")</f>
        <v>Prediabetes</v>
      </c>
      <c r="P330" s="3" t="str">
        <f>_xlfn.IFS('Data set'!$F330&lt;120,"Low",'Data set'!$F330&lt;=200,"Normal",'Data set'!$F330&lt;=240,"Boarderline",'Data set'!$F330&gt;=241,"High")</f>
        <v>Boarderline</v>
      </c>
      <c r="Q330" s="3" t="str">
        <f>_xlfn.IFS('Data set'!$D330&lt;=18.5,"Low",'Data set'!$D330&lt;=24.9,"Normal",'Data set'!$D330&lt;=29.9,"High",'Data set'!$D330&gt;29.9,"Very High")</f>
        <v>High</v>
      </c>
    </row>
    <row r="331" spans="1:17" x14ac:dyDescent="0.25">
      <c r="A331" s="5">
        <v>26</v>
      </c>
      <c r="B331" s="5" t="s">
        <v>9</v>
      </c>
      <c r="C331" s="6">
        <v>92</v>
      </c>
      <c r="D331" s="6">
        <v>34.799999999999997</v>
      </c>
      <c r="E331" s="5" t="s">
        <v>1</v>
      </c>
      <c r="F331" s="5">
        <v>150</v>
      </c>
      <c r="G331" s="5" t="s">
        <v>313</v>
      </c>
      <c r="H331" s="6">
        <v>6.61</v>
      </c>
      <c r="I331" s="5">
        <v>6</v>
      </c>
      <c r="J331" s="5" t="s">
        <v>4</v>
      </c>
      <c r="K331" s="5" t="s">
        <v>3</v>
      </c>
      <c r="L331" s="5">
        <v>138</v>
      </c>
      <c r="M331" s="5">
        <v>78</v>
      </c>
      <c r="N331" s="5" t="s">
        <v>17</v>
      </c>
      <c r="O331" s="5" t="str">
        <f>_xlfn.IFS('Data set'!$H331&lt;5.7,"Normal",'Data set'!$H331&lt;=6.4,"Prediabetes",'Data set'!$H331&lt;=7.5,"Diabetes",'Data set'!$H331&gt;=7.5,"Uncontrolled")</f>
        <v>Diabetes</v>
      </c>
      <c r="P331" s="5" t="str">
        <f>_xlfn.IFS('Data set'!$F331&lt;120,"Low",'Data set'!$F331&lt;=200,"Normal",'Data set'!$F331&lt;=240,"Boarderline",'Data set'!$F331&gt;=241,"High")</f>
        <v>Normal</v>
      </c>
      <c r="Q331" s="5" t="str">
        <f>_xlfn.IFS('Data set'!$D331&lt;=18.5,"Low",'Data set'!$D331&lt;=24.9,"Normal",'Data set'!$D331&lt;=29.9,"High",'Data set'!$D331&gt;29.9,"Very High")</f>
        <v>Very High</v>
      </c>
    </row>
    <row r="332" spans="1:17" x14ac:dyDescent="0.25">
      <c r="A332" s="3">
        <v>75</v>
      </c>
      <c r="B332" s="3" t="s">
        <v>0</v>
      </c>
      <c r="C332" s="4">
        <v>250.29</v>
      </c>
      <c r="D332" s="4">
        <v>39.020000000000003</v>
      </c>
      <c r="E332" s="3" t="s">
        <v>10</v>
      </c>
      <c r="F332" s="3">
        <v>167</v>
      </c>
      <c r="G332" s="3" t="s">
        <v>314</v>
      </c>
      <c r="H332" s="4">
        <v>5.94</v>
      </c>
      <c r="I332" s="3">
        <v>6</v>
      </c>
      <c r="J332" s="3" t="s">
        <v>4</v>
      </c>
      <c r="K332" s="3" t="s">
        <v>3</v>
      </c>
      <c r="L332" s="3">
        <v>132</v>
      </c>
      <c r="M332" s="3">
        <v>71</v>
      </c>
      <c r="N332" s="3" t="s">
        <v>5</v>
      </c>
      <c r="O332" s="3" t="str">
        <f>_xlfn.IFS('Data set'!$H332&lt;5.7,"Normal",'Data set'!$H332&lt;=6.4,"Prediabetes",'Data set'!$H332&lt;=7.5,"Diabetes",'Data set'!$H332&gt;=7.5,"Uncontrolled")</f>
        <v>Prediabetes</v>
      </c>
      <c r="P332" s="3" t="str">
        <f>_xlfn.IFS('Data set'!$F332&lt;120,"Low",'Data set'!$F332&lt;=200,"Normal",'Data set'!$F332&lt;=240,"Boarderline",'Data set'!$F332&gt;=241,"High")</f>
        <v>Normal</v>
      </c>
      <c r="Q332" s="3" t="str">
        <f>_xlfn.IFS('Data set'!$D332&lt;=18.5,"Low",'Data set'!$D332&lt;=24.9,"Normal",'Data set'!$D332&lt;=29.9,"High",'Data set'!$D332&gt;29.9,"Very High")</f>
        <v>Very High</v>
      </c>
    </row>
    <row r="333" spans="1:17" x14ac:dyDescent="0.25">
      <c r="A333" s="5">
        <v>19</v>
      </c>
      <c r="B333" s="5" t="s">
        <v>9</v>
      </c>
      <c r="C333" s="6">
        <v>289.43</v>
      </c>
      <c r="D333" s="6">
        <v>30.47</v>
      </c>
      <c r="E333" s="5" t="s">
        <v>10</v>
      </c>
      <c r="F333" s="5">
        <v>130</v>
      </c>
      <c r="G333" s="5" t="s">
        <v>315</v>
      </c>
      <c r="H333" s="6">
        <v>9.89</v>
      </c>
      <c r="I333" s="5">
        <v>7</v>
      </c>
      <c r="J333" s="5" t="s">
        <v>3</v>
      </c>
      <c r="K333" s="5" t="s">
        <v>3</v>
      </c>
      <c r="L333" s="5">
        <v>98</v>
      </c>
      <c r="M333" s="5">
        <v>83</v>
      </c>
      <c r="N333" s="5" t="s">
        <v>17</v>
      </c>
      <c r="O333" s="5" t="str">
        <f>_xlfn.IFS('Data set'!$H333&lt;5.7,"Normal",'Data set'!$H333&lt;=6.4,"Prediabetes",'Data set'!$H333&lt;=7.5,"Diabetes",'Data set'!$H333&gt;=7.5,"Uncontrolled")</f>
        <v>Uncontrolled</v>
      </c>
      <c r="P333" s="5" t="str">
        <f>_xlfn.IFS('Data set'!$F333&lt;120,"Low",'Data set'!$F333&lt;=200,"Normal",'Data set'!$F333&lt;=240,"Boarderline",'Data set'!$F333&gt;=241,"High")</f>
        <v>Normal</v>
      </c>
      <c r="Q333" s="5" t="str">
        <f>_xlfn.IFS('Data set'!$D333&lt;=18.5,"Low",'Data set'!$D333&lt;=24.9,"Normal",'Data set'!$D333&lt;=29.9,"High",'Data set'!$D333&gt;29.9,"Very High")</f>
        <v>Very High</v>
      </c>
    </row>
    <row r="334" spans="1:17" x14ac:dyDescent="0.25">
      <c r="A334" s="3">
        <v>50</v>
      </c>
      <c r="B334" s="3" t="s">
        <v>9</v>
      </c>
      <c r="C334" s="4">
        <v>96.04</v>
      </c>
      <c r="D334" s="4">
        <v>28.33</v>
      </c>
      <c r="E334" s="3" t="s">
        <v>10</v>
      </c>
      <c r="F334" s="3">
        <v>226</v>
      </c>
      <c r="G334" s="3" t="s">
        <v>316</v>
      </c>
      <c r="H334" s="4">
        <v>5.54</v>
      </c>
      <c r="I334" s="3">
        <v>5</v>
      </c>
      <c r="J334" s="3" t="s">
        <v>3</v>
      </c>
      <c r="K334" s="3" t="s">
        <v>3</v>
      </c>
      <c r="L334" s="3">
        <v>139</v>
      </c>
      <c r="M334" s="3">
        <v>86</v>
      </c>
      <c r="N334" s="3" t="s">
        <v>23</v>
      </c>
      <c r="O334" s="3" t="str">
        <f>_xlfn.IFS('Data set'!$H334&lt;5.7,"Normal",'Data set'!$H334&lt;=6.4,"Prediabetes",'Data set'!$H334&lt;=7.5,"Diabetes",'Data set'!$H334&gt;=7.5,"Uncontrolled")</f>
        <v>Normal</v>
      </c>
      <c r="P334" s="3" t="str">
        <f>_xlfn.IFS('Data set'!$F334&lt;120,"Low",'Data set'!$F334&lt;=200,"Normal",'Data set'!$F334&lt;=240,"Boarderline",'Data set'!$F334&gt;=241,"High")</f>
        <v>Boarderline</v>
      </c>
      <c r="Q334" s="3" t="str">
        <f>_xlfn.IFS('Data set'!$D334&lt;=18.5,"Low",'Data set'!$D334&lt;=24.9,"Normal",'Data set'!$D334&lt;=29.9,"High",'Data set'!$D334&gt;29.9,"Very High")</f>
        <v>High</v>
      </c>
    </row>
    <row r="335" spans="1:17" x14ac:dyDescent="0.25">
      <c r="A335" s="5">
        <v>19</v>
      </c>
      <c r="B335" s="5" t="s">
        <v>9</v>
      </c>
      <c r="C335" s="6">
        <v>182.14</v>
      </c>
      <c r="D335" s="6">
        <v>19.45</v>
      </c>
      <c r="E335" s="5" t="s">
        <v>10</v>
      </c>
      <c r="F335" s="5">
        <v>162</v>
      </c>
      <c r="G335" s="5" t="s">
        <v>317</v>
      </c>
      <c r="H335" s="6">
        <v>9.42</v>
      </c>
      <c r="I335" s="5">
        <v>6</v>
      </c>
      <c r="J335" s="5" t="s">
        <v>3</v>
      </c>
      <c r="K335" s="5" t="s">
        <v>4</v>
      </c>
      <c r="L335" s="5">
        <v>105</v>
      </c>
      <c r="M335" s="5">
        <v>74</v>
      </c>
      <c r="N335" s="5" t="s">
        <v>17</v>
      </c>
      <c r="O335" s="5" t="str">
        <f>_xlfn.IFS('Data set'!$H335&lt;5.7,"Normal",'Data set'!$H335&lt;=6.4,"Prediabetes",'Data set'!$H335&lt;=7.5,"Diabetes",'Data set'!$H335&gt;=7.5,"Uncontrolled")</f>
        <v>Uncontrolled</v>
      </c>
      <c r="P335" s="5" t="str">
        <f>_xlfn.IFS('Data set'!$F335&lt;120,"Low",'Data set'!$F335&lt;=200,"Normal",'Data set'!$F335&lt;=240,"Boarderline",'Data set'!$F335&gt;=241,"High")</f>
        <v>Normal</v>
      </c>
      <c r="Q335" s="5" t="str">
        <f>_xlfn.IFS('Data set'!$D335&lt;=18.5,"Low",'Data set'!$D335&lt;=24.9,"Normal",'Data set'!$D335&lt;=29.9,"High",'Data set'!$D335&gt;29.9,"Very High")</f>
        <v>Normal</v>
      </c>
    </row>
    <row r="336" spans="1:17" x14ac:dyDescent="0.25">
      <c r="A336" s="3">
        <v>68</v>
      </c>
      <c r="B336" s="3" t="s">
        <v>0</v>
      </c>
      <c r="C336" s="4">
        <v>193.17</v>
      </c>
      <c r="D336" s="4">
        <v>26.44</v>
      </c>
      <c r="E336" s="3" t="s">
        <v>1</v>
      </c>
      <c r="F336" s="3">
        <v>254</v>
      </c>
      <c r="G336" s="3" t="s">
        <v>318</v>
      </c>
      <c r="H336" s="4">
        <v>4.03</v>
      </c>
      <c r="I336" s="3">
        <v>3</v>
      </c>
      <c r="J336" s="3" t="s">
        <v>3</v>
      </c>
      <c r="K336" s="3" t="s">
        <v>4</v>
      </c>
      <c r="L336" s="3">
        <v>116</v>
      </c>
      <c r="M336" s="3">
        <v>85</v>
      </c>
      <c r="N336" s="3" t="s">
        <v>21</v>
      </c>
      <c r="O336" s="3" t="str">
        <f>_xlfn.IFS('Data set'!$H336&lt;5.7,"Normal",'Data set'!$H336&lt;=6.4,"Prediabetes",'Data set'!$H336&lt;=7.5,"Diabetes",'Data set'!$H336&gt;=7.5,"Uncontrolled")</f>
        <v>Normal</v>
      </c>
      <c r="P336" s="3" t="str">
        <f>_xlfn.IFS('Data set'!$F336&lt;120,"Low",'Data set'!$F336&lt;=200,"Normal",'Data set'!$F336&lt;=240,"Boarderline",'Data set'!$F336&gt;=241,"High")</f>
        <v>High</v>
      </c>
      <c r="Q336" s="3" t="str">
        <f>_xlfn.IFS('Data set'!$D336&lt;=18.5,"Low",'Data set'!$D336&lt;=24.9,"Normal",'Data set'!$D336&lt;=29.9,"High",'Data set'!$D336&gt;29.9,"Very High")</f>
        <v>High</v>
      </c>
    </row>
    <row r="337" spans="1:17" x14ac:dyDescent="0.25">
      <c r="A337" s="5">
        <v>68</v>
      </c>
      <c r="B337" s="5" t="s">
        <v>9</v>
      </c>
      <c r="C337" s="6">
        <v>268.43</v>
      </c>
      <c r="D337" s="6">
        <v>30.61</v>
      </c>
      <c r="E337" s="5" t="s">
        <v>14</v>
      </c>
      <c r="F337" s="5">
        <v>195</v>
      </c>
      <c r="G337" s="5" t="s">
        <v>98</v>
      </c>
      <c r="H337" s="6">
        <v>8.56</v>
      </c>
      <c r="I337" s="5">
        <v>7</v>
      </c>
      <c r="J337" s="5" t="s">
        <v>3</v>
      </c>
      <c r="K337" s="5" t="s">
        <v>4</v>
      </c>
      <c r="L337" s="5">
        <v>127</v>
      </c>
      <c r="M337" s="5">
        <v>86</v>
      </c>
      <c r="N337" s="5" t="s">
        <v>21</v>
      </c>
      <c r="O337" s="5" t="str">
        <f>_xlfn.IFS('Data set'!$H337&lt;5.7,"Normal",'Data set'!$H337&lt;=6.4,"Prediabetes",'Data set'!$H337&lt;=7.5,"Diabetes",'Data set'!$H337&gt;=7.5,"Uncontrolled")</f>
        <v>Uncontrolled</v>
      </c>
      <c r="P337" s="5" t="str">
        <f>_xlfn.IFS('Data set'!$F337&lt;120,"Low",'Data set'!$F337&lt;=200,"Normal",'Data set'!$F337&lt;=240,"Boarderline",'Data set'!$F337&gt;=241,"High")</f>
        <v>Normal</v>
      </c>
      <c r="Q337" s="5" t="str">
        <f>_xlfn.IFS('Data set'!$D337&lt;=18.5,"Low",'Data set'!$D337&lt;=24.9,"Normal",'Data set'!$D337&lt;=29.9,"High",'Data set'!$D337&gt;29.9,"Very High")</f>
        <v>Very High</v>
      </c>
    </row>
    <row r="338" spans="1:17" x14ac:dyDescent="0.25">
      <c r="A338" s="3">
        <v>37</v>
      </c>
      <c r="B338" s="3" t="s">
        <v>9</v>
      </c>
      <c r="C338" s="4">
        <v>233.15</v>
      </c>
      <c r="D338" s="4">
        <v>18.690000000000001</v>
      </c>
      <c r="E338" s="3" t="s">
        <v>10</v>
      </c>
      <c r="F338" s="3">
        <v>159</v>
      </c>
      <c r="G338" s="3" t="s">
        <v>174</v>
      </c>
      <c r="H338" s="4">
        <v>8.32</v>
      </c>
      <c r="I338" s="3">
        <v>3</v>
      </c>
      <c r="J338" s="3" t="s">
        <v>4</v>
      </c>
      <c r="K338" s="3" t="s">
        <v>3</v>
      </c>
      <c r="L338" s="3">
        <v>130</v>
      </c>
      <c r="M338" s="3">
        <v>63</v>
      </c>
      <c r="N338" s="3" t="s">
        <v>12</v>
      </c>
      <c r="O338" s="3" t="str">
        <f>_xlfn.IFS('Data set'!$H338&lt;5.7,"Normal",'Data set'!$H338&lt;=6.4,"Prediabetes",'Data set'!$H338&lt;=7.5,"Diabetes",'Data set'!$H338&gt;=7.5,"Uncontrolled")</f>
        <v>Uncontrolled</v>
      </c>
      <c r="P338" s="3" t="str">
        <f>_xlfn.IFS('Data set'!$F338&lt;120,"Low",'Data set'!$F338&lt;=200,"Normal",'Data set'!$F338&lt;=240,"Boarderline",'Data set'!$F338&gt;=241,"High")</f>
        <v>Normal</v>
      </c>
      <c r="Q338" s="3" t="str">
        <f>_xlfn.IFS('Data set'!$D338&lt;=18.5,"Low",'Data set'!$D338&lt;=24.9,"Normal",'Data set'!$D338&lt;=29.9,"High",'Data set'!$D338&gt;29.9,"Very High")</f>
        <v>Normal</v>
      </c>
    </row>
    <row r="339" spans="1:17" x14ac:dyDescent="0.25">
      <c r="A339" s="5">
        <v>43</v>
      </c>
      <c r="B339" s="5" t="s">
        <v>0</v>
      </c>
      <c r="C339" s="6">
        <v>121.14</v>
      </c>
      <c r="D339" s="6">
        <v>37.82</v>
      </c>
      <c r="E339" s="5" t="s">
        <v>10</v>
      </c>
      <c r="F339" s="5">
        <v>226</v>
      </c>
      <c r="G339" s="5" t="s">
        <v>319</v>
      </c>
      <c r="H339" s="6">
        <v>5.65</v>
      </c>
      <c r="I339" s="5">
        <v>5</v>
      </c>
      <c r="J339" s="5" t="s">
        <v>3</v>
      </c>
      <c r="K339" s="5" t="s">
        <v>3</v>
      </c>
      <c r="L339" s="5">
        <v>102</v>
      </c>
      <c r="M339" s="5">
        <v>86</v>
      </c>
      <c r="N339" s="5" t="s">
        <v>23</v>
      </c>
      <c r="O339" s="5" t="str">
        <f>_xlfn.IFS('Data set'!$H339&lt;5.7,"Normal",'Data set'!$H339&lt;=6.4,"Prediabetes",'Data set'!$H339&lt;=7.5,"Diabetes",'Data set'!$H339&gt;=7.5,"Uncontrolled")</f>
        <v>Normal</v>
      </c>
      <c r="P339" s="5" t="str">
        <f>_xlfn.IFS('Data set'!$F339&lt;120,"Low",'Data set'!$F339&lt;=200,"Normal",'Data set'!$F339&lt;=240,"Boarderline",'Data set'!$F339&gt;=241,"High")</f>
        <v>Boarderline</v>
      </c>
      <c r="Q339" s="5" t="str">
        <f>_xlfn.IFS('Data set'!$D339&lt;=18.5,"Low",'Data set'!$D339&lt;=24.9,"Normal",'Data set'!$D339&lt;=29.9,"High",'Data set'!$D339&gt;29.9,"Very High")</f>
        <v>Very High</v>
      </c>
    </row>
    <row r="340" spans="1:17" x14ac:dyDescent="0.25">
      <c r="A340" s="3">
        <v>22</v>
      </c>
      <c r="B340" s="3" t="s">
        <v>9</v>
      </c>
      <c r="C340" s="4">
        <v>154.07</v>
      </c>
      <c r="D340" s="4">
        <v>22.44</v>
      </c>
      <c r="E340" s="3" t="s">
        <v>1</v>
      </c>
      <c r="F340" s="3">
        <v>262</v>
      </c>
      <c r="G340" s="3" t="s">
        <v>320</v>
      </c>
      <c r="H340" s="4">
        <v>6.06</v>
      </c>
      <c r="I340" s="3">
        <v>0</v>
      </c>
      <c r="J340" s="3" t="s">
        <v>4</v>
      </c>
      <c r="K340" s="3" t="s">
        <v>3</v>
      </c>
      <c r="L340" s="3">
        <v>100</v>
      </c>
      <c r="M340" s="3">
        <v>82</v>
      </c>
      <c r="N340" s="3" t="s">
        <v>17</v>
      </c>
      <c r="O340" s="3" t="str">
        <f>_xlfn.IFS('Data set'!$H340&lt;5.7,"Normal",'Data set'!$H340&lt;=6.4,"Prediabetes",'Data set'!$H340&lt;=7.5,"Diabetes",'Data set'!$H340&gt;=7.5,"Uncontrolled")</f>
        <v>Prediabetes</v>
      </c>
      <c r="P340" s="3" t="str">
        <f>_xlfn.IFS('Data set'!$F340&lt;120,"Low",'Data set'!$F340&lt;=200,"Normal",'Data set'!$F340&lt;=240,"Boarderline",'Data set'!$F340&gt;=241,"High")</f>
        <v>High</v>
      </c>
      <c r="Q340" s="3" t="str">
        <f>_xlfn.IFS('Data set'!$D340&lt;=18.5,"Low",'Data set'!$D340&lt;=24.9,"Normal",'Data set'!$D340&lt;=29.9,"High",'Data set'!$D340&gt;29.9,"Very High")</f>
        <v>Normal</v>
      </c>
    </row>
    <row r="341" spans="1:17" x14ac:dyDescent="0.25">
      <c r="A341" s="5">
        <v>55</v>
      </c>
      <c r="B341" s="5" t="s">
        <v>0</v>
      </c>
      <c r="C341" s="6">
        <v>237.66</v>
      </c>
      <c r="D341" s="6">
        <v>35.46</v>
      </c>
      <c r="E341" s="5" t="s">
        <v>1</v>
      </c>
      <c r="F341" s="5">
        <v>259</v>
      </c>
      <c r="G341" s="5" t="s">
        <v>321</v>
      </c>
      <c r="H341" s="6">
        <v>5.0999999999999996</v>
      </c>
      <c r="I341" s="5">
        <v>7</v>
      </c>
      <c r="J341" s="5" t="s">
        <v>3</v>
      </c>
      <c r="K341" s="5" t="s">
        <v>3</v>
      </c>
      <c r="L341" s="5">
        <v>90</v>
      </c>
      <c r="M341" s="5">
        <v>85</v>
      </c>
      <c r="N341" s="5" t="s">
        <v>8</v>
      </c>
      <c r="O341" s="5" t="str">
        <f>_xlfn.IFS('Data set'!$H341&lt;5.7,"Normal",'Data set'!$H341&lt;=6.4,"Prediabetes",'Data set'!$H341&lt;=7.5,"Diabetes",'Data set'!$H341&gt;=7.5,"Uncontrolled")</f>
        <v>Normal</v>
      </c>
      <c r="P341" s="5" t="str">
        <f>_xlfn.IFS('Data set'!$F341&lt;120,"Low",'Data set'!$F341&lt;=200,"Normal",'Data set'!$F341&lt;=240,"Boarderline",'Data set'!$F341&gt;=241,"High")</f>
        <v>High</v>
      </c>
      <c r="Q341" s="5" t="str">
        <f>_xlfn.IFS('Data set'!$D341&lt;=18.5,"Low",'Data set'!$D341&lt;=24.9,"Normal",'Data set'!$D341&lt;=29.9,"High",'Data set'!$D341&gt;29.9,"Very High")</f>
        <v>Very High</v>
      </c>
    </row>
    <row r="342" spans="1:17" x14ac:dyDescent="0.25">
      <c r="A342" s="3">
        <v>69</v>
      </c>
      <c r="B342" s="3" t="s">
        <v>0</v>
      </c>
      <c r="C342" s="4">
        <v>193.87</v>
      </c>
      <c r="D342" s="4">
        <v>26.69</v>
      </c>
      <c r="E342" s="3" t="s">
        <v>6</v>
      </c>
      <c r="F342" s="3">
        <v>285</v>
      </c>
      <c r="G342" s="3" t="s">
        <v>322</v>
      </c>
      <c r="H342" s="4">
        <v>7.79</v>
      </c>
      <c r="I342" s="3">
        <v>3</v>
      </c>
      <c r="J342" s="3" t="s">
        <v>3</v>
      </c>
      <c r="K342" s="3" t="s">
        <v>3</v>
      </c>
      <c r="L342" s="3">
        <v>133</v>
      </c>
      <c r="M342" s="3">
        <v>75</v>
      </c>
      <c r="N342" s="3" t="s">
        <v>21</v>
      </c>
      <c r="O342" s="3" t="str">
        <f>_xlfn.IFS('Data set'!$H342&lt;5.7,"Normal",'Data set'!$H342&lt;=6.4,"Prediabetes",'Data set'!$H342&lt;=7.5,"Diabetes",'Data set'!$H342&gt;=7.5,"Uncontrolled")</f>
        <v>Uncontrolled</v>
      </c>
      <c r="P342" s="3" t="str">
        <f>_xlfn.IFS('Data set'!$F342&lt;120,"Low",'Data set'!$F342&lt;=200,"Normal",'Data set'!$F342&lt;=240,"Boarderline",'Data set'!$F342&gt;=241,"High")</f>
        <v>High</v>
      </c>
      <c r="Q342" s="3" t="str">
        <f>_xlfn.IFS('Data set'!$D342&lt;=18.5,"Low",'Data set'!$D342&lt;=24.9,"Normal",'Data set'!$D342&lt;=29.9,"High",'Data set'!$D342&gt;29.9,"Very High")</f>
        <v>High</v>
      </c>
    </row>
    <row r="343" spans="1:17" x14ac:dyDescent="0.25">
      <c r="A343" s="5">
        <v>52</v>
      </c>
      <c r="B343" s="5" t="s">
        <v>0</v>
      </c>
      <c r="C343" s="6">
        <v>242.22</v>
      </c>
      <c r="D343" s="6">
        <v>29.75</v>
      </c>
      <c r="E343" s="5" t="s">
        <v>1</v>
      </c>
      <c r="F343" s="5">
        <v>215</v>
      </c>
      <c r="G343" s="5" t="s">
        <v>323</v>
      </c>
      <c r="H343" s="6">
        <v>4.22</v>
      </c>
      <c r="I343" s="5">
        <v>6</v>
      </c>
      <c r="J343" s="5" t="s">
        <v>3</v>
      </c>
      <c r="K343" s="5" t="s">
        <v>3</v>
      </c>
      <c r="L343" s="5">
        <v>99</v>
      </c>
      <c r="M343" s="5">
        <v>72</v>
      </c>
      <c r="N343" s="5" t="s">
        <v>8</v>
      </c>
      <c r="O343" s="5" t="str">
        <f>_xlfn.IFS('Data set'!$H343&lt;5.7,"Normal",'Data set'!$H343&lt;=6.4,"Prediabetes",'Data set'!$H343&lt;=7.5,"Diabetes",'Data set'!$H343&gt;=7.5,"Uncontrolled")</f>
        <v>Normal</v>
      </c>
      <c r="P343" s="5" t="str">
        <f>_xlfn.IFS('Data set'!$F343&lt;120,"Low",'Data set'!$F343&lt;=200,"Normal",'Data set'!$F343&lt;=240,"Boarderline",'Data set'!$F343&gt;=241,"High")</f>
        <v>Boarderline</v>
      </c>
      <c r="Q343" s="5" t="str">
        <f>_xlfn.IFS('Data set'!$D343&lt;=18.5,"Low",'Data set'!$D343&lt;=24.9,"Normal",'Data set'!$D343&lt;=29.9,"High",'Data set'!$D343&gt;29.9,"Very High")</f>
        <v>High</v>
      </c>
    </row>
    <row r="344" spans="1:17" x14ac:dyDescent="0.25">
      <c r="A344" s="3">
        <v>56</v>
      </c>
      <c r="B344" s="3" t="s">
        <v>0</v>
      </c>
      <c r="C344" s="4">
        <v>123.94</v>
      </c>
      <c r="D344" s="4">
        <v>20.37</v>
      </c>
      <c r="E344" s="3" t="s">
        <v>10</v>
      </c>
      <c r="F344" s="3">
        <v>180</v>
      </c>
      <c r="G344" s="3" t="s">
        <v>166</v>
      </c>
      <c r="H344" s="4">
        <v>4.43</v>
      </c>
      <c r="I344" s="3">
        <v>7</v>
      </c>
      <c r="J344" s="3" t="s">
        <v>4</v>
      </c>
      <c r="K344" s="3" t="s">
        <v>4</v>
      </c>
      <c r="L344" s="3">
        <v>105</v>
      </c>
      <c r="M344" s="3">
        <v>80</v>
      </c>
      <c r="N344" s="3" t="s">
        <v>8</v>
      </c>
      <c r="O344" s="3" t="str">
        <f>_xlfn.IFS('Data set'!$H344&lt;5.7,"Normal",'Data set'!$H344&lt;=6.4,"Prediabetes",'Data set'!$H344&lt;=7.5,"Diabetes",'Data set'!$H344&gt;=7.5,"Uncontrolled")</f>
        <v>Normal</v>
      </c>
      <c r="P344" s="3" t="str">
        <f>_xlfn.IFS('Data set'!$F344&lt;120,"Low",'Data set'!$F344&lt;=200,"Normal",'Data set'!$F344&lt;=240,"Boarderline",'Data set'!$F344&gt;=241,"High")</f>
        <v>Normal</v>
      </c>
      <c r="Q344" s="3" t="str">
        <f>_xlfn.IFS('Data set'!$D344&lt;=18.5,"Low",'Data set'!$D344&lt;=24.9,"Normal",'Data set'!$D344&lt;=29.9,"High",'Data set'!$D344&gt;29.9,"Very High")</f>
        <v>Normal</v>
      </c>
    </row>
    <row r="345" spans="1:17" x14ac:dyDescent="0.25">
      <c r="A345" s="5">
        <v>35</v>
      </c>
      <c r="B345" s="5" t="s">
        <v>9</v>
      </c>
      <c r="C345" s="6">
        <v>276.82</v>
      </c>
      <c r="D345" s="6">
        <v>27.43</v>
      </c>
      <c r="E345" s="5" t="s">
        <v>10</v>
      </c>
      <c r="F345" s="5">
        <v>290</v>
      </c>
      <c r="G345" s="5" t="s">
        <v>324</v>
      </c>
      <c r="H345" s="6">
        <v>7.38</v>
      </c>
      <c r="I345" s="5">
        <v>0</v>
      </c>
      <c r="J345" s="5" t="s">
        <v>3</v>
      </c>
      <c r="K345" s="5" t="s">
        <v>4</v>
      </c>
      <c r="L345" s="5">
        <v>95</v>
      </c>
      <c r="M345" s="5">
        <v>67</v>
      </c>
      <c r="N345" s="5" t="s">
        <v>12</v>
      </c>
      <c r="O345" s="5" t="str">
        <f>_xlfn.IFS('Data set'!$H345&lt;5.7,"Normal",'Data set'!$H345&lt;=6.4,"Prediabetes",'Data set'!$H345&lt;=7.5,"Diabetes",'Data set'!$H345&gt;=7.5,"Uncontrolled")</f>
        <v>Diabetes</v>
      </c>
      <c r="P345" s="5" t="str">
        <f>_xlfn.IFS('Data set'!$F345&lt;120,"Low",'Data set'!$F345&lt;=200,"Normal",'Data set'!$F345&lt;=240,"Boarderline",'Data set'!$F345&gt;=241,"High")</f>
        <v>High</v>
      </c>
      <c r="Q345" s="5" t="str">
        <f>_xlfn.IFS('Data set'!$D345&lt;=18.5,"Low",'Data set'!$D345&lt;=24.9,"Normal",'Data set'!$D345&lt;=29.9,"High",'Data set'!$D345&gt;29.9,"Very High")</f>
        <v>High</v>
      </c>
    </row>
    <row r="346" spans="1:17" x14ac:dyDescent="0.25">
      <c r="A346" s="3">
        <v>35</v>
      </c>
      <c r="B346" s="3" t="s">
        <v>9</v>
      </c>
      <c r="C346" s="4">
        <v>124.67</v>
      </c>
      <c r="D346" s="4">
        <v>32.24</v>
      </c>
      <c r="E346" s="3" t="s">
        <v>6</v>
      </c>
      <c r="F346" s="3">
        <v>170</v>
      </c>
      <c r="G346" s="3" t="s">
        <v>325</v>
      </c>
      <c r="H346" s="4">
        <v>8.9600000000000009</v>
      </c>
      <c r="I346" s="3">
        <v>4</v>
      </c>
      <c r="J346" s="3" t="s">
        <v>3</v>
      </c>
      <c r="K346" s="3" t="s">
        <v>4</v>
      </c>
      <c r="L346" s="3">
        <v>132</v>
      </c>
      <c r="M346" s="3">
        <v>60</v>
      </c>
      <c r="N346" s="3" t="s">
        <v>12</v>
      </c>
      <c r="O346" s="3" t="str">
        <f>_xlfn.IFS('Data set'!$H346&lt;5.7,"Normal",'Data set'!$H346&lt;=6.4,"Prediabetes",'Data set'!$H346&lt;=7.5,"Diabetes",'Data set'!$H346&gt;=7.5,"Uncontrolled")</f>
        <v>Uncontrolled</v>
      </c>
      <c r="P346" s="3" t="str">
        <f>_xlfn.IFS('Data set'!$F346&lt;120,"Low",'Data set'!$F346&lt;=200,"Normal",'Data set'!$F346&lt;=240,"Boarderline",'Data set'!$F346&gt;=241,"High")</f>
        <v>Normal</v>
      </c>
      <c r="Q346" s="3" t="str">
        <f>_xlfn.IFS('Data set'!$D346&lt;=18.5,"Low",'Data set'!$D346&lt;=24.9,"Normal",'Data set'!$D346&lt;=29.9,"High",'Data set'!$D346&gt;29.9,"Very High")</f>
        <v>Very High</v>
      </c>
    </row>
    <row r="347" spans="1:17" x14ac:dyDescent="0.25">
      <c r="A347" s="5">
        <v>66</v>
      </c>
      <c r="B347" s="5" t="s">
        <v>0</v>
      </c>
      <c r="C347" s="6">
        <v>87.78</v>
      </c>
      <c r="D347" s="6">
        <v>20.75</v>
      </c>
      <c r="E347" s="5" t="s">
        <v>10</v>
      </c>
      <c r="F347" s="5">
        <v>150</v>
      </c>
      <c r="G347" s="5" t="s">
        <v>274</v>
      </c>
      <c r="H347" s="6">
        <v>6.53</v>
      </c>
      <c r="I347" s="5">
        <v>6</v>
      </c>
      <c r="J347" s="5" t="s">
        <v>3</v>
      </c>
      <c r="K347" s="5" t="s">
        <v>4</v>
      </c>
      <c r="L347" s="5">
        <v>114</v>
      </c>
      <c r="M347" s="5">
        <v>69</v>
      </c>
      <c r="N347" s="5" t="s">
        <v>21</v>
      </c>
      <c r="O347" s="5" t="str">
        <f>_xlfn.IFS('Data set'!$H347&lt;5.7,"Normal",'Data set'!$H347&lt;=6.4,"Prediabetes",'Data set'!$H347&lt;=7.5,"Diabetes",'Data set'!$H347&gt;=7.5,"Uncontrolled")</f>
        <v>Diabetes</v>
      </c>
      <c r="P347" s="5" t="str">
        <f>_xlfn.IFS('Data set'!$F347&lt;120,"Low",'Data set'!$F347&lt;=200,"Normal",'Data set'!$F347&lt;=240,"Boarderline",'Data set'!$F347&gt;=241,"High")</f>
        <v>Normal</v>
      </c>
      <c r="Q347" s="5" t="str">
        <f>_xlfn.IFS('Data set'!$D347&lt;=18.5,"Low",'Data set'!$D347&lt;=24.9,"Normal",'Data set'!$D347&lt;=29.9,"High",'Data set'!$D347&gt;29.9,"Very High")</f>
        <v>Normal</v>
      </c>
    </row>
    <row r="348" spans="1:17" x14ac:dyDescent="0.25">
      <c r="A348" s="3">
        <v>39</v>
      </c>
      <c r="B348" s="3" t="s">
        <v>9</v>
      </c>
      <c r="C348" s="4">
        <v>93.88</v>
      </c>
      <c r="D348" s="4">
        <v>30.53</v>
      </c>
      <c r="E348" s="3" t="s">
        <v>6</v>
      </c>
      <c r="F348" s="3">
        <v>143</v>
      </c>
      <c r="G348" s="3" t="s">
        <v>261</v>
      </c>
      <c r="H348" s="4">
        <v>8.76</v>
      </c>
      <c r="I348" s="3">
        <v>6</v>
      </c>
      <c r="J348" s="3" t="s">
        <v>3</v>
      </c>
      <c r="K348" s="3" t="s">
        <v>3</v>
      </c>
      <c r="L348" s="3">
        <v>121</v>
      </c>
      <c r="M348" s="3">
        <v>67</v>
      </c>
      <c r="N348" s="3" t="s">
        <v>12</v>
      </c>
      <c r="O348" s="3" t="str">
        <f>_xlfn.IFS('Data set'!$H348&lt;5.7,"Normal",'Data set'!$H348&lt;=6.4,"Prediabetes",'Data set'!$H348&lt;=7.5,"Diabetes",'Data set'!$H348&gt;=7.5,"Uncontrolled")</f>
        <v>Uncontrolled</v>
      </c>
      <c r="P348" s="3" t="str">
        <f>_xlfn.IFS('Data set'!$F348&lt;120,"Low",'Data set'!$F348&lt;=200,"Normal",'Data set'!$F348&lt;=240,"Boarderline",'Data set'!$F348&gt;=241,"High")</f>
        <v>Normal</v>
      </c>
      <c r="Q348" s="3" t="str">
        <f>_xlfn.IFS('Data set'!$D348&lt;=18.5,"Low",'Data set'!$D348&lt;=24.9,"Normal",'Data set'!$D348&lt;=29.9,"High",'Data set'!$D348&gt;29.9,"Very High")</f>
        <v>Very High</v>
      </c>
    </row>
    <row r="349" spans="1:17" x14ac:dyDescent="0.25">
      <c r="A349" s="5">
        <v>46</v>
      </c>
      <c r="B349" s="5" t="s">
        <v>9</v>
      </c>
      <c r="C349" s="6">
        <v>231.27</v>
      </c>
      <c r="D349" s="6">
        <v>28.22</v>
      </c>
      <c r="E349" s="5" t="s">
        <v>1</v>
      </c>
      <c r="F349" s="5">
        <v>175</v>
      </c>
      <c r="G349" s="5" t="s">
        <v>326</v>
      </c>
      <c r="H349" s="6">
        <v>8.68</v>
      </c>
      <c r="I349" s="5">
        <v>4</v>
      </c>
      <c r="J349" s="5" t="s">
        <v>4</v>
      </c>
      <c r="K349" s="5" t="s">
        <v>4</v>
      </c>
      <c r="L349" s="5">
        <v>113</v>
      </c>
      <c r="M349" s="5">
        <v>70</v>
      </c>
      <c r="N349" s="5" t="s">
        <v>23</v>
      </c>
      <c r="O349" s="5" t="str">
        <f>_xlfn.IFS('Data set'!$H349&lt;5.7,"Normal",'Data set'!$H349&lt;=6.4,"Prediabetes",'Data set'!$H349&lt;=7.5,"Diabetes",'Data set'!$H349&gt;=7.5,"Uncontrolled")</f>
        <v>Uncontrolled</v>
      </c>
      <c r="P349" s="5" t="str">
        <f>_xlfn.IFS('Data set'!$F349&lt;120,"Low",'Data set'!$F349&lt;=200,"Normal",'Data set'!$F349&lt;=240,"Boarderline",'Data set'!$F349&gt;=241,"High")</f>
        <v>Normal</v>
      </c>
      <c r="Q349" s="5" t="str">
        <f>_xlfn.IFS('Data set'!$D349&lt;=18.5,"Low",'Data set'!$D349&lt;=24.9,"Normal",'Data set'!$D349&lt;=29.9,"High",'Data set'!$D349&gt;29.9,"Very High")</f>
        <v>High</v>
      </c>
    </row>
    <row r="350" spans="1:17" x14ac:dyDescent="0.25">
      <c r="A350" s="3">
        <v>77</v>
      </c>
      <c r="B350" s="3" t="s">
        <v>9</v>
      </c>
      <c r="C350" s="4">
        <v>215.79</v>
      </c>
      <c r="D350" s="4">
        <v>18.489999999999998</v>
      </c>
      <c r="E350" s="3" t="s">
        <v>6</v>
      </c>
      <c r="F350" s="3">
        <v>109</v>
      </c>
      <c r="G350" s="3" t="s">
        <v>104</v>
      </c>
      <c r="H350" s="4">
        <v>4.97</v>
      </c>
      <c r="I350" s="3">
        <v>6</v>
      </c>
      <c r="J350" s="3" t="s">
        <v>3</v>
      </c>
      <c r="K350" s="3" t="s">
        <v>4</v>
      </c>
      <c r="L350" s="3">
        <v>136</v>
      </c>
      <c r="M350" s="3">
        <v>73</v>
      </c>
      <c r="N350" s="3" t="s">
        <v>5</v>
      </c>
      <c r="O350" s="3" t="str">
        <f>_xlfn.IFS('Data set'!$H350&lt;5.7,"Normal",'Data set'!$H350&lt;=6.4,"Prediabetes",'Data set'!$H350&lt;=7.5,"Diabetes",'Data set'!$H350&gt;=7.5,"Uncontrolled")</f>
        <v>Normal</v>
      </c>
      <c r="P350" s="3" t="str">
        <f>_xlfn.IFS('Data set'!$F350&lt;120,"Low",'Data set'!$F350&lt;=200,"Normal",'Data set'!$F350&lt;=240,"Boarderline",'Data set'!$F350&gt;=241,"High")</f>
        <v>Low</v>
      </c>
      <c r="Q350" s="3" t="str">
        <f>_xlfn.IFS('Data set'!$D350&lt;=18.5,"Low",'Data set'!$D350&lt;=24.9,"Normal",'Data set'!$D350&lt;=29.9,"High",'Data set'!$D350&gt;29.9,"Very High")</f>
        <v>Low</v>
      </c>
    </row>
    <row r="351" spans="1:17" x14ac:dyDescent="0.25">
      <c r="A351" s="5">
        <v>48</v>
      </c>
      <c r="B351" s="5" t="s">
        <v>0</v>
      </c>
      <c r="C351" s="6">
        <v>177.21</v>
      </c>
      <c r="D351" s="6">
        <v>31</v>
      </c>
      <c r="E351" s="5" t="s">
        <v>1</v>
      </c>
      <c r="F351" s="5">
        <v>230</v>
      </c>
      <c r="G351" s="5" t="s">
        <v>327</v>
      </c>
      <c r="H351" s="6">
        <v>8.59</v>
      </c>
      <c r="I351" s="5">
        <v>7</v>
      </c>
      <c r="J351" s="5" t="s">
        <v>3</v>
      </c>
      <c r="K351" s="5" t="s">
        <v>4</v>
      </c>
      <c r="L351" s="5">
        <v>111</v>
      </c>
      <c r="M351" s="5">
        <v>65</v>
      </c>
      <c r="N351" s="5" t="s">
        <v>23</v>
      </c>
      <c r="O351" s="5" t="str">
        <f>_xlfn.IFS('Data set'!$H351&lt;5.7,"Normal",'Data set'!$H351&lt;=6.4,"Prediabetes",'Data set'!$H351&lt;=7.5,"Diabetes",'Data set'!$H351&gt;=7.5,"Uncontrolled")</f>
        <v>Uncontrolled</v>
      </c>
      <c r="P351" s="5" t="str">
        <f>_xlfn.IFS('Data set'!$F351&lt;120,"Low",'Data set'!$F351&lt;=200,"Normal",'Data set'!$F351&lt;=240,"Boarderline",'Data set'!$F351&gt;=241,"High")</f>
        <v>Boarderline</v>
      </c>
      <c r="Q351" s="5" t="str">
        <f>_xlfn.IFS('Data set'!$D351&lt;=18.5,"Low",'Data set'!$D351&lt;=24.9,"Normal",'Data set'!$D351&lt;=29.9,"High",'Data set'!$D351&gt;29.9,"Very High")</f>
        <v>Very High</v>
      </c>
    </row>
    <row r="352" spans="1:17" x14ac:dyDescent="0.25">
      <c r="A352" s="3">
        <v>48</v>
      </c>
      <c r="B352" s="3" t="s">
        <v>0</v>
      </c>
      <c r="C352" s="4">
        <v>151.69</v>
      </c>
      <c r="D352" s="4">
        <v>31.38</v>
      </c>
      <c r="E352" s="3" t="s">
        <v>14</v>
      </c>
      <c r="F352" s="3">
        <v>227</v>
      </c>
      <c r="G352" s="3" t="s">
        <v>328</v>
      </c>
      <c r="H352" s="4">
        <v>7.98</v>
      </c>
      <c r="I352" s="3">
        <v>3</v>
      </c>
      <c r="J352" s="3" t="s">
        <v>3</v>
      </c>
      <c r="K352" s="3" t="s">
        <v>3</v>
      </c>
      <c r="L352" s="3">
        <v>130</v>
      </c>
      <c r="M352" s="3">
        <v>70</v>
      </c>
      <c r="N352" s="3" t="s">
        <v>23</v>
      </c>
      <c r="O352" s="3" t="str">
        <f>_xlfn.IFS('Data set'!$H352&lt;5.7,"Normal",'Data set'!$H352&lt;=6.4,"Prediabetes",'Data set'!$H352&lt;=7.5,"Diabetes",'Data set'!$H352&gt;=7.5,"Uncontrolled")</f>
        <v>Uncontrolled</v>
      </c>
      <c r="P352" s="3" t="str">
        <f>_xlfn.IFS('Data set'!$F352&lt;120,"Low",'Data set'!$F352&lt;=200,"Normal",'Data set'!$F352&lt;=240,"Boarderline",'Data set'!$F352&gt;=241,"High")</f>
        <v>Boarderline</v>
      </c>
      <c r="Q352" s="3" t="str">
        <f>_xlfn.IFS('Data set'!$D352&lt;=18.5,"Low",'Data set'!$D352&lt;=24.9,"Normal",'Data set'!$D352&lt;=29.9,"High",'Data set'!$D352&gt;29.9,"Very High")</f>
        <v>Very High</v>
      </c>
    </row>
    <row r="353" spans="1:17" x14ac:dyDescent="0.25">
      <c r="A353" s="5">
        <v>19</v>
      </c>
      <c r="B353" s="5" t="s">
        <v>0</v>
      </c>
      <c r="C353" s="6">
        <v>295.37</v>
      </c>
      <c r="D353" s="6">
        <v>21.95</v>
      </c>
      <c r="E353" s="5" t="s">
        <v>10</v>
      </c>
      <c r="F353" s="5">
        <v>282</v>
      </c>
      <c r="G353" s="5" t="s">
        <v>329</v>
      </c>
      <c r="H353" s="6">
        <v>4.24</v>
      </c>
      <c r="I353" s="5">
        <v>2</v>
      </c>
      <c r="J353" s="5" t="s">
        <v>3</v>
      </c>
      <c r="K353" s="5" t="s">
        <v>3</v>
      </c>
      <c r="L353" s="5">
        <v>133</v>
      </c>
      <c r="M353" s="5">
        <v>69</v>
      </c>
      <c r="N353" s="5" t="s">
        <v>17</v>
      </c>
      <c r="O353" s="5" t="str">
        <f>_xlfn.IFS('Data set'!$H353&lt;5.7,"Normal",'Data set'!$H353&lt;=6.4,"Prediabetes",'Data set'!$H353&lt;=7.5,"Diabetes",'Data set'!$H353&gt;=7.5,"Uncontrolled")</f>
        <v>Normal</v>
      </c>
      <c r="P353" s="5" t="str">
        <f>_xlfn.IFS('Data set'!$F353&lt;120,"Low",'Data set'!$F353&lt;=200,"Normal",'Data set'!$F353&lt;=240,"Boarderline",'Data set'!$F353&gt;=241,"High")</f>
        <v>High</v>
      </c>
      <c r="Q353" s="5" t="str">
        <f>_xlfn.IFS('Data set'!$D353&lt;=18.5,"Low",'Data set'!$D353&lt;=24.9,"Normal",'Data set'!$D353&lt;=29.9,"High",'Data set'!$D353&gt;29.9,"Very High")</f>
        <v>Normal</v>
      </c>
    </row>
    <row r="354" spans="1:17" x14ac:dyDescent="0.25">
      <c r="A354" s="3">
        <v>49</v>
      </c>
      <c r="B354" s="3" t="s">
        <v>0</v>
      </c>
      <c r="C354" s="4">
        <v>232.11</v>
      </c>
      <c r="D354" s="4">
        <v>18.579999999999998</v>
      </c>
      <c r="E354" s="3" t="s">
        <v>1</v>
      </c>
      <c r="F354" s="3">
        <v>293</v>
      </c>
      <c r="G354" s="3" t="s">
        <v>330</v>
      </c>
      <c r="H354" s="4">
        <v>6.71</v>
      </c>
      <c r="I354" s="3">
        <v>5</v>
      </c>
      <c r="J354" s="3" t="s">
        <v>3</v>
      </c>
      <c r="K354" s="3" t="s">
        <v>3</v>
      </c>
      <c r="L354" s="3">
        <v>114</v>
      </c>
      <c r="M354" s="3">
        <v>67</v>
      </c>
      <c r="N354" s="3" t="s">
        <v>23</v>
      </c>
      <c r="O354" s="3" t="str">
        <f>_xlfn.IFS('Data set'!$H354&lt;5.7,"Normal",'Data set'!$H354&lt;=6.4,"Prediabetes",'Data set'!$H354&lt;=7.5,"Diabetes",'Data set'!$H354&gt;=7.5,"Uncontrolled")</f>
        <v>Diabetes</v>
      </c>
      <c r="P354" s="3" t="str">
        <f>_xlfn.IFS('Data set'!$F354&lt;120,"Low",'Data set'!$F354&lt;=200,"Normal",'Data set'!$F354&lt;=240,"Boarderline",'Data set'!$F354&gt;=241,"High")</f>
        <v>High</v>
      </c>
      <c r="Q354" s="3" t="str">
        <f>_xlfn.IFS('Data set'!$D354&lt;=18.5,"Low",'Data set'!$D354&lt;=24.9,"Normal",'Data set'!$D354&lt;=29.9,"High",'Data set'!$D354&gt;29.9,"Very High")</f>
        <v>Normal</v>
      </c>
    </row>
    <row r="355" spans="1:17" x14ac:dyDescent="0.25">
      <c r="A355" s="5">
        <v>80</v>
      </c>
      <c r="B355" s="5" t="s">
        <v>9</v>
      </c>
      <c r="C355" s="6">
        <v>142.58000000000001</v>
      </c>
      <c r="D355" s="6">
        <v>34.51</v>
      </c>
      <c r="E355" s="5" t="s">
        <v>1</v>
      </c>
      <c r="F355" s="5">
        <v>250</v>
      </c>
      <c r="G355" s="5" t="s">
        <v>331</v>
      </c>
      <c r="H355" s="6">
        <v>8.31</v>
      </c>
      <c r="I355" s="5">
        <v>6</v>
      </c>
      <c r="J355" s="5" t="s">
        <v>4</v>
      </c>
      <c r="K355" s="5" t="s">
        <v>4</v>
      </c>
      <c r="L355" s="5">
        <v>99</v>
      </c>
      <c r="M355" s="5">
        <v>61</v>
      </c>
      <c r="N355" s="5" t="s">
        <v>5</v>
      </c>
      <c r="O355" s="5" t="str">
        <f>_xlfn.IFS('Data set'!$H355&lt;5.7,"Normal",'Data set'!$H355&lt;=6.4,"Prediabetes",'Data set'!$H355&lt;=7.5,"Diabetes",'Data set'!$H355&gt;=7.5,"Uncontrolled")</f>
        <v>Uncontrolled</v>
      </c>
      <c r="P355" s="5" t="str">
        <f>_xlfn.IFS('Data set'!$F355&lt;120,"Low",'Data set'!$F355&lt;=200,"Normal",'Data set'!$F355&lt;=240,"Boarderline",'Data set'!$F355&gt;=241,"High")</f>
        <v>High</v>
      </c>
      <c r="Q355" s="5" t="str">
        <f>_xlfn.IFS('Data set'!$D355&lt;=18.5,"Low",'Data set'!$D355&lt;=24.9,"Normal",'Data set'!$D355&lt;=29.9,"High",'Data set'!$D355&gt;29.9,"Very High")</f>
        <v>Very High</v>
      </c>
    </row>
    <row r="356" spans="1:17" x14ac:dyDescent="0.25">
      <c r="A356" s="3">
        <v>72</v>
      </c>
      <c r="B356" s="3" t="s">
        <v>0</v>
      </c>
      <c r="C356" s="4">
        <v>254.09</v>
      </c>
      <c r="D356" s="4">
        <v>22.38</v>
      </c>
      <c r="E356" s="3" t="s">
        <v>10</v>
      </c>
      <c r="F356" s="3">
        <v>230</v>
      </c>
      <c r="G356" s="3" t="s">
        <v>332</v>
      </c>
      <c r="H356" s="4">
        <v>4.6500000000000004</v>
      </c>
      <c r="I356" s="3">
        <v>4</v>
      </c>
      <c r="J356" s="3" t="s">
        <v>4</v>
      </c>
      <c r="K356" s="3" t="s">
        <v>4</v>
      </c>
      <c r="L356" s="3">
        <v>134</v>
      </c>
      <c r="M356" s="3">
        <v>71</v>
      </c>
      <c r="N356" s="3" t="s">
        <v>5</v>
      </c>
      <c r="O356" s="3" t="str">
        <f>_xlfn.IFS('Data set'!$H356&lt;5.7,"Normal",'Data set'!$H356&lt;=6.4,"Prediabetes",'Data set'!$H356&lt;=7.5,"Diabetes",'Data set'!$H356&gt;=7.5,"Uncontrolled")</f>
        <v>Normal</v>
      </c>
      <c r="P356" s="3" t="str">
        <f>_xlfn.IFS('Data set'!$F356&lt;120,"Low",'Data set'!$F356&lt;=200,"Normal",'Data set'!$F356&lt;=240,"Boarderline",'Data set'!$F356&gt;=241,"High")</f>
        <v>Boarderline</v>
      </c>
      <c r="Q356" s="3" t="str">
        <f>_xlfn.IFS('Data set'!$D356&lt;=18.5,"Low",'Data set'!$D356&lt;=24.9,"Normal",'Data set'!$D356&lt;=29.9,"High",'Data set'!$D356&gt;29.9,"Very High")</f>
        <v>Normal</v>
      </c>
    </row>
    <row r="357" spans="1:17" x14ac:dyDescent="0.25">
      <c r="A357" s="5">
        <v>54</v>
      </c>
      <c r="B357" s="5" t="s">
        <v>0</v>
      </c>
      <c r="C357" s="6">
        <v>253.01</v>
      </c>
      <c r="D357" s="6">
        <v>24.54</v>
      </c>
      <c r="E357" s="5" t="s">
        <v>10</v>
      </c>
      <c r="F357" s="5">
        <v>230</v>
      </c>
      <c r="G357" s="5" t="s">
        <v>333</v>
      </c>
      <c r="H357" s="6">
        <v>5.29</v>
      </c>
      <c r="I357" s="5">
        <v>2</v>
      </c>
      <c r="J357" s="5" t="s">
        <v>4</v>
      </c>
      <c r="K357" s="5" t="s">
        <v>3</v>
      </c>
      <c r="L357" s="5">
        <v>125</v>
      </c>
      <c r="M357" s="5">
        <v>72</v>
      </c>
      <c r="N357" s="5" t="s">
        <v>8</v>
      </c>
      <c r="O357" s="5" t="str">
        <f>_xlfn.IFS('Data set'!$H357&lt;5.7,"Normal",'Data set'!$H357&lt;=6.4,"Prediabetes",'Data set'!$H357&lt;=7.5,"Diabetes",'Data set'!$H357&gt;=7.5,"Uncontrolled")</f>
        <v>Normal</v>
      </c>
      <c r="P357" s="5" t="str">
        <f>_xlfn.IFS('Data set'!$F357&lt;120,"Low",'Data set'!$F357&lt;=200,"Normal",'Data set'!$F357&lt;=240,"Boarderline",'Data set'!$F357&gt;=241,"High")</f>
        <v>Boarderline</v>
      </c>
      <c r="Q357" s="5" t="str">
        <f>_xlfn.IFS('Data set'!$D357&lt;=18.5,"Low",'Data set'!$D357&lt;=24.9,"Normal",'Data set'!$D357&lt;=29.9,"High",'Data set'!$D357&gt;29.9,"Very High")</f>
        <v>Normal</v>
      </c>
    </row>
    <row r="358" spans="1:17" x14ac:dyDescent="0.25">
      <c r="A358" s="3">
        <v>27</v>
      </c>
      <c r="B358" s="3" t="s">
        <v>9</v>
      </c>
      <c r="C358" s="4">
        <v>141.55000000000001</v>
      </c>
      <c r="D358" s="4">
        <v>22.7</v>
      </c>
      <c r="E358" s="3" t="s">
        <v>1</v>
      </c>
      <c r="F358" s="3">
        <v>146</v>
      </c>
      <c r="G358" s="3" t="s">
        <v>334</v>
      </c>
      <c r="H358" s="4">
        <v>9.73</v>
      </c>
      <c r="I358" s="3">
        <v>1</v>
      </c>
      <c r="J358" s="3" t="s">
        <v>4</v>
      </c>
      <c r="K358" s="3" t="s">
        <v>3</v>
      </c>
      <c r="L358" s="3">
        <v>107</v>
      </c>
      <c r="M358" s="3">
        <v>84</v>
      </c>
      <c r="N358" s="3" t="s">
        <v>17</v>
      </c>
      <c r="O358" s="3" t="str">
        <f>_xlfn.IFS('Data set'!$H358&lt;5.7,"Normal",'Data set'!$H358&lt;=6.4,"Prediabetes",'Data set'!$H358&lt;=7.5,"Diabetes",'Data set'!$H358&gt;=7.5,"Uncontrolled")</f>
        <v>Uncontrolled</v>
      </c>
      <c r="P358" s="3" t="str">
        <f>_xlfn.IFS('Data set'!$F358&lt;120,"Low",'Data set'!$F358&lt;=200,"Normal",'Data set'!$F358&lt;=240,"Boarderline",'Data set'!$F358&gt;=241,"High")</f>
        <v>Normal</v>
      </c>
      <c r="Q358" s="3" t="str">
        <f>_xlfn.IFS('Data set'!$D358&lt;=18.5,"Low",'Data set'!$D358&lt;=24.9,"Normal",'Data set'!$D358&lt;=29.9,"High",'Data set'!$D358&gt;29.9,"Very High")</f>
        <v>Normal</v>
      </c>
    </row>
    <row r="359" spans="1:17" x14ac:dyDescent="0.25">
      <c r="A359" s="5">
        <v>76</v>
      </c>
      <c r="B359" s="5" t="s">
        <v>9</v>
      </c>
      <c r="C359" s="6">
        <v>170.34</v>
      </c>
      <c r="D359" s="6">
        <v>30.24</v>
      </c>
      <c r="E359" s="5" t="s">
        <v>6</v>
      </c>
      <c r="F359" s="5">
        <v>256</v>
      </c>
      <c r="G359" s="5" t="s">
        <v>200</v>
      </c>
      <c r="H359" s="6">
        <v>7.08</v>
      </c>
      <c r="I359" s="5">
        <v>5</v>
      </c>
      <c r="J359" s="5" t="s">
        <v>4</v>
      </c>
      <c r="K359" s="5" t="s">
        <v>4</v>
      </c>
      <c r="L359" s="5">
        <v>94</v>
      </c>
      <c r="M359" s="5">
        <v>89</v>
      </c>
      <c r="N359" s="5" t="s">
        <v>5</v>
      </c>
      <c r="O359" s="5" t="str">
        <f>_xlfn.IFS('Data set'!$H359&lt;5.7,"Normal",'Data set'!$H359&lt;=6.4,"Prediabetes",'Data set'!$H359&lt;=7.5,"Diabetes",'Data set'!$H359&gt;=7.5,"Uncontrolled")</f>
        <v>Diabetes</v>
      </c>
      <c r="P359" s="5" t="str">
        <f>_xlfn.IFS('Data set'!$F359&lt;120,"Low",'Data set'!$F359&lt;=200,"Normal",'Data set'!$F359&lt;=240,"Boarderline",'Data set'!$F359&gt;=241,"High")</f>
        <v>High</v>
      </c>
      <c r="Q359" s="5" t="str">
        <f>_xlfn.IFS('Data set'!$D359&lt;=18.5,"Low",'Data set'!$D359&lt;=24.9,"Normal",'Data set'!$D359&lt;=29.9,"High",'Data set'!$D359&gt;29.9,"Very High")</f>
        <v>Very High</v>
      </c>
    </row>
    <row r="360" spans="1:17" x14ac:dyDescent="0.25">
      <c r="A360" s="3">
        <v>78</v>
      </c>
      <c r="B360" s="3" t="s">
        <v>0</v>
      </c>
      <c r="C360" s="4">
        <v>197.61</v>
      </c>
      <c r="D360" s="4">
        <v>33.409999999999997</v>
      </c>
      <c r="E360" s="3" t="s">
        <v>10</v>
      </c>
      <c r="F360" s="3">
        <v>260</v>
      </c>
      <c r="G360" s="3" t="s">
        <v>335</v>
      </c>
      <c r="H360" s="4">
        <v>5.23</v>
      </c>
      <c r="I360" s="3">
        <v>2</v>
      </c>
      <c r="J360" s="3" t="s">
        <v>3</v>
      </c>
      <c r="K360" s="3" t="s">
        <v>4</v>
      </c>
      <c r="L360" s="3">
        <v>99</v>
      </c>
      <c r="M360" s="3">
        <v>70</v>
      </c>
      <c r="N360" s="3" t="s">
        <v>5</v>
      </c>
      <c r="O360" s="3" t="str">
        <f>_xlfn.IFS('Data set'!$H360&lt;5.7,"Normal",'Data set'!$H360&lt;=6.4,"Prediabetes",'Data set'!$H360&lt;=7.5,"Diabetes",'Data set'!$H360&gt;=7.5,"Uncontrolled")</f>
        <v>Normal</v>
      </c>
      <c r="P360" s="3" t="str">
        <f>_xlfn.IFS('Data set'!$F360&lt;120,"Low",'Data set'!$F360&lt;=200,"Normal",'Data set'!$F360&lt;=240,"Boarderline",'Data set'!$F360&gt;=241,"High")</f>
        <v>High</v>
      </c>
      <c r="Q360" s="3" t="str">
        <f>_xlfn.IFS('Data set'!$D360&lt;=18.5,"Low",'Data set'!$D360&lt;=24.9,"Normal",'Data set'!$D360&lt;=29.9,"High",'Data set'!$D360&gt;29.9,"Very High")</f>
        <v>Very High</v>
      </c>
    </row>
    <row r="361" spans="1:17" x14ac:dyDescent="0.25">
      <c r="A361" s="5">
        <v>76</v>
      </c>
      <c r="B361" s="5" t="s">
        <v>9</v>
      </c>
      <c r="C361" s="6">
        <v>270.41000000000003</v>
      </c>
      <c r="D361" s="6">
        <v>31.96</v>
      </c>
      <c r="E361" s="5" t="s">
        <v>1</v>
      </c>
      <c r="F361" s="5">
        <v>260</v>
      </c>
      <c r="G361" s="5" t="s">
        <v>95</v>
      </c>
      <c r="H361" s="6">
        <v>4.67</v>
      </c>
      <c r="I361" s="5">
        <v>5</v>
      </c>
      <c r="J361" s="5" t="s">
        <v>3</v>
      </c>
      <c r="K361" s="5" t="s">
        <v>3</v>
      </c>
      <c r="L361" s="5">
        <v>103</v>
      </c>
      <c r="M361" s="5">
        <v>76</v>
      </c>
      <c r="N361" s="5" t="s">
        <v>5</v>
      </c>
      <c r="O361" s="5" t="str">
        <f>_xlfn.IFS('Data set'!$H361&lt;5.7,"Normal",'Data set'!$H361&lt;=6.4,"Prediabetes",'Data set'!$H361&lt;=7.5,"Diabetes",'Data set'!$H361&gt;=7.5,"Uncontrolled")</f>
        <v>Normal</v>
      </c>
      <c r="P361" s="5" t="str">
        <f>_xlfn.IFS('Data set'!$F361&lt;120,"Low",'Data set'!$F361&lt;=200,"Normal",'Data set'!$F361&lt;=240,"Boarderline",'Data set'!$F361&gt;=241,"High")</f>
        <v>High</v>
      </c>
      <c r="Q361" s="5" t="str">
        <f>_xlfn.IFS('Data set'!$D361&lt;=18.5,"Low",'Data set'!$D361&lt;=24.9,"Normal",'Data set'!$D361&lt;=29.9,"High",'Data set'!$D361&gt;29.9,"Very High")</f>
        <v>Very High</v>
      </c>
    </row>
    <row r="362" spans="1:17" x14ac:dyDescent="0.25">
      <c r="A362" s="3">
        <v>73</v>
      </c>
      <c r="B362" s="3" t="s">
        <v>0</v>
      </c>
      <c r="C362" s="4">
        <v>296.83999999999997</v>
      </c>
      <c r="D362" s="4">
        <v>36.119999999999997</v>
      </c>
      <c r="E362" s="3" t="s">
        <v>1</v>
      </c>
      <c r="F362" s="3">
        <v>113</v>
      </c>
      <c r="G362" s="3" t="s">
        <v>336</v>
      </c>
      <c r="H362" s="4">
        <v>8.42</v>
      </c>
      <c r="I362" s="3">
        <v>6</v>
      </c>
      <c r="J362" s="3" t="s">
        <v>3</v>
      </c>
      <c r="K362" s="3" t="s">
        <v>3</v>
      </c>
      <c r="L362" s="3">
        <v>110</v>
      </c>
      <c r="M362" s="3">
        <v>78</v>
      </c>
      <c r="N362" s="3" t="s">
        <v>5</v>
      </c>
      <c r="O362" s="3" t="str">
        <f>_xlfn.IFS('Data set'!$H362&lt;5.7,"Normal",'Data set'!$H362&lt;=6.4,"Prediabetes",'Data set'!$H362&lt;=7.5,"Diabetes",'Data set'!$H362&gt;=7.5,"Uncontrolled")</f>
        <v>Uncontrolled</v>
      </c>
      <c r="P362" s="3" t="str">
        <f>_xlfn.IFS('Data set'!$F362&lt;120,"Low",'Data set'!$F362&lt;=200,"Normal",'Data set'!$F362&lt;=240,"Boarderline",'Data set'!$F362&gt;=241,"High")</f>
        <v>Low</v>
      </c>
      <c r="Q362" s="3" t="str">
        <f>_xlfn.IFS('Data set'!$D362&lt;=18.5,"Low",'Data set'!$D362&lt;=24.9,"Normal",'Data set'!$D362&lt;=29.9,"High",'Data set'!$D362&gt;29.9,"Very High")</f>
        <v>Very High</v>
      </c>
    </row>
    <row r="363" spans="1:17" x14ac:dyDescent="0.25">
      <c r="A363" s="5">
        <v>56</v>
      </c>
      <c r="B363" s="5" t="s">
        <v>0</v>
      </c>
      <c r="C363" s="6">
        <v>107</v>
      </c>
      <c r="D363" s="6">
        <v>27.81</v>
      </c>
      <c r="E363" s="5" t="s">
        <v>10</v>
      </c>
      <c r="F363" s="5">
        <v>254</v>
      </c>
      <c r="G363" s="5" t="s">
        <v>337</v>
      </c>
      <c r="H363" s="6">
        <v>7.84</v>
      </c>
      <c r="I363" s="5">
        <v>1</v>
      </c>
      <c r="J363" s="5" t="s">
        <v>4</v>
      </c>
      <c r="K363" s="5" t="s">
        <v>3</v>
      </c>
      <c r="L363" s="5">
        <v>125</v>
      </c>
      <c r="M363" s="5">
        <v>73</v>
      </c>
      <c r="N363" s="5" t="s">
        <v>8</v>
      </c>
      <c r="O363" s="5" t="str">
        <f>_xlfn.IFS('Data set'!$H363&lt;5.7,"Normal",'Data set'!$H363&lt;=6.4,"Prediabetes",'Data set'!$H363&lt;=7.5,"Diabetes",'Data set'!$H363&gt;=7.5,"Uncontrolled")</f>
        <v>Uncontrolled</v>
      </c>
      <c r="P363" s="5" t="str">
        <f>_xlfn.IFS('Data set'!$F363&lt;120,"Low",'Data set'!$F363&lt;=200,"Normal",'Data set'!$F363&lt;=240,"Boarderline",'Data set'!$F363&gt;=241,"High")</f>
        <v>High</v>
      </c>
      <c r="Q363" s="5" t="str">
        <f>_xlfn.IFS('Data set'!$D363&lt;=18.5,"Low",'Data set'!$D363&lt;=24.9,"Normal",'Data set'!$D363&lt;=29.9,"High",'Data set'!$D363&gt;29.9,"Very High")</f>
        <v>High</v>
      </c>
    </row>
    <row r="364" spans="1:17" x14ac:dyDescent="0.25">
      <c r="A364" s="3">
        <v>44</v>
      </c>
      <c r="B364" s="3" t="s">
        <v>9</v>
      </c>
      <c r="C364" s="4">
        <v>134.19</v>
      </c>
      <c r="D364" s="4">
        <v>30.06</v>
      </c>
      <c r="E364" s="3" t="s">
        <v>10</v>
      </c>
      <c r="F364" s="3">
        <v>200</v>
      </c>
      <c r="G364" s="3" t="s">
        <v>338</v>
      </c>
      <c r="H364" s="4">
        <v>9.1199999999999992</v>
      </c>
      <c r="I364" s="3">
        <v>3</v>
      </c>
      <c r="J364" s="3" t="s">
        <v>4</v>
      </c>
      <c r="K364" s="3" t="s">
        <v>3</v>
      </c>
      <c r="L364" s="3">
        <v>108</v>
      </c>
      <c r="M364" s="3">
        <v>61</v>
      </c>
      <c r="N364" s="3" t="s">
        <v>23</v>
      </c>
      <c r="O364" s="3" t="str">
        <f>_xlfn.IFS('Data set'!$H364&lt;5.7,"Normal",'Data set'!$H364&lt;=6.4,"Prediabetes",'Data set'!$H364&lt;=7.5,"Diabetes",'Data set'!$H364&gt;=7.5,"Uncontrolled")</f>
        <v>Uncontrolled</v>
      </c>
      <c r="P364" s="3" t="str">
        <f>_xlfn.IFS('Data set'!$F364&lt;120,"Low",'Data set'!$F364&lt;=200,"Normal",'Data set'!$F364&lt;=240,"Boarderline",'Data set'!$F364&gt;=241,"High")</f>
        <v>Normal</v>
      </c>
      <c r="Q364" s="3" t="str">
        <f>_xlfn.IFS('Data set'!$D364&lt;=18.5,"Low",'Data set'!$D364&lt;=24.9,"Normal",'Data set'!$D364&lt;=29.9,"High",'Data set'!$D364&gt;29.9,"Very High")</f>
        <v>Very High</v>
      </c>
    </row>
    <row r="365" spans="1:17" x14ac:dyDescent="0.25">
      <c r="A365" s="5">
        <v>66</v>
      </c>
      <c r="B365" s="5" t="s">
        <v>0</v>
      </c>
      <c r="C365" s="6">
        <v>242.58</v>
      </c>
      <c r="D365" s="6">
        <v>18.21</v>
      </c>
      <c r="E365" s="5" t="s">
        <v>14</v>
      </c>
      <c r="F365" s="5">
        <v>183</v>
      </c>
      <c r="G365" s="5" t="s">
        <v>339</v>
      </c>
      <c r="H365" s="6">
        <v>9.9499999999999993</v>
      </c>
      <c r="I365" s="5">
        <v>3</v>
      </c>
      <c r="J365" s="5" t="s">
        <v>4</v>
      </c>
      <c r="K365" s="5" t="s">
        <v>4</v>
      </c>
      <c r="L365" s="5">
        <v>132</v>
      </c>
      <c r="M365" s="5">
        <v>86</v>
      </c>
      <c r="N365" s="5" t="s">
        <v>21</v>
      </c>
      <c r="O365" s="5" t="str">
        <f>_xlfn.IFS('Data set'!$H365&lt;5.7,"Normal",'Data set'!$H365&lt;=6.4,"Prediabetes",'Data set'!$H365&lt;=7.5,"Diabetes",'Data set'!$H365&gt;=7.5,"Uncontrolled")</f>
        <v>Uncontrolled</v>
      </c>
      <c r="P365" s="5" t="str">
        <f>_xlfn.IFS('Data set'!$F365&lt;120,"Low",'Data set'!$F365&lt;=200,"Normal",'Data set'!$F365&lt;=240,"Boarderline",'Data set'!$F365&gt;=241,"High")</f>
        <v>Normal</v>
      </c>
      <c r="Q365" s="5" t="str">
        <f>_xlfn.IFS('Data set'!$D365&lt;=18.5,"Low",'Data set'!$D365&lt;=24.9,"Normal",'Data set'!$D365&lt;=29.9,"High",'Data set'!$D365&gt;29.9,"Very High")</f>
        <v>Low</v>
      </c>
    </row>
    <row r="366" spans="1:17" x14ac:dyDescent="0.25">
      <c r="A366" s="3">
        <v>25</v>
      </c>
      <c r="B366" s="3" t="s">
        <v>0</v>
      </c>
      <c r="C366" s="4">
        <v>294.01</v>
      </c>
      <c r="D366" s="4">
        <v>23.8</v>
      </c>
      <c r="E366" s="3" t="s">
        <v>10</v>
      </c>
      <c r="F366" s="3">
        <v>133</v>
      </c>
      <c r="G366" s="3" t="s">
        <v>340</v>
      </c>
      <c r="H366" s="4">
        <v>5.82</v>
      </c>
      <c r="I366" s="3">
        <v>0</v>
      </c>
      <c r="J366" s="3" t="s">
        <v>3</v>
      </c>
      <c r="K366" s="3" t="s">
        <v>3</v>
      </c>
      <c r="L366" s="3">
        <v>95</v>
      </c>
      <c r="M366" s="3">
        <v>78</v>
      </c>
      <c r="N366" s="3" t="s">
        <v>17</v>
      </c>
      <c r="O366" s="3" t="str">
        <f>_xlfn.IFS('Data set'!$H366&lt;5.7,"Normal",'Data set'!$H366&lt;=6.4,"Prediabetes",'Data set'!$H366&lt;=7.5,"Diabetes",'Data set'!$H366&gt;=7.5,"Uncontrolled")</f>
        <v>Prediabetes</v>
      </c>
      <c r="P366" s="3" t="str">
        <f>_xlfn.IFS('Data set'!$F366&lt;120,"Low",'Data set'!$F366&lt;=200,"Normal",'Data set'!$F366&lt;=240,"Boarderline",'Data set'!$F366&gt;=241,"High")</f>
        <v>Normal</v>
      </c>
      <c r="Q366" s="3" t="str">
        <f>_xlfn.IFS('Data set'!$D366&lt;=18.5,"Low",'Data set'!$D366&lt;=24.9,"Normal",'Data set'!$D366&lt;=29.9,"High",'Data set'!$D366&gt;29.9,"Very High")</f>
        <v>Normal</v>
      </c>
    </row>
    <row r="367" spans="1:17" x14ac:dyDescent="0.25">
      <c r="A367" s="5">
        <v>68</v>
      </c>
      <c r="B367" s="5" t="s">
        <v>0</v>
      </c>
      <c r="C367" s="6">
        <v>157.79</v>
      </c>
      <c r="D367" s="6">
        <v>23.67</v>
      </c>
      <c r="E367" s="5" t="s">
        <v>6</v>
      </c>
      <c r="F367" s="5">
        <v>250</v>
      </c>
      <c r="G367" s="5" t="s">
        <v>107</v>
      </c>
      <c r="H367" s="6">
        <v>6.46</v>
      </c>
      <c r="I367" s="5">
        <v>5</v>
      </c>
      <c r="J367" s="5" t="s">
        <v>3</v>
      </c>
      <c r="K367" s="5" t="s">
        <v>4</v>
      </c>
      <c r="L367" s="5">
        <v>93</v>
      </c>
      <c r="M367" s="5">
        <v>90</v>
      </c>
      <c r="N367" s="5" t="s">
        <v>21</v>
      </c>
      <c r="O367" s="5" t="str">
        <f>_xlfn.IFS('Data set'!$H367&lt;5.7,"Normal",'Data set'!$H367&lt;=6.4,"Prediabetes",'Data set'!$H367&lt;=7.5,"Diabetes",'Data set'!$H367&gt;=7.5,"Uncontrolled")</f>
        <v>Diabetes</v>
      </c>
      <c r="P367" s="5" t="str">
        <f>_xlfn.IFS('Data set'!$F367&lt;120,"Low",'Data set'!$F367&lt;=200,"Normal",'Data set'!$F367&lt;=240,"Boarderline",'Data set'!$F367&gt;=241,"High")</f>
        <v>High</v>
      </c>
      <c r="Q367" s="5" t="str">
        <f>_xlfn.IFS('Data set'!$D367&lt;=18.5,"Low",'Data set'!$D367&lt;=24.9,"Normal",'Data set'!$D367&lt;=29.9,"High",'Data set'!$D367&gt;29.9,"Very High")</f>
        <v>Normal</v>
      </c>
    </row>
    <row r="368" spans="1:17" x14ac:dyDescent="0.25">
      <c r="A368" s="3">
        <v>40</v>
      </c>
      <c r="B368" s="3" t="s">
        <v>0</v>
      </c>
      <c r="C368" s="4">
        <v>170.51</v>
      </c>
      <c r="D368" s="4">
        <v>18.27</v>
      </c>
      <c r="E368" s="3" t="s">
        <v>10</v>
      </c>
      <c r="F368" s="3">
        <v>237</v>
      </c>
      <c r="G368" s="3" t="s">
        <v>341</v>
      </c>
      <c r="H368" s="4">
        <v>7.69</v>
      </c>
      <c r="I368" s="3">
        <v>5</v>
      </c>
      <c r="J368" s="3" t="s">
        <v>3</v>
      </c>
      <c r="K368" s="3" t="s">
        <v>3</v>
      </c>
      <c r="L368" s="3">
        <v>97</v>
      </c>
      <c r="M368" s="3">
        <v>65</v>
      </c>
      <c r="N368" s="3" t="s">
        <v>12</v>
      </c>
      <c r="O368" s="3" t="str">
        <f>_xlfn.IFS('Data set'!$H368&lt;5.7,"Normal",'Data set'!$H368&lt;=6.4,"Prediabetes",'Data set'!$H368&lt;=7.5,"Diabetes",'Data set'!$H368&gt;=7.5,"Uncontrolled")</f>
        <v>Uncontrolled</v>
      </c>
      <c r="P368" s="3" t="str">
        <f>_xlfn.IFS('Data set'!$F368&lt;120,"Low",'Data set'!$F368&lt;=200,"Normal",'Data set'!$F368&lt;=240,"Boarderline",'Data set'!$F368&gt;=241,"High")</f>
        <v>Boarderline</v>
      </c>
      <c r="Q368" s="3" t="str">
        <f>_xlfn.IFS('Data set'!$D368&lt;=18.5,"Low",'Data set'!$D368&lt;=24.9,"Normal",'Data set'!$D368&lt;=29.9,"High",'Data set'!$D368&gt;29.9,"Very High")</f>
        <v>Low</v>
      </c>
    </row>
    <row r="369" spans="1:17" x14ac:dyDescent="0.25">
      <c r="A369" s="5">
        <v>61</v>
      </c>
      <c r="B369" s="5" t="s">
        <v>9</v>
      </c>
      <c r="C369" s="6">
        <v>265.5</v>
      </c>
      <c r="D369" s="6">
        <v>20.68</v>
      </c>
      <c r="E369" s="5" t="s">
        <v>6</v>
      </c>
      <c r="F369" s="5">
        <v>299</v>
      </c>
      <c r="G369" s="5" t="s">
        <v>342</v>
      </c>
      <c r="H369" s="6">
        <v>9.56</v>
      </c>
      <c r="I369" s="5">
        <v>0</v>
      </c>
      <c r="J369" s="5" t="s">
        <v>3</v>
      </c>
      <c r="K369" s="5" t="s">
        <v>3</v>
      </c>
      <c r="L369" s="5">
        <v>139</v>
      </c>
      <c r="M369" s="5">
        <v>61</v>
      </c>
      <c r="N369" s="5" t="s">
        <v>21</v>
      </c>
      <c r="O369" s="5" t="str">
        <f>_xlfn.IFS('Data set'!$H369&lt;5.7,"Normal",'Data set'!$H369&lt;=6.4,"Prediabetes",'Data set'!$H369&lt;=7.5,"Diabetes",'Data set'!$H369&gt;=7.5,"Uncontrolled")</f>
        <v>Uncontrolled</v>
      </c>
      <c r="P369" s="5" t="str">
        <f>_xlfn.IFS('Data set'!$F369&lt;120,"Low",'Data set'!$F369&lt;=200,"Normal",'Data set'!$F369&lt;=240,"Boarderline",'Data set'!$F369&gt;=241,"High")</f>
        <v>High</v>
      </c>
      <c r="Q369" s="5" t="str">
        <f>_xlfn.IFS('Data set'!$D369&lt;=18.5,"Low",'Data set'!$D369&lt;=24.9,"Normal",'Data set'!$D369&lt;=29.9,"High",'Data set'!$D369&gt;29.9,"Very High")</f>
        <v>Normal</v>
      </c>
    </row>
    <row r="370" spans="1:17" x14ac:dyDescent="0.25">
      <c r="A370" s="3">
        <v>67</v>
      </c>
      <c r="B370" s="3" t="s">
        <v>9</v>
      </c>
      <c r="C370" s="4">
        <v>218.61</v>
      </c>
      <c r="D370" s="4">
        <v>36.24</v>
      </c>
      <c r="E370" s="3" t="s">
        <v>10</v>
      </c>
      <c r="F370" s="3">
        <v>125</v>
      </c>
      <c r="G370" s="3" t="s">
        <v>343</v>
      </c>
      <c r="H370" s="4">
        <v>8.16</v>
      </c>
      <c r="I370" s="3">
        <v>4</v>
      </c>
      <c r="J370" s="3" t="s">
        <v>4</v>
      </c>
      <c r="K370" s="3" t="s">
        <v>4</v>
      </c>
      <c r="L370" s="3">
        <v>105</v>
      </c>
      <c r="M370" s="3">
        <v>70</v>
      </c>
      <c r="N370" s="3" t="s">
        <v>21</v>
      </c>
      <c r="O370" s="3" t="str">
        <f>_xlfn.IFS('Data set'!$H370&lt;5.7,"Normal",'Data set'!$H370&lt;=6.4,"Prediabetes",'Data set'!$H370&lt;=7.5,"Diabetes",'Data set'!$H370&gt;=7.5,"Uncontrolled")</f>
        <v>Uncontrolled</v>
      </c>
      <c r="P370" s="3" t="str">
        <f>_xlfn.IFS('Data set'!$F370&lt;120,"Low",'Data set'!$F370&lt;=200,"Normal",'Data set'!$F370&lt;=240,"Boarderline",'Data set'!$F370&gt;=241,"High")</f>
        <v>Normal</v>
      </c>
      <c r="Q370" s="3" t="str">
        <f>_xlfn.IFS('Data set'!$D370&lt;=18.5,"Low",'Data set'!$D370&lt;=24.9,"Normal",'Data set'!$D370&lt;=29.9,"High",'Data set'!$D370&gt;29.9,"Very High")</f>
        <v>Very High</v>
      </c>
    </row>
    <row r="371" spans="1:17" x14ac:dyDescent="0.25">
      <c r="A371" s="5">
        <v>26</v>
      </c>
      <c r="B371" s="5" t="s">
        <v>9</v>
      </c>
      <c r="C371" s="6">
        <v>196.7</v>
      </c>
      <c r="D371" s="6">
        <v>37.200000000000003</v>
      </c>
      <c r="E371" s="5" t="s">
        <v>10</v>
      </c>
      <c r="F371" s="5">
        <v>228</v>
      </c>
      <c r="G371" s="5" t="s">
        <v>344</v>
      </c>
      <c r="H371" s="6">
        <v>7.67</v>
      </c>
      <c r="I371" s="5">
        <v>0</v>
      </c>
      <c r="J371" s="5" t="s">
        <v>4</v>
      </c>
      <c r="K371" s="5" t="s">
        <v>4</v>
      </c>
      <c r="L371" s="5">
        <v>100</v>
      </c>
      <c r="M371" s="5">
        <v>64</v>
      </c>
      <c r="N371" s="5" t="s">
        <v>17</v>
      </c>
      <c r="O371" s="5" t="str">
        <f>_xlfn.IFS('Data set'!$H371&lt;5.7,"Normal",'Data set'!$H371&lt;=6.4,"Prediabetes",'Data set'!$H371&lt;=7.5,"Diabetes",'Data set'!$H371&gt;=7.5,"Uncontrolled")</f>
        <v>Uncontrolled</v>
      </c>
      <c r="P371" s="5" t="str">
        <f>_xlfn.IFS('Data set'!$F371&lt;120,"Low",'Data set'!$F371&lt;=200,"Normal",'Data set'!$F371&lt;=240,"Boarderline",'Data set'!$F371&gt;=241,"High")</f>
        <v>Boarderline</v>
      </c>
      <c r="Q371" s="5" t="str">
        <f>_xlfn.IFS('Data set'!$D371&lt;=18.5,"Low",'Data set'!$D371&lt;=24.9,"Normal",'Data set'!$D371&lt;=29.9,"High",'Data set'!$D371&gt;29.9,"Very High")</f>
        <v>Very High</v>
      </c>
    </row>
    <row r="372" spans="1:17" x14ac:dyDescent="0.25">
      <c r="A372" s="3">
        <v>47</v>
      </c>
      <c r="B372" s="3" t="s">
        <v>0</v>
      </c>
      <c r="C372" s="4">
        <v>100.98</v>
      </c>
      <c r="D372" s="4">
        <v>26.33</v>
      </c>
      <c r="E372" s="3" t="s">
        <v>6</v>
      </c>
      <c r="F372" s="3">
        <v>152</v>
      </c>
      <c r="G372" s="3" t="s">
        <v>345</v>
      </c>
      <c r="H372" s="4">
        <v>8</v>
      </c>
      <c r="I372" s="3">
        <v>1</v>
      </c>
      <c r="J372" s="3" t="s">
        <v>3</v>
      </c>
      <c r="K372" s="3" t="s">
        <v>3</v>
      </c>
      <c r="L372" s="3">
        <v>115</v>
      </c>
      <c r="M372" s="3">
        <v>81</v>
      </c>
      <c r="N372" s="3" t="s">
        <v>23</v>
      </c>
      <c r="O372" s="3" t="str">
        <f>_xlfn.IFS('Data set'!$H372&lt;5.7,"Normal",'Data set'!$H372&lt;=6.4,"Prediabetes",'Data set'!$H372&lt;=7.5,"Diabetes",'Data set'!$H372&gt;=7.5,"Uncontrolled")</f>
        <v>Uncontrolled</v>
      </c>
      <c r="P372" s="3" t="str">
        <f>_xlfn.IFS('Data set'!$F372&lt;120,"Low",'Data set'!$F372&lt;=200,"Normal",'Data set'!$F372&lt;=240,"Boarderline",'Data set'!$F372&gt;=241,"High")</f>
        <v>Normal</v>
      </c>
      <c r="Q372" s="3" t="str">
        <f>_xlfn.IFS('Data set'!$D372&lt;=18.5,"Low",'Data set'!$D372&lt;=24.9,"Normal",'Data set'!$D372&lt;=29.9,"High",'Data set'!$D372&gt;29.9,"Very High")</f>
        <v>High</v>
      </c>
    </row>
    <row r="373" spans="1:17" x14ac:dyDescent="0.25">
      <c r="A373" s="5">
        <v>31</v>
      </c>
      <c r="B373" s="5" t="s">
        <v>9</v>
      </c>
      <c r="C373" s="6">
        <v>95.17</v>
      </c>
      <c r="D373" s="6">
        <v>38.25</v>
      </c>
      <c r="E373" s="5" t="s">
        <v>14</v>
      </c>
      <c r="F373" s="5">
        <v>291</v>
      </c>
      <c r="G373" s="5" t="s">
        <v>346</v>
      </c>
      <c r="H373" s="6">
        <v>5.78</v>
      </c>
      <c r="I373" s="5">
        <v>6</v>
      </c>
      <c r="J373" s="5" t="s">
        <v>3</v>
      </c>
      <c r="K373" s="5" t="s">
        <v>3</v>
      </c>
      <c r="L373" s="5">
        <v>132</v>
      </c>
      <c r="M373" s="5">
        <v>85</v>
      </c>
      <c r="N373" s="5" t="s">
        <v>12</v>
      </c>
      <c r="O373" s="5" t="str">
        <f>_xlfn.IFS('Data set'!$H373&lt;5.7,"Normal",'Data set'!$H373&lt;=6.4,"Prediabetes",'Data set'!$H373&lt;=7.5,"Diabetes",'Data set'!$H373&gt;=7.5,"Uncontrolled")</f>
        <v>Prediabetes</v>
      </c>
      <c r="P373" s="5" t="str">
        <f>_xlfn.IFS('Data set'!$F373&lt;120,"Low",'Data set'!$F373&lt;=200,"Normal",'Data set'!$F373&lt;=240,"Boarderline",'Data set'!$F373&gt;=241,"High")</f>
        <v>High</v>
      </c>
      <c r="Q373" s="5" t="str">
        <f>_xlfn.IFS('Data set'!$D373&lt;=18.5,"Low",'Data set'!$D373&lt;=24.9,"Normal",'Data set'!$D373&lt;=29.9,"High",'Data set'!$D373&gt;29.9,"Very High")</f>
        <v>Very High</v>
      </c>
    </row>
    <row r="374" spans="1:17" x14ac:dyDescent="0.25">
      <c r="A374" s="3">
        <v>48</v>
      </c>
      <c r="B374" s="3" t="s">
        <v>9</v>
      </c>
      <c r="C374" s="4">
        <v>282.7</v>
      </c>
      <c r="D374" s="4">
        <v>20.12</v>
      </c>
      <c r="E374" s="3" t="s">
        <v>10</v>
      </c>
      <c r="F374" s="3">
        <v>149</v>
      </c>
      <c r="G374" s="3" t="s">
        <v>347</v>
      </c>
      <c r="H374" s="4">
        <v>4.22</v>
      </c>
      <c r="I374" s="3">
        <v>0</v>
      </c>
      <c r="J374" s="3" t="s">
        <v>3</v>
      </c>
      <c r="K374" s="3" t="s">
        <v>4</v>
      </c>
      <c r="L374" s="3">
        <v>134</v>
      </c>
      <c r="M374" s="3">
        <v>65</v>
      </c>
      <c r="N374" s="3" t="s">
        <v>23</v>
      </c>
      <c r="O374" s="3" t="str">
        <f>_xlfn.IFS('Data set'!$H374&lt;5.7,"Normal",'Data set'!$H374&lt;=6.4,"Prediabetes",'Data set'!$H374&lt;=7.5,"Diabetes",'Data set'!$H374&gt;=7.5,"Uncontrolled")</f>
        <v>Normal</v>
      </c>
      <c r="P374" s="3" t="str">
        <f>_xlfn.IFS('Data set'!$F374&lt;120,"Low",'Data set'!$F374&lt;=200,"Normal",'Data set'!$F374&lt;=240,"Boarderline",'Data set'!$F374&gt;=241,"High")</f>
        <v>Normal</v>
      </c>
      <c r="Q374" s="3" t="str">
        <f>_xlfn.IFS('Data set'!$D374&lt;=18.5,"Low",'Data set'!$D374&lt;=24.9,"Normal",'Data set'!$D374&lt;=29.9,"High",'Data set'!$D374&gt;29.9,"Very High")</f>
        <v>Normal</v>
      </c>
    </row>
    <row r="375" spans="1:17" x14ac:dyDescent="0.25">
      <c r="A375" s="5">
        <v>80</v>
      </c>
      <c r="B375" s="5" t="s">
        <v>0</v>
      </c>
      <c r="C375" s="6">
        <v>230.85</v>
      </c>
      <c r="D375" s="6">
        <v>25.65</v>
      </c>
      <c r="E375" s="5" t="s">
        <v>6</v>
      </c>
      <c r="F375" s="5">
        <v>175</v>
      </c>
      <c r="G375" s="5" t="s">
        <v>13</v>
      </c>
      <c r="H375" s="6">
        <v>6.49</v>
      </c>
      <c r="I375" s="5">
        <v>4</v>
      </c>
      <c r="J375" s="5" t="s">
        <v>3</v>
      </c>
      <c r="K375" s="5" t="s">
        <v>3</v>
      </c>
      <c r="L375" s="5">
        <v>115</v>
      </c>
      <c r="M375" s="5">
        <v>73</v>
      </c>
      <c r="N375" s="5" t="s">
        <v>5</v>
      </c>
      <c r="O375" s="5" t="str">
        <f>_xlfn.IFS('Data set'!$H375&lt;5.7,"Normal",'Data set'!$H375&lt;=6.4,"Prediabetes",'Data set'!$H375&lt;=7.5,"Diabetes",'Data set'!$H375&gt;=7.5,"Uncontrolled")</f>
        <v>Diabetes</v>
      </c>
      <c r="P375" s="5" t="str">
        <f>_xlfn.IFS('Data set'!$F375&lt;120,"Low",'Data set'!$F375&lt;=200,"Normal",'Data set'!$F375&lt;=240,"Boarderline",'Data set'!$F375&gt;=241,"High")</f>
        <v>Normal</v>
      </c>
      <c r="Q375" s="5" t="str">
        <f>_xlfn.IFS('Data set'!$D375&lt;=18.5,"Low",'Data set'!$D375&lt;=24.9,"Normal",'Data set'!$D375&lt;=29.9,"High",'Data set'!$D375&gt;29.9,"Very High")</f>
        <v>High</v>
      </c>
    </row>
    <row r="376" spans="1:17" x14ac:dyDescent="0.25">
      <c r="A376" s="3">
        <v>43</v>
      </c>
      <c r="B376" s="3" t="s">
        <v>9</v>
      </c>
      <c r="C376" s="4">
        <v>211.81</v>
      </c>
      <c r="D376" s="4">
        <v>22.7</v>
      </c>
      <c r="E376" s="3" t="s">
        <v>1</v>
      </c>
      <c r="F376" s="3">
        <v>235</v>
      </c>
      <c r="G376" s="3" t="s">
        <v>348</v>
      </c>
      <c r="H376" s="4">
        <v>9.17</v>
      </c>
      <c r="I376" s="3">
        <v>6</v>
      </c>
      <c r="J376" s="3" t="s">
        <v>4</v>
      </c>
      <c r="K376" s="3" t="s">
        <v>4</v>
      </c>
      <c r="L376" s="3">
        <v>110</v>
      </c>
      <c r="M376" s="3">
        <v>84</v>
      </c>
      <c r="N376" s="3" t="s">
        <v>23</v>
      </c>
      <c r="O376" s="3" t="str">
        <f>_xlfn.IFS('Data set'!$H376&lt;5.7,"Normal",'Data set'!$H376&lt;=6.4,"Prediabetes",'Data set'!$H376&lt;=7.5,"Diabetes",'Data set'!$H376&gt;=7.5,"Uncontrolled")</f>
        <v>Uncontrolled</v>
      </c>
      <c r="P376" s="3" t="str">
        <f>_xlfn.IFS('Data set'!$F376&lt;120,"Low",'Data set'!$F376&lt;=200,"Normal",'Data set'!$F376&lt;=240,"Boarderline",'Data set'!$F376&gt;=241,"High")</f>
        <v>Boarderline</v>
      </c>
      <c r="Q376" s="3" t="str">
        <f>_xlfn.IFS('Data set'!$D376&lt;=18.5,"Low",'Data set'!$D376&lt;=24.9,"Normal",'Data set'!$D376&lt;=29.9,"High",'Data set'!$D376&gt;29.9,"Very High")</f>
        <v>Normal</v>
      </c>
    </row>
    <row r="377" spans="1:17" x14ac:dyDescent="0.25">
      <c r="A377" s="5">
        <v>62</v>
      </c>
      <c r="B377" s="5" t="s">
        <v>0</v>
      </c>
      <c r="C377" s="6">
        <v>134.13999999999999</v>
      </c>
      <c r="D377" s="6">
        <v>31.15</v>
      </c>
      <c r="E377" s="5" t="s">
        <v>6</v>
      </c>
      <c r="F377" s="5">
        <v>110</v>
      </c>
      <c r="G377" s="5" t="s">
        <v>349</v>
      </c>
      <c r="H377" s="6">
        <v>6.53</v>
      </c>
      <c r="I377" s="5">
        <v>6</v>
      </c>
      <c r="J377" s="5" t="s">
        <v>4</v>
      </c>
      <c r="K377" s="5" t="s">
        <v>3</v>
      </c>
      <c r="L377" s="5">
        <v>94</v>
      </c>
      <c r="M377" s="5">
        <v>85</v>
      </c>
      <c r="N377" s="5" t="s">
        <v>21</v>
      </c>
      <c r="O377" s="5" t="str">
        <f>_xlfn.IFS('Data set'!$H377&lt;5.7,"Normal",'Data set'!$H377&lt;=6.4,"Prediabetes",'Data set'!$H377&lt;=7.5,"Diabetes",'Data set'!$H377&gt;=7.5,"Uncontrolled")</f>
        <v>Diabetes</v>
      </c>
      <c r="P377" s="5" t="str">
        <f>_xlfn.IFS('Data set'!$F377&lt;120,"Low",'Data set'!$F377&lt;=200,"Normal",'Data set'!$F377&lt;=240,"Boarderline",'Data set'!$F377&gt;=241,"High")</f>
        <v>Low</v>
      </c>
      <c r="Q377" s="5" t="str">
        <f>_xlfn.IFS('Data set'!$D377&lt;=18.5,"Low",'Data set'!$D377&lt;=24.9,"Normal",'Data set'!$D377&lt;=29.9,"High",'Data set'!$D377&gt;29.9,"Very High")</f>
        <v>Very High</v>
      </c>
    </row>
    <row r="378" spans="1:17" x14ac:dyDescent="0.25">
      <c r="A378" s="3">
        <v>63</v>
      </c>
      <c r="B378" s="3" t="s">
        <v>0</v>
      </c>
      <c r="C378" s="4">
        <v>116.88</v>
      </c>
      <c r="D378" s="4">
        <v>24.07</v>
      </c>
      <c r="E378" s="3" t="s">
        <v>10</v>
      </c>
      <c r="F378" s="3">
        <v>260</v>
      </c>
      <c r="G378" s="3" t="s">
        <v>350</v>
      </c>
      <c r="H378" s="4">
        <v>6.96</v>
      </c>
      <c r="I378" s="3">
        <v>7</v>
      </c>
      <c r="J378" s="3" t="s">
        <v>3</v>
      </c>
      <c r="K378" s="3" t="s">
        <v>4</v>
      </c>
      <c r="L378" s="3">
        <v>107</v>
      </c>
      <c r="M378" s="3">
        <v>69</v>
      </c>
      <c r="N378" s="3" t="s">
        <v>21</v>
      </c>
      <c r="O378" s="3" t="str">
        <f>_xlfn.IFS('Data set'!$H378&lt;5.7,"Normal",'Data set'!$H378&lt;=6.4,"Prediabetes",'Data set'!$H378&lt;=7.5,"Diabetes",'Data set'!$H378&gt;=7.5,"Uncontrolled")</f>
        <v>Diabetes</v>
      </c>
      <c r="P378" s="3" t="str">
        <f>_xlfn.IFS('Data set'!$F378&lt;120,"Low",'Data set'!$F378&lt;=200,"Normal",'Data set'!$F378&lt;=240,"Boarderline",'Data set'!$F378&gt;=241,"High")</f>
        <v>High</v>
      </c>
      <c r="Q378" s="3" t="str">
        <f>_xlfn.IFS('Data set'!$D378&lt;=18.5,"Low",'Data set'!$D378&lt;=24.9,"Normal",'Data set'!$D378&lt;=29.9,"High",'Data set'!$D378&gt;29.9,"Very High")</f>
        <v>Normal</v>
      </c>
    </row>
    <row r="379" spans="1:17" x14ac:dyDescent="0.25">
      <c r="A379" s="5">
        <v>30</v>
      </c>
      <c r="B379" s="5" t="s">
        <v>9</v>
      </c>
      <c r="C379" s="6">
        <v>155.71</v>
      </c>
      <c r="D379" s="6">
        <v>31.1</v>
      </c>
      <c r="E379" s="5" t="s">
        <v>14</v>
      </c>
      <c r="F379" s="5">
        <v>168</v>
      </c>
      <c r="G379" s="5" t="s">
        <v>351</v>
      </c>
      <c r="H379" s="6">
        <v>8.4499999999999993</v>
      </c>
      <c r="I379" s="5">
        <v>6</v>
      </c>
      <c r="J379" s="5" t="s">
        <v>3</v>
      </c>
      <c r="K379" s="5" t="s">
        <v>4</v>
      </c>
      <c r="L379" s="5">
        <v>109</v>
      </c>
      <c r="M379" s="5">
        <v>79</v>
      </c>
      <c r="N379" s="5" t="s">
        <v>17</v>
      </c>
      <c r="O379" s="5" t="str">
        <f>_xlfn.IFS('Data set'!$H379&lt;5.7,"Normal",'Data set'!$H379&lt;=6.4,"Prediabetes",'Data set'!$H379&lt;=7.5,"Diabetes",'Data set'!$H379&gt;=7.5,"Uncontrolled")</f>
        <v>Uncontrolled</v>
      </c>
      <c r="P379" s="5" t="str">
        <f>_xlfn.IFS('Data set'!$F379&lt;120,"Low",'Data set'!$F379&lt;=200,"Normal",'Data set'!$F379&lt;=240,"Boarderline",'Data set'!$F379&gt;=241,"High")</f>
        <v>Normal</v>
      </c>
      <c r="Q379" s="5" t="str">
        <f>_xlfn.IFS('Data set'!$D379&lt;=18.5,"Low",'Data set'!$D379&lt;=24.9,"Normal",'Data set'!$D379&lt;=29.9,"High",'Data set'!$D379&gt;29.9,"Very High")</f>
        <v>Very High</v>
      </c>
    </row>
    <row r="380" spans="1:17" x14ac:dyDescent="0.25">
      <c r="A380" s="3">
        <v>35</v>
      </c>
      <c r="B380" s="3" t="s">
        <v>9</v>
      </c>
      <c r="C380" s="4">
        <v>297.52</v>
      </c>
      <c r="D380" s="4">
        <v>22.46</v>
      </c>
      <c r="E380" s="3" t="s">
        <v>14</v>
      </c>
      <c r="F380" s="3">
        <v>135</v>
      </c>
      <c r="G380" s="3" t="s">
        <v>352</v>
      </c>
      <c r="H380" s="4">
        <v>6.08</v>
      </c>
      <c r="I380" s="3">
        <v>3</v>
      </c>
      <c r="J380" s="3" t="s">
        <v>3</v>
      </c>
      <c r="K380" s="3" t="s">
        <v>3</v>
      </c>
      <c r="L380" s="3">
        <v>115</v>
      </c>
      <c r="M380" s="3">
        <v>70</v>
      </c>
      <c r="N380" s="3" t="s">
        <v>12</v>
      </c>
      <c r="O380" s="3" t="str">
        <f>_xlfn.IFS('Data set'!$H380&lt;5.7,"Normal",'Data set'!$H380&lt;=6.4,"Prediabetes",'Data set'!$H380&lt;=7.5,"Diabetes",'Data set'!$H380&gt;=7.5,"Uncontrolled")</f>
        <v>Prediabetes</v>
      </c>
      <c r="P380" s="3" t="str">
        <f>_xlfn.IFS('Data set'!$F380&lt;120,"Low",'Data set'!$F380&lt;=200,"Normal",'Data set'!$F380&lt;=240,"Boarderline",'Data set'!$F380&gt;=241,"High")</f>
        <v>Normal</v>
      </c>
      <c r="Q380" s="3" t="str">
        <f>_xlfn.IFS('Data set'!$D380&lt;=18.5,"Low",'Data set'!$D380&lt;=24.9,"Normal",'Data set'!$D380&lt;=29.9,"High",'Data set'!$D380&gt;29.9,"Very High")</f>
        <v>Normal</v>
      </c>
    </row>
    <row r="381" spans="1:17" x14ac:dyDescent="0.25">
      <c r="A381" s="5">
        <v>22</v>
      </c>
      <c r="B381" s="5" t="s">
        <v>0</v>
      </c>
      <c r="C381" s="6">
        <v>206.92</v>
      </c>
      <c r="D381" s="6">
        <v>28.63</v>
      </c>
      <c r="E381" s="5" t="s">
        <v>6</v>
      </c>
      <c r="F381" s="5">
        <v>182</v>
      </c>
      <c r="G381" s="5" t="s">
        <v>353</v>
      </c>
      <c r="H381" s="6">
        <v>9.0299999999999994</v>
      </c>
      <c r="I381" s="5">
        <v>7</v>
      </c>
      <c r="J381" s="5" t="s">
        <v>3</v>
      </c>
      <c r="K381" s="5" t="s">
        <v>4</v>
      </c>
      <c r="L381" s="5">
        <v>126</v>
      </c>
      <c r="M381" s="5">
        <v>64</v>
      </c>
      <c r="N381" s="5" t="s">
        <v>17</v>
      </c>
      <c r="O381" s="5" t="str">
        <f>_xlfn.IFS('Data set'!$H381&lt;5.7,"Normal",'Data set'!$H381&lt;=6.4,"Prediabetes",'Data set'!$H381&lt;=7.5,"Diabetes",'Data set'!$H381&gt;=7.5,"Uncontrolled")</f>
        <v>Uncontrolled</v>
      </c>
      <c r="P381" s="5" t="str">
        <f>_xlfn.IFS('Data set'!$F381&lt;120,"Low",'Data set'!$F381&lt;=200,"Normal",'Data set'!$F381&lt;=240,"Boarderline",'Data set'!$F381&gt;=241,"High")</f>
        <v>Normal</v>
      </c>
      <c r="Q381" s="5" t="str">
        <f>_xlfn.IFS('Data set'!$D381&lt;=18.5,"Low",'Data set'!$D381&lt;=24.9,"Normal",'Data set'!$D381&lt;=29.9,"High",'Data set'!$D381&gt;29.9,"Very High")</f>
        <v>High</v>
      </c>
    </row>
    <row r="382" spans="1:17" x14ac:dyDescent="0.25">
      <c r="A382" s="3">
        <v>45</v>
      </c>
      <c r="B382" s="3" t="s">
        <v>9</v>
      </c>
      <c r="C382" s="4">
        <v>180.76</v>
      </c>
      <c r="D382" s="4">
        <v>29.63</v>
      </c>
      <c r="E382" s="3" t="s">
        <v>1</v>
      </c>
      <c r="F382" s="3">
        <v>124</v>
      </c>
      <c r="G382" s="3" t="s">
        <v>119</v>
      </c>
      <c r="H382" s="4">
        <v>5.45</v>
      </c>
      <c r="I382" s="3">
        <v>0</v>
      </c>
      <c r="J382" s="3" t="s">
        <v>3</v>
      </c>
      <c r="K382" s="3" t="s">
        <v>4</v>
      </c>
      <c r="L382" s="3">
        <v>111</v>
      </c>
      <c r="M382" s="3">
        <v>77</v>
      </c>
      <c r="N382" s="3" t="s">
        <v>23</v>
      </c>
      <c r="O382" s="3" t="str">
        <f>_xlfn.IFS('Data set'!$H382&lt;5.7,"Normal",'Data set'!$H382&lt;=6.4,"Prediabetes",'Data set'!$H382&lt;=7.5,"Diabetes",'Data set'!$H382&gt;=7.5,"Uncontrolled")</f>
        <v>Normal</v>
      </c>
      <c r="P382" s="3" t="str">
        <f>_xlfn.IFS('Data set'!$F382&lt;120,"Low",'Data set'!$F382&lt;=200,"Normal",'Data set'!$F382&lt;=240,"Boarderline",'Data set'!$F382&gt;=241,"High")</f>
        <v>Normal</v>
      </c>
      <c r="Q382" s="3" t="str">
        <f>_xlfn.IFS('Data set'!$D382&lt;=18.5,"Low",'Data set'!$D382&lt;=24.9,"Normal",'Data set'!$D382&lt;=29.9,"High",'Data set'!$D382&gt;29.9,"Very High")</f>
        <v>High</v>
      </c>
    </row>
    <row r="383" spans="1:17" x14ac:dyDescent="0.25">
      <c r="A383" s="5">
        <v>18</v>
      </c>
      <c r="B383" s="5" t="s">
        <v>0</v>
      </c>
      <c r="C383" s="6">
        <v>73.27</v>
      </c>
      <c r="D383" s="6">
        <v>22.18</v>
      </c>
      <c r="E383" s="5" t="s">
        <v>1</v>
      </c>
      <c r="F383" s="5">
        <v>264</v>
      </c>
      <c r="G383" s="5" t="s">
        <v>354</v>
      </c>
      <c r="H383" s="6">
        <v>9.59</v>
      </c>
      <c r="I383" s="5">
        <v>7</v>
      </c>
      <c r="J383" s="5" t="s">
        <v>4</v>
      </c>
      <c r="K383" s="5" t="s">
        <v>4</v>
      </c>
      <c r="L383" s="5">
        <v>129</v>
      </c>
      <c r="M383" s="5">
        <v>82</v>
      </c>
      <c r="N383" s="5" t="s">
        <v>17</v>
      </c>
      <c r="O383" s="5" t="str">
        <f>_xlfn.IFS('Data set'!$H383&lt;5.7,"Normal",'Data set'!$H383&lt;=6.4,"Prediabetes",'Data set'!$H383&lt;=7.5,"Diabetes",'Data set'!$H383&gt;=7.5,"Uncontrolled")</f>
        <v>Uncontrolled</v>
      </c>
      <c r="P383" s="5" t="str">
        <f>_xlfn.IFS('Data set'!$F383&lt;120,"Low",'Data set'!$F383&lt;=200,"Normal",'Data set'!$F383&lt;=240,"Boarderline",'Data set'!$F383&gt;=241,"High")</f>
        <v>High</v>
      </c>
      <c r="Q383" s="5" t="str">
        <f>_xlfn.IFS('Data set'!$D383&lt;=18.5,"Low",'Data set'!$D383&lt;=24.9,"Normal",'Data set'!$D383&lt;=29.9,"High",'Data set'!$D383&gt;29.9,"Very High")</f>
        <v>Normal</v>
      </c>
    </row>
    <row r="384" spans="1:17" x14ac:dyDescent="0.25">
      <c r="A384" s="3">
        <v>75</v>
      </c>
      <c r="B384" s="3" t="s">
        <v>9</v>
      </c>
      <c r="C384" s="4">
        <v>70.59</v>
      </c>
      <c r="D384" s="4">
        <v>32.99</v>
      </c>
      <c r="E384" s="3" t="s">
        <v>1</v>
      </c>
      <c r="F384" s="3">
        <v>196</v>
      </c>
      <c r="G384" s="3" t="s">
        <v>331</v>
      </c>
      <c r="H384" s="4">
        <v>7.91</v>
      </c>
      <c r="I384" s="3">
        <v>1</v>
      </c>
      <c r="J384" s="3" t="s">
        <v>4</v>
      </c>
      <c r="K384" s="3" t="s">
        <v>3</v>
      </c>
      <c r="L384" s="3">
        <v>99</v>
      </c>
      <c r="M384" s="3">
        <v>61</v>
      </c>
      <c r="N384" s="3" t="s">
        <v>5</v>
      </c>
      <c r="O384" s="3" t="str">
        <f>_xlfn.IFS('Data set'!$H384&lt;5.7,"Normal",'Data set'!$H384&lt;=6.4,"Prediabetes",'Data set'!$H384&lt;=7.5,"Diabetes",'Data set'!$H384&gt;=7.5,"Uncontrolled")</f>
        <v>Uncontrolled</v>
      </c>
      <c r="P384" s="3" t="str">
        <f>_xlfn.IFS('Data set'!$F384&lt;120,"Low",'Data set'!$F384&lt;=200,"Normal",'Data set'!$F384&lt;=240,"Boarderline",'Data set'!$F384&gt;=241,"High")</f>
        <v>Normal</v>
      </c>
      <c r="Q384" s="3" t="str">
        <f>_xlfn.IFS('Data set'!$D384&lt;=18.5,"Low",'Data set'!$D384&lt;=24.9,"Normal",'Data set'!$D384&lt;=29.9,"High",'Data set'!$D384&gt;29.9,"Very High")</f>
        <v>Very High</v>
      </c>
    </row>
    <row r="385" spans="1:17" x14ac:dyDescent="0.25">
      <c r="A385" s="5">
        <v>26</v>
      </c>
      <c r="B385" s="5" t="s">
        <v>9</v>
      </c>
      <c r="C385" s="6">
        <v>229.92</v>
      </c>
      <c r="D385" s="6">
        <v>24.2</v>
      </c>
      <c r="E385" s="5" t="s">
        <v>10</v>
      </c>
      <c r="F385" s="5">
        <v>298</v>
      </c>
      <c r="G385" s="5" t="s">
        <v>355</v>
      </c>
      <c r="H385" s="6">
        <v>6.79</v>
      </c>
      <c r="I385" s="5">
        <v>4</v>
      </c>
      <c r="J385" s="5" t="s">
        <v>3</v>
      </c>
      <c r="K385" s="5" t="s">
        <v>3</v>
      </c>
      <c r="L385" s="5">
        <v>139</v>
      </c>
      <c r="M385" s="5">
        <v>63</v>
      </c>
      <c r="N385" s="5" t="s">
        <v>17</v>
      </c>
      <c r="O385" s="5" t="str">
        <f>_xlfn.IFS('Data set'!$H385&lt;5.7,"Normal",'Data set'!$H385&lt;=6.4,"Prediabetes",'Data set'!$H385&lt;=7.5,"Diabetes",'Data set'!$H385&gt;=7.5,"Uncontrolled")</f>
        <v>Diabetes</v>
      </c>
      <c r="P385" s="5" t="str">
        <f>_xlfn.IFS('Data set'!$F385&lt;120,"Low",'Data set'!$F385&lt;=200,"Normal",'Data set'!$F385&lt;=240,"Boarderline",'Data set'!$F385&gt;=241,"High")</f>
        <v>High</v>
      </c>
      <c r="Q385" s="5" t="str">
        <f>_xlfn.IFS('Data set'!$D385&lt;=18.5,"Low",'Data set'!$D385&lt;=24.9,"Normal",'Data set'!$D385&lt;=29.9,"High",'Data set'!$D385&gt;29.9,"Very High")</f>
        <v>Normal</v>
      </c>
    </row>
    <row r="386" spans="1:17" x14ac:dyDescent="0.25">
      <c r="A386" s="3">
        <v>41</v>
      </c>
      <c r="B386" s="3" t="s">
        <v>9</v>
      </c>
      <c r="C386" s="4">
        <v>290.68</v>
      </c>
      <c r="D386" s="4">
        <v>36</v>
      </c>
      <c r="E386" s="3" t="s">
        <v>1</v>
      </c>
      <c r="F386" s="3">
        <v>103</v>
      </c>
      <c r="G386" s="3" t="s">
        <v>356</v>
      </c>
      <c r="H386" s="4">
        <v>5.19</v>
      </c>
      <c r="I386" s="3">
        <v>0</v>
      </c>
      <c r="J386" s="3" t="s">
        <v>3</v>
      </c>
      <c r="K386" s="3" t="s">
        <v>4</v>
      </c>
      <c r="L386" s="3">
        <v>109</v>
      </c>
      <c r="M386" s="3">
        <v>80</v>
      </c>
      <c r="N386" s="3" t="s">
        <v>23</v>
      </c>
      <c r="O386" s="3" t="str">
        <f>_xlfn.IFS('Data set'!$H386&lt;5.7,"Normal",'Data set'!$H386&lt;=6.4,"Prediabetes",'Data set'!$H386&lt;=7.5,"Diabetes",'Data set'!$H386&gt;=7.5,"Uncontrolled")</f>
        <v>Normal</v>
      </c>
      <c r="P386" s="3" t="str">
        <f>_xlfn.IFS('Data set'!$F386&lt;120,"Low",'Data set'!$F386&lt;=200,"Normal",'Data set'!$F386&lt;=240,"Boarderline",'Data set'!$F386&gt;=241,"High")</f>
        <v>Low</v>
      </c>
      <c r="Q386" s="3" t="str">
        <f>_xlfn.IFS('Data set'!$D386&lt;=18.5,"Low",'Data set'!$D386&lt;=24.9,"Normal",'Data set'!$D386&lt;=29.9,"High",'Data set'!$D386&gt;29.9,"Very High")</f>
        <v>Very High</v>
      </c>
    </row>
    <row r="387" spans="1:17" x14ac:dyDescent="0.25">
      <c r="A387" s="5">
        <v>45</v>
      </c>
      <c r="B387" s="5" t="s">
        <v>0</v>
      </c>
      <c r="C387" s="6">
        <v>189.39</v>
      </c>
      <c r="D387" s="6">
        <v>19.010000000000002</v>
      </c>
      <c r="E387" s="5" t="s">
        <v>6</v>
      </c>
      <c r="F387" s="5">
        <v>214</v>
      </c>
      <c r="G387" s="5" t="s">
        <v>45</v>
      </c>
      <c r="H387" s="6">
        <v>5.49</v>
      </c>
      <c r="I387" s="5">
        <v>6</v>
      </c>
      <c r="J387" s="5" t="s">
        <v>3</v>
      </c>
      <c r="K387" s="5" t="s">
        <v>3</v>
      </c>
      <c r="L387" s="5">
        <v>105</v>
      </c>
      <c r="M387" s="5">
        <v>75</v>
      </c>
      <c r="N387" s="5" t="s">
        <v>23</v>
      </c>
      <c r="O387" s="5" t="str">
        <f>_xlfn.IFS('Data set'!$H387&lt;5.7,"Normal",'Data set'!$H387&lt;=6.4,"Prediabetes",'Data set'!$H387&lt;=7.5,"Diabetes",'Data set'!$H387&gt;=7.5,"Uncontrolled")</f>
        <v>Normal</v>
      </c>
      <c r="P387" s="5" t="str">
        <f>_xlfn.IFS('Data set'!$F387&lt;120,"Low",'Data set'!$F387&lt;=200,"Normal",'Data set'!$F387&lt;=240,"Boarderline",'Data set'!$F387&gt;=241,"High")</f>
        <v>Boarderline</v>
      </c>
      <c r="Q387" s="5" t="str">
        <f>_xlfn.IFS('Data set'!$D387&lt;=18.5,"Low",'Data set'!$D387&lt;=24.9,"Normal",'Data set'!$D387&lt;=29.9,"High",'Data set'!$D387&gt;29.9,"Very High")</f>
        <v>Normal</v>
      </c>
    </row>
    <row r="388" spans="1:17" x14ac:dyDescent="0.25">
      <c r="A388" s="3">
        <v>34</v>
      </c>
      <c r="B388" s="3" t="s">
        <v>0</v>
      </c>
      <c r="C388" s="4">
        <v>120.03</v>
      </c>
      <c r="D388" s="4">
        <v>37.880000000000003</v>
      </c>
      <c r="E388" s="3" t="s">
        <v>14</v>
      </c>
      <c r="F388" s="3">
        <v>214</v>
      </c>
      <c r="G388" s="3" t="s">
        <v>245</v>
      </c>
      <c r="H388" s="4">
        <v>4.66</v>
      </c>
      <c r="I388" s="3">
        <v>1</v>
      </c>
      <c r="J388" s="3" t="s">
        <v>4</v>
      </c>
      <c r="K388" s="3" t="s">
        <v>4</v>
      </c>
      <c r="L388" s="3">
        <v>94</v>
      </c>
      <c r="M388" s="3">
        <v>72</v>
      </c>
      <c r="N388" s="3" t="s">
        <v>12</v>
      </c>
      <c r="O388" s="3" t="str">
        <f>_xlfn.IFS('Data set'!$H388&lt;5.7,"Normal",'Data set'!$H388&lt;=6.4,"Prediabetes",'Data set'!$H388&lt;=7.5,"Diabetes",'Data set'!$H388&gt;=7.5,"Uncontrolled")</f>
        <v>Normal</v>
      </c>
      <c r="P388" s="3" t="str">
        <f>_xlfn.IFS('Data set'!$F388&lt;120,"Low",'Data set'!$F388&lt;=200,"Normal",'Data set'!$F388&lt;=240,"Boarderline",'Data set'!$F388&gt;=241,"High")</f>
        <v>Boarderline</v>
      </c>
      <c r="Q388" s="3" t="str">
        <f>_xlfn.IFS('Data set'!$D388&lt;=18.5,"Low",'Data set'!$D388&lt;=24.9,"Normal",'Data set'!$D388&lt;=29.9,"High",'Data set'!$D388&gt;29.9,"Very High")</f>
        <v>Very High</v>
      </c>
    </row>
    <row r="389" spans="1:17" x14ac:dyDescent="0.25">
      <c r="A389" s="5">
        <v>43</v>
      </c>
      <c r="B389" s="5" t="s">
        <v>0</v>
      </c>
      <c r="C389" s="6">
        <v>76.94</v>
      </c>
      <c r="D389" s="6">
        <v>33.01</v>
      </c>
      <c r="E389" s="5" t="s">
        <v>1</v>
      </c>
      <c r="F389" s="5">
        <v>188</v>
      </c>
      <c r="G389" s="5" t="s">
        <v>357</v>
      </c>
      <c r="H389" s="6">
        <v>5.84</v>
      </c>
      <c r="I389" s="5">
        <v>4</v>
      </c>
      <c r="J389" s="5" t="s">
        <v>4</v>
      </c>
      <c r="K389" s="5" t="s">
        <v>4</v>
      </c>
      <c r="L389" s="5">
        <v>102</v>
      </c>
      <c r="M389" s="5">
        <v>83</v>
      </c>
      <c r="N389" s="5" t="s">
        <v>23</v>
      </c>
      <c r="O389" s="5" t="str">
        <f>_xlfn.IFS('Data set'!$H389&lt;5.7,"Normal",'Data set'!$H389&lt;=6.4,"Prediabetes",'Data set'!$H389&lt;=7.5,"Diabetes",'Data set'!$H389&gt;=7.5,"Uncontrolled")</f>
        <v>Prediabetes</v>
      </c>
      <c r="P389" s="5" t="str">
        <f>_xlfn.IFS('Data set'!$F389&lt;120,"Low",'Data set'!$F389&lt;=200,"Normal",'Data set'!$F389&lt;=240,"Boarderline",'Data set'!$F389&gt;=241,"High")</f>
        <v>Normal</v>
      </c>
      <c r="Q389" s="5" t="str">
        <f>_xlfn.IFS('Data set'!$D389&lt;=18.5,"Low",'Data set'!$D389&lt;=24.9,"Normal",'Data set'!$D389&lt;=29.9,"High",'Data set'!$D389&gt;29.9,"Very High")</f>
        <v>Very High</v>
      </c>
    </row>
    <row r="390" spans="1:17" x14ac:dyDescent="0.25">
      <c r="A390" s="3">
        <v>19</v>
      </c>
      <c r="B390" s="3" t="s">
        <v>9</v>
      </c>
      <c r="C390" s="4">
        <v>272.04000000000002</v>
      </c>
      <c r="D390" s="4">
        <v>18.149999999999999</v>
      </c>
      <c r="E390" s="3" t="s">
        <v>1</v>
      </c>
      <c r="F390" s="3">
        <v>105</v>
      </c>
      <c r="G390" s="3" t="s">
        <v>358</v>
      </c>
      <c r="H390" s="4">
        <v>4.99</v>
      </c>
      <c r="I390" s="3">
        <v>1</v>
      </c>
      <c r="J390" s="3" t="s">
        <v>3</v>
      </c>
      <c r="K390" s="3" t="s">
        <v>3</v>
      </c>
      <c r="L390" s="3">
        <v>101</v>
      </c>
      <c r="M390" s="3">
        <v>79</v>
      </c>
      <c r="N390" s="3" t="s">
        <v>17</v>
      </c>
      <c r="O390" s="3" t="str">
        <f>_xlfn.IFS('Data set'!$H390&lt;5.7,"Normal",'Data set'!$H390&lt;=6.4,"Prediabetes",'Data set'!$H390&lt;=7.5,"Diabetes",'Data set'!$H390&gt;=7.5,"Uncontrolled")</f>
        <v>Normal</v>
      </c>
      <c r="P390" s="3" t="str">
        <f>_xlfn.IFS('Data set'!$F390&lt;120,"Low",'Data set'!$F390&lt;=200,"Normal",'Data set'!$F390&lt;=240,"Boarderline",'Data set'!$F390&gt;=241,"High")</f>
        <v>Low</v>
      </c>
      <c r="Q390" s="3" t="str">
        <f>_xlfn.IFS('Data set'!$D390&lt;=18.5,"Low",'Data set'!$D390&lt;=24.9,"Normal",'Data set'!$D390&lt;=29.9,"High",'Data set'!$D390&gt;29.9,"Very High")</f>
        <v>Low</v>
      </c>
    </row>
    <row r="391" spans="1:17" x14ac:dyDescent="0.25">
      <c r="A391" s="5">
        <v>48</v>
      </c>
      <c r="B391" s="5" t="s">
        <v>0</v>
      </c>
      <c r="C391" s="6">
        <v>157.47999999999999</v>
      </c>
      <c r="D391" s="6">
        <v>36.630000000000003</v>
      </c>
      <c r="E391" s="5" t="s">
        <v>14</v>
      </c>
      <c r="F391" s="5">
        <v>240</v>
      </c>
      <c r="G391" s="5" t="s">
        <v>121</v>
      </c>
      <c r="H391" s="6">
        <v>6.78</v>
      </c>
      <c r="I391" s="5">
        <v>1</v>
      </c>
      <c r="J391" s="5" t="s">
        <v>3</v>
      </c>
      <c r="K391" s="5" t="s">
        <v>4</v>
      </c>
      <c r="L391" s="5">
        <v>137</v>
      </c>
      <c r="M391" s="5">
        <v>85</v>
      </c>
      <c r="N391" s="5" t="s">
        <v>23</v>
      </c>
      <c r="O391" s="5" t="str">
        <f>_xlfn.IFS('Data set'!$H391&lt;5.7,"Normal",'Data set'!$H391&lt;=6.4,"Prediabetes",'Data set'!$H391&lt;=7.5,"Diabetes",'Data set'!$H391&gt;=7.5,"Uncontrolled")</f>
        <v>Diabetes</v>
      </c>
      <c r="P391" s="5" t="str">
        <f>_xlfn.IFS('Data set'!$F391&lt;120,"Low",'Data set'!$F391&lt;=200,"Normal",'Data set'!$F391&lt;=240,"Boarderline",'Data set'!$F391&gt;=241,"High")</f>
        <v>Boarderline</v>
      </c>
      <c r="Q391" s="5" t="str">
        <f>_xlfn.IFS('Data set'!$D391&lt;=18.5,"Low",'Data set'!$D391&lt;=24.9,"Normal",'Data set'!$D391&lt;=29.9,"High",'Data set'!$D391&gt;29.9,"Very High")</f>
        <v>Very High</v>
      </c>
    </row>
    <row r="392" spans="1:17" x14ac:dyDescent="0.25">
      <c r="A392" s="3">
        <v>76</v>
      </c>
      <c r="B392" s="3" t="s">
        <v>9</v>
      </c>
      <c r="C392" s="4">
        <v>239.74</v>
      </c>
      <c r="D392" s="4">
        <v>30.57</v>
      </c>
      <c r="E392" s="3" t="s">
        <v>10</v>
      </c>
      <c r="F392" s="3">
        <v>155</v>
      </c>
      <c r="G392" s="3" t="s">
        <v>359</v>
      </c>
      <c r="H392" s="4">
        <v>7.41</v>
      </c>
      <c r="I392" s="3">
        <v>2</v>
      </c>
      <c r="J392" s="3" t="s">
        <v>4</v>
      </c>
      <c r="K392" s="3" t="s">
        <v>4</v>
      </c>
      <c r="L392" s="3">
        <v>139</v>
      </c>
      <c r="M392" s="3">
        <v>73</v>
      </c>
      <c r="N392" s="3" t="s">
        <v>5</v>
      </c>
      <c r="O392" s="3" t="str">
        <f>_xlfn.IFS('Data set'!$H392&lt;5.7,"Normal",'Data set'!$H392&lt;=6.4,"Prediabetes",'Data set'!$H392&lt;=7.5,"Diabetes",'Data set'!$H392&gt;=7.5,"Uncontrolled")</f>
        <v>Diabetes</v>
      </c>
      <c r="P392" s="3" t="str">
        <f>_xlfn.IFS('Data set'!$F392&lt;120,"Low",'Data set'!$F392&lt;=200,"Normal",'Data set'!$F392&lt;=240,"Boarderline",'Data set'!$F392&gt;=241,"High")</f>
        <v>Normal</v>
      </c>
      <c r="Q392" s="3" t="str">
        <f>_xlfn.IFS('Data set'!$D392&lt;=18.5,"Low",'Data set'!$D392&lt;=24.9,"Normal",'Data set'!$D392&lt;=29.9,"High",'Data set'!$D392&gt;29.9,"Very High")</f>
        <v>Very High</v>
      </c>
    </row>
    <row r="393" spans="1:17" x14ac:dyDescent="0.25">
      <c r="A393" s="5">
        <v>63</v>
      </c>
      <c r="B393" s="5" t="s">
        <v>0</v>
      </c>
      <c r="C393" s="6">
        <v>92.86</v>
      </c>
      <c r="D393" s="6">
        <v>20.48</v>
      </c>
      <c r="E393" s="5" t="s">
        <v>6</v>
      </c>
      <c r="F393" s="5">
        <v>245</v>
      </c>
      <c r="G393" s="5" t="s">
        <v>360</v>
      </c>
      <c r="H393" s="6">
        <v>4.8600000000000003</v>
      </c>
      <c r="I393" s="5">
        <v>1</v>
      </c>
      <c r="J393" s="5" t="s">
        <v>3</v>
      </c>
      <c r="K393" s="5" t="s">
        <v>3</v>
      </c>
      <c r="L393" s="5">
        <v>90</v>
      </c>
      <c r="M393" s="5">
        <v>76</v>
      </c>
      <c r="N393" s="5" t="s">
        <v>21</v>
      </c>
      <c r="O393" s="5" t="str">
        <f>_xlfn.IFS('Data set'!$H393&lt;5.7,"Normal",'Data set'!$H393&lt;=6.4,"Prediabetes",'Data set'!$H393&lt;=7.5,"Diabetes",'Data set'!$H393&gt;=7.5,"Uncontrolled")</f>
        <v>Normal</v>
      </c>
      <c r="P393" s="5" t="str">
        <f>_xlfn.IFS('Data set'!$F393&lt;120,"Low",'Data set'!$F393&lt;=200,"Normal",'Data set'!$F393&lt;=240,"Boarderline",'Data set'!$F393&gt;=241,"High")</f>
        <v>High</v>
      </c>
      <c r="Q393" s="5" t="str">
        <f>_xlfn.IFS('Data set'!$D393&lt;=18.5,"Low",'Data set'!$D393&lt;=24.9,"Normal",'Data set'!$D393&lt;=29.9,"High",'Data set'!$D393&gt;29.9,"Very High")</f>
        <v>Normal</v>
      </c>
    </row>
    <row r="394" spans="1:17" x14ac:dyDescent="0.25">
      <c r="A394" s="3">
        <v>21</v>
      </c>
      <c r="B394" s="3" t="s">
        <v>0</v>
      </c>
      <c r="C394" s="4">
        <v>272.81</v>
      </c>
      <c r="D394" s="4">
        <v>21.67</v>
      </c>
      <c r="E394" s="3" t="s">
        <v>6</v>
      </c>
      <c r="F394" s="3">
        <v>172</v>
      </c>
      <c r="G394" s="3" t="s">
        <v>361</v>
      </c>
      <c r="H394" s="4">
        <v>4.3600000000000003</v>
      </c>
      <c r="I394" s="3">
        <v>4</v>
      </c>
      <c r="J394" s="3" t="s">
        <v>4</v>
      </c>
      <c r="K394" s="3" t="s">
        <v>4</v>
      </c>
      <c r="L394" s="3">
        <v>115</v>
      </c>
      <c r="M394" s="3">
        <v>60</v>
      </c>
      <c r="N394" s="3" t="s">
        <v>17</v>
      </c>
      <c r="O394" s="3" t="str">
        <f>_xlfn.IFS('Data set'!$H394&lt;5.7,"Normal",'Data set'!$H394&lt;=6.4,"Prediabetes",'Data set'!$H394&lt;=7.5,"Diabetes",'Data set'!$H394&gt;=7.5,"Uncontrolled")</f>
        <v>Normal</v>
      </c>
      <c r="P394" s="3" t="str">
        <f>_xlfn.IFS('Data set'!$F394&lt;120,"Low",'Data set'!$F394&lt;=200,"Normal",'Data set'!$F394&lt;=240,"Boarderline",'Data set'!$F394&gt;=241,"High")</f>
        <v>Normal</v>
      </c>
      <c r="Q394" s="3" t="str">
        <f>_xlfn.IFS('Data set'!$D394&lt;=18.5,"Low",'Data set'!$D394&lt;=24.9,"Normal",'Data set'!$D394&lt;=29.9,"High",'Data set'!$D394&gt;29.9,"Very High")</f>
        <v>Normal</v>
      </c>
    </row>
    <row r="395" spans="1:17" x14ac:dyDescent="0.25">
      <c r="A395" s="5">
        <v>68</v>
      </c>
      <c r="B395" s="5" t="s">
        <v>9</v>
      </c>
      <c r="C395" s="6">
        <v>222.71</v>
      </c>
      <c r="D395" s="6">
        <v>39.85</v>
      </c>
      <c r="E395" s="5" t="s">
        <v>6</v>
      </c>
      <c r="F395" s="5">
        <v>194</v>
      </c>
      <c r="G395" s="5" t="s">
        <v>362</v>
      </c>
      <c r="H395" s="6">
        <v>8.5500000000000007</v>
      </c>
      <c r="I395" s="5">
        <v>3</v>
      </c>
      <c r="J395" s="5" t="s">
        <v>3</v>
      </c>
      <c r="K395" s="5" t="s">
        <v>4</v>
      </c>
      <c r="L395" s="5">
        <v>135</v>
      </c>
      <c r="M395" s="5">
        <v>77</v>
      </c>
      <c r="N395" s="5" t="s">
        <v>21</v>
      </c>
      <c r="O395" s="5" t="str">
        <f>_xlfn.IFS('Data set'!$H395&lt;5.7,"Normal",'Data set'!$H395&lt;=6.4,"Prediabetes",'Data set'!$H395&lt;=7.5,"Diabetes",'Data set'!$H395&gt;=7.5,"Uncontrolled")</f>
        <v>Uncontrolled</v>
      </c>
      <c r="P395" s="5" t="str">
        <f>_xlfn.IFS('Data set'!$F395&lt;120,"Low",'Data set'!$F395&lt;=200,"Normal",'Data set'!$F395&lt;=240,"Boarderline",'Data set'!$F395&gt;=241,"High")</f>
        <v>Normal</v>
      </c>
      <c r="Q395" s="5" t="str">
        <f>_xlfn.IFS('Data set'!$D395&lt;=18.5,"Low",'Data set'!$D395&lt;=24.9,"Normal",'Data set'!$D395&lt;=29.9,"High",'Data set'!$D395&gt;29.9,"Very High")</f>
        <v>Very High</v>
      </c>
    </row>
    <row r="396" spans="1:17" x14ac:dyDescent="0.25">
      <c r="A396" s="3">
        <v>44</v>
      </c>
      <c r="B396" s="3" t="s">
        <v>9</v>
      </c>
      <c r="C396" s="4">
        <v>250.78</v>
      </c>
      <c r="D396" s="4">
        <v>34.380000000000003</v>
      </c>
      <c r="E396" s="3" t="s">
        <v>1</v>
      </c>
      <c r="F396" s="3">
        <v>252</v>
      </c>
      <c r="G396" s="3" t="s">
        <v>253</v>
      </c>
      <c r="H396" s="4">
        <v>4.24</v>
      </c>
      <c r="I396" s="3">
        <v>3</v>
      </c>
      <c r="J396" s="3" t="s">
        <v>3</v>
      </c>
      <c r="K396" s="3" t="s">
        <v>3</v>
      </c>
      <c r="L396" s="3">
        <v>99</v>
      </c>
      <c r="M396" s="3">
        <v>74</v>
      </c>
      <c r="N396" s="3" t="s">
        <v>23</v>
      </c>
      <c r="O396" s="3" t="str">
        <f>_xlfn.IFS('Data set'!$H396&lt;5.7,"Normal",'Data set'!$H396&lt;=6.4,"Prediabetes",'Data set'!$H396&lt;=7.5,"Diabetes",'Data set'!$H396&gt;=7.5,"Uncontrolled")</f>
        <v>Normal</v>
      </c>
      <c r="P396" s="3" t="str">
        <f>_xlfn.IFS('Data set'!$F396&lt;120,"Low",'Data set'!$F396&lt;=200,"Normal",'Data set'!$F396&lt;=240,"Boarderline",'Data set'!$F396&gt;=241,"High")</f>
        <v>High</v>
      </c>
      <c r="Q396" s="3" t="str">
        <f>_xlfn.IFS('Data set'!$D396&lt;=18.5,"Low",'Data set'!$D396&lt;=24.9,"Normal",'Data set'!$D396&lt;=29.9,"High",'Data set'!$D396&gt;29.9,"Very High")</f>
        <v>Very High</v>
      </c>
    </row>
    <row r="397" spans="1:17" x14ac:dyDescent="0.25">
      <c r="A397" s="5">
        <v>47</v>
      </c>
      <c r="B397" s="5" t="s">
        <v>0</v>
      </c>
      <c r="C397" s="6">
        <v>114.36</v>
      </c>
      <c r="D397" s="6">
        <v>39.36</v>
      </c>
      <c r="E397" s="5" t="s">
        <v>1</v>
      </c>
      <c r="F397" s="5">
        <v>292</v>
      </c>
      <c r="G397" s="5" t="s">
        <v>363</v>
      </c>
      <c r="H397" s="6">
        <v>9.1</v>
      </c>
      <c r="I397" s="5">
        <v>5</v>
      </c>
      <c r="J397" s="5" t="s">
        <v>3</v>
      </c>
      <c r="K397" s="5" t="s">
        <v>3</v>
      </c>
      <c r="L397" s="5">
        <v>131</v>
      </c>
      <c r="M397" s="5">
        <v>73</v>
      </c>
      <c r="N397" s="5" t="s">
        <v>23</v>
      </c>
      <c r="O397" s="5" t="str">
        <f>_xlfn.IFS('Data set'!$H397&lt;5.7,"Normal",'Data set'!$H397&lt;=6.4,"Prediabetes",'Data set'!$H397&lt;=7.5,"Diabetes",'Data set'!$H397&gt;=7.5,"Uncontrolled")</f>
        <v>Uncontrolled</v>
      </c>
      <c r="P397" s="5" t="str">
        <f>_xlfn.IFS('Data set'!$F397&lt;120,"Low",'Data set'!$F397&lt;=200,"Normal",'Data set'!$F397&lt;=240,"Boarderline",'Data set'!$F397&gt;=241,"High")</f>
        <v>High</v>
      </c>
      <c r="Q397" s="5" t="str">
        <f>_xlfn.IFS('Data set'!$D397&lt;=18.5,"Low",'Data set'!$D397&lt;=24.9,"Normal",'Data set'!$D397&lt;=29.9,"High",'Data set'!$D397&gt;29.9,"Very High")</f>
        <v>Very High</v>
      </c>
    </row>
    <row r="398" spans="1:17" x14ac:dyDescent="0.25">
      <c r="A398" s="3">
        <v>21</v>
      </c>
      <c r="B398" s="3" t="s">
        <v>0</v>
      </c>
      <c r="C398" s="4">
        <v>87.23</v>
      </c>
      <c r="D398" s="4">
        <v>21.84</v>
      </c>
      <c r="E398" s="3" t="s">
        <v>1</v>
      </c>
      <c r="F398" s="3">
        <v>115</v>
      </c>
      <c r="G398" s="3" t="s">
        <v>364</v>
      </c>
      <c r="H398" s="4">
        <v>8.57</v>
      </c>
      <c r="I398" s="3">
        <v>2</v>
      </c>
      <c r="J398" s="3" t="s">
        <v>4</v>
      </c>
      <c r="K398" s="3" t="s">
        <v>4</v>
      </c>
      <c r="L398" s="3">
        <v>120</v>
      </c>
      <c r="M398" s="3">
        <v>75</v>
      </c>
      <c r="N398" s="3" t="s">
        <v>17</v>
      </c>
      <c r="O398" s="3" t="str">
        <f>_xlfn.IFS('Data set'!$H398&lt;5.7,"Normal",'Data set'!$H398&lt;=6.4,"Prediabetes",'Data set'!$H398&lt;=7.5,"Diabetes",'Data set'!$H398&gt;=7.5,"Uncontrolled")</f>
        <v>Uncontrolled</v>
      </c>
      <c r="P398" s="3" t="str">
        <f>_xlfn.IFS('Data set'!$F398&lt;120,"Low",'Data set'!$F398&lt;=200,"Normal",'Data set'!$F398&lt;=240,"Boarderline",'Data set'!$F398&gt;=241,"High")</f>
        <v>Low</v>
      </c>
      <c r="Q398" s="3" t="str">
        <f>_xlfn.IFS('Data set'!$D398&lt;=18.5,"Low",'Data set'!$D398&lt;=24.9,"Normal",'Data set'!$D398&lt;=29.9,"High",'Data set'!$D398&gt;29.9,"Very High")</f>
        <v>Normal</v>
      </c>
    </row>
    <row r="399" spans="1:17" x14ac:dyDescent="0.25">
      <c r="A399" s="5">
        <v>25</v>
      </c>
      <c r="B399" s="5" t="s">
        <v>0</v>
      </c>
      <c r="C399" s="6">
        <v>160.09</v>
      </c>
      <c r="D399" s="6">
        <v>39.68</v>
      </c>
      <c r="E399" s="5" t="s">
        <v>14</v>
      </c>
      <c r="F399" s="5">
        <v>104</v>
      </c>
      <c r="G399" s="5" t="s">
        <v>365</v>
      </c>
      <c r="H399" s="6">
        <v>8.52</v>
      </c>
      <c r="I399" s="5">
        <v>2</v>
      </c>
      <c r="J399" s="5" t="s">
        <v>3</v>
      </c>
      <c r="K399" s="5" t="s">
        <v>3</v>
      </c>
      <c r="L399" s="5">
        <v>124</v>
      </c>
      <c r="M399" s="5">
        <v>66</v>
      </c>
      <c r="N399" s="5" t="s">
        <v>17</v>
      </c>
      <c r="O399" s="5" t="str">
        <f>_xlfn.IFS('Data set'!$H399&lt;5.7,"Normal",'Data set'!$H399&lt;=6.4,"Prediabetes",'Data set'!$H399&lt;=7.5,"Diabetes",'Data set'!$H399&gt;=7.5,"Uncontrolled")</f>
        <v>Uncontrolled</v>
      </c>
      <c r="P399" s="5" t="str">
        <f>_xlfn.IFS('Data set'!$F399&lt;120,"Low",'Data set'!$F399&lt;=200,"Normal",'Data set'!$F399&lt;=240,"Boarderline",'Data set'!$F399&gt;=241,"High")</f>
        <v>Low</v>
      </c>
      <c r="Q399" s="5" t="str">
        <f>_xlfn.IFS('Data set'!$D399&lt;=18.5,"Low",'Data set'!$D399&lt;=24.9,"Normal",'Data set'!$D399&lt;=29.9,"High",'Data set'!$D399&gt;29.9,"Very High")</f>
        <v>Very High</v>
      </c>
    </row>
    <row r="400" spans="1:17" x14ac:dyDescent="0.25">
      <c r="A400" s="3">
        <v>24</v>
      </c>
      <c r="B400" s="3" t="s">
        <v>0</v>
      </c>
      <c r="C400" s="4">
        <v>213.57</v>
      </c>
      <c r="D400" s="4">
        <v>18.53</v>
      </c>
      <c r="E400" s="3" t="s">
        <v>10</v>
      </c>
      <c r="F400" s="3">
        <v>223</v>
      </c>
      <c r="G400" s="3" t="s">
        <v>271</v>
      </c>
      <c r="H400" s="4">
        <v>9.1</v>
      </c>
      <c r="I400" s="3">
        <v>4</v>
      </c>
      <c r="J400" s="3" t="s">
        <v>4</v>
      </c>
      <c r="K400" s="3" t="s">
        <v>4</v>
      </c>
      <c r="L400" s="3">
        <v>113</v>
      </c>
      <c r="M400" s="3">
        <v>83</v>
      </c>
      <c r="N400" s="3" t="s">
        <v>17</v>
      </c>
      <c r="O400" s="3" t="str">
        <f>_xlfn.IFS('Data set'!$H400&lt;5.7,"Normal",'Data set'!$H400&lt;=6.4,"Prediabetes",'Data set'!$H400&lt;=7.5,"Diabetes",'Data set'!$H400&gt;=7.5,"Uncontrolled")</f>
        <v>Uncontrolled</v>
      </c>
      <c r="P400" s="3" t="str">
        <f>_xlfn.IFS('Data set'!$F400&lt;120,"Low",'Data set'!$F400&lt;=200,"Normal",'Data set'!$F400&lt;=240,"Boarderline",'Data set'!$F400&gt;=241,"High")</f>
        <v>Boarderline</v>
      </c>
      <c r="Q400" s="3" t="str">
        <f>_xlfn.IFS('Data set'!$D400&lt;=18.5,"Low",'Data set'!$D400&lt;=24.9,"Normal",'Data set'!$D400&lt;=29.9,"High",'Data set'!$D400&gt;29.9,"Very High")</f>
        <v>Normal</v>
      </c>
    </row>
    <row r="401" spans="1:17" x14ac:dyDescent="0.25">
      <c r="A401" s="5">
        <v>27</v>
      </c>
      <c r="B401" s="5" t="s">
        <v>9</v>
      </c>
      <c r="C401" s="6">
        <v>210.72</v>
      </c>
      <c r="D401" s="6">
        <v>19.38</v>
      </c>
      <c r="E401" s="5" t="s">
        <v>14</v>
      </c>
      <c r="F401" s="5">
        <v>205</v>
      </c>
      <c r="G401" s="5" t="s">
        <v>366</v>
      </c>
      <c r="H401" s="6">
        <v>8.65</v>
      </c>
      <c r="I401" s="5">
        <v>7</v>
      </c>
      <c r="J401" s="5" t="s">
        <v>3</v>
      </c>
      <c r="K401" s="5" t="s">
        <v>4</v>
      </c>
      <c r="L401" s="5">
        <v>117</v>
      </c>
      <c r="M401" s="5">
        <v>87</v>
      </c>
      <c r="N401" s="5" t="s">
        <v>17</v>
      </c>
      <c r="O401" s="5" t="str">
        <f>_xlfn.IFS('Data set'!$H401&lt;5.7,"Normal",'Data set'!$H401&lt;=6.4,"Prediabetes",'Data set'!$H401&lt;=7.5,"Diabetes",'Data set'!$H401&gt;=7.5,"Uncontrolled")</f>
        <v>Uncontrolled</v>
      </c>
      <c r="P401" s="5" t="str">
        <f>_xlfn.IFS('Data set'!$F401&lt;120,"Low",'Data set'!$F401&lt;=200,"Normal",'Data set'!$F401&lt;=240,"Boarderline",'Data set'!$F401&gt;=241,"High")</f>
        <v>Boarderline</v>
      </c>
      <c r="Q401" s="5" t="str">
        <f>_xlfn.IFS('Data set'!$D401&lt;=18.5,"Low",'Data set'!$D401&lt;=24.9,"Normal",'Data set'!$D401&lt;=29.9,"High",'Data set'!$D401&gt;29.9,"Very High")</f>
        <v>Normal</v>
      </c>
    </row>
    <row r="402" spans="1:17" x14ac:dyDescent="0.25">
      <c r="A402" s="3">
        <v>31</v>
      </c>
      <c r="B402" s="3" t="s">
        <v>9</v>
      </c>
      <c r="C402" s="4">
        <v>173.95</v>
      </c>
      <c r="D402" s="4">
        <v>20.309999999999999</v>
      </c>
      <c r="E402" s="3" t="s">
        <v>1</v>
      </c>
      <c r="F402" s="3">
        <v>184</v>
      </c>
      <c r="G402" s="3" t="s">
        <v>50</v>
      </c>
      <c r="H402" s="4">
        <v>6.38</v>
      </c>
      <c r="I402" s="3">
        <v>4</v>
      </c>
      <c r="J402" s="3" t="s">
        <v>3</v>
      </c>
      <c r="K402" s="3" t="s">
        <v>3</v>
      </c>
      <c r="L402" s="3">
        <v>90</v>
      </c>
      <c r="M402" s="3">
        <v>90</v>
      </c>
      <c r="N402" s="3" t="s">
        <v>12</v>
      </c>
      <c r="O402" s="3" t="str">
        <f>_xlfn.IFS('Data set'!$H402&lt;5.7,"Normal",'Data set'!$H402&lt;=6.4,"Prediabetes",'Data set'!$H402&lt;=7.5,"Diabetes",'Data set'!$H402&gt;=7.5,"Uncontrolled")</f>
        <v>Prediabetes</v>
      </c>
      <c r="P402" s="3" t="str">
        <f>_xlfn.IFS('Data set'!$F402&lt;120,"Low",'Data set'!$F402&lt;=200,"Normal",'Data set'!$F402&lt;=240,"Boarderline",'Data set'!$F402&gt;=241,"High")</f>
        <v>Normal</v>
      </c>
      <c r="Q402" s="3" t="str">
        <f>_xlfn.IFS('Data set'!$D402&lt;=18.5,"Low",'Data set'!$D402&lt;=24.9,"Normal",'Data set'!$D402&lt;=29.9,"High",'Data set'!$D402&gt;29.9,"Very High")</f>
        <v>Normal</v>
      </c>
    </row>
    <row r="403" spans="1:17" x14ac:dyDescent="0.25">
      <c r="A403" s="5">
        <v>22</v>
      </c>
      <c r="B403" s="5" t="s">
        <v>0</v>
      </c>
      <c r="C403" s="6">
        <v>79.8</v>
      </c>
      <c r="D403" s="6">
        <v>26.62</v>
      </c>
      <c r="E403" s="5" t="s">
        <v>6</v>
      </c>
      <c r="F403" s="5">
        <v>218</v>
      </c>
      <c r="G403" s="5" t="s">
        <v>367</v>
      </c>
      <c r="H403" s="6">
        <v>5.57</v>
      </c>
      <c r="I403" s="5">
        <v>4</v>
      </c>
      <c r="J403" s="5" t="s">
        <v>3</v>
      </c>
      <c r="K403" s="5" t="s">
        <v>4</v>
      </c>
      <c r="L403" s="5">
        <v>119</v>
      </c>
      <c r="M403" s="5">
        <v>79</v>
      </c>
      <c r="N403" s="5" t="s">
        <v>17</v>
      </c>
      <c r="O403" s="5" t="str">
        <f>_xlfn.IFS('Data set'!$H403&lt;5.7,"Normal",'Data set'!$H403&lt;=6.4,"Prediabetes",'Data set'!$H403&lt;=7.5,"Diabetes",'Data set'!$H403&gt;=7.5,"Uncontrolled")</f>
        <v>Normal</v>
      </c>
      <c r="P403" s="5" t="str">
        <f>_xlfn.IFS('Data set'!$F403&lt;120,"Low",'Data set'!$F403&lt;=200,"Normal",'Data set'!$F403&lt;=240,"Boarderline",'Data set'!$F403&gt;=241,"High")</f>
        <v>Boarderline</v>
      </c>
      <c r="Q403" s="5" t="str">
        <f>_xlfn.IFS('Data set'!$D403&lt;=18.5,"Low",'Data set'!$D403&lt;=24.9,"Normal",'Data set'!$D403&lt;=29.9,"High",'Data set'!$D403&gt;29.9,"Very High")</f>
        <v>High</v>
      </c>
    </row>
    <row r="404" spans="1:17" x14ac:dyDescent="0.25">
      <c r="A404" s="3">
        <v>36</v>
      </c>
      <c r="B404" s="3" t="s">
        <v>0</v>
      </c>
      <c r="C404" s="4">
        <v>271.04000000000002</v>
      </c>
      <c r="D404" s="4">
        <v>30.1</v>
      </c>
      <c r="E404" s="3" t="s">
        <v>10</v>
      </c>
      <c r="F404" s="3">
        <v>241</v>
      </c>
      <c r="G404" s="3" t="s">
        <v>368</v>
      </c>
      <c r="H404" s="4">
        <v>9.5</v>
      </c>
      <c r="I404" s="3">
        <v>2</v>
      </c>
      <c r="J404" s="3" t="s">
        <v>4</v>
      </c>
      <c r="K404" s="3" t="s">
        <v>3</v>
      </c>
      <c r="L404" s="3">
        <v>127</v>
      </c>
      <c r="M404" s="3">
        <v>75</v>
      </c>
      <c r="N404" s="3" t="s">
        <v>12</v>
      </c>
      <c r="O404" s="3" t="str">
        <f>_xlfn.IFS('Data set'!$H404&lt;5.7,"Normal",'Data set'!$H404&lt;=6.4,"Prediabetes",'Data set'!$H404&lt;=7.5,"Diabetes",'Data set'!$H404&gt;=7.5,"Uncontrolled")</f>
        <v>Uncontrolled</v>
      </c>
      <c r="P404" s="3" t="str">
        <f>_xlfn.IFS('Data set'!$F404&lt;120,"Low",'Data set'!$F404&lt;=200,"Normal",'Data set'!$F404&lt;=240,"Boarderline",'Data set'!$F404&gt;=241,"High")</f>
        <v>High</v>
      </c>
      <c r="Q404" s="3" t="str">
        <f>_xlfn.IFS('Data set'!$D404&lt;=18.5,"Low",'Data set'!$D404&lt;=24.9,"Normal",'Data set'!$D404&lt;=29.9,"High",'Data set'!$D404&gt;29.9,"Very High")</f>
        <v>Very High</v>
      </c>
    </row>
    <row r="405" spans="1:17" x14ac:dyDescent="0.25">
      <c r="A405" s="5">
        <v>65</v>
      </c>
      <c r="B405" s="5" t="s">
        <v>9</v>
      </c>
      <c r="C405" s="6">
        <v>202.77</v>
      </c>
      <c r="D405" s="6">
        <v>25.79</v>
      </c>
      <c r="E405" s="5" t="s">
        <v>14</v>
      </c>
      <c r="F405" s="5">
        <v>129</v>
      </c>
      <c r="G405" s="5" t="s">
        <v>137</v>
      </c>
      <c r="H405" s="6">
        <v>7.8</v>
      </c>
      <c r="I405" s="5">
        <v>3</v>
      </c>
      <c r="J405" s="5" t="s">
        <v>3</v>
      </c>
      <c r="K405" s="5" t="s">
        <v>3</v>
      </c>
      <c r="L405" s="5">
        <v>125</v>
      </c>
      <c r="M405" s="5">
        <v>77</v>
      </c>
      <c r="N405" s="5" t="s">
        <v>21</v>
      </c>
      <c r="O405" s="5" t="str">
        <f>_xlfn.IFS('Data set'!$H405&lt;5.7,"Normal",'Data set'!$H405&lt;=6.4,"Prediabetes",'Data set'!$H405&lt;=7.5,"Diabetes",'Data set'!$H405&gt;=7.5,"Uncontrolled")</f>
        <v>Uncontrolled</v>
      </c>
      <c r="P405" s="5" t="str">
        <f>_xlfn.IFS('Data set'!$F405&lt;120,"Low",'Data set'!$F405&lt;=200,"Normal",'Data set'!$F405&lt;=240,"Boarderline",'Data set'!$F405&gt;=241,"High")</f>
        <v>Normal</v>
      </c>
      <c r="Q405" s="5" t="str">
        <f>_xlfn.IFS('Data set'!$D405&lt;=18.5,"Low",'Data set'!$D405&lt;=24.9,"Normal",'Data set'!$D405&lt;=29.9,"High",'Data set'!$D405&gt;29.9,"Very High")</f>
        <v>High</v>
      </c>
    </row>
    <row r="406" spans="1:17" x14ac:dyDescent="0.25">
      <c r="A406" s="3">
        <v>64</v>
      </c>
      <c r="B406" s="3" t="s">
        <v>9</v>
      </c>
      <c r="C406" s="4">
        <v>220.7</v>
      </c>
      <c r="D406" s="4">
        <v>18.61</v>
      </c>
      <c r="E406" s="3" t="s">
        <v>10</v>
      </c>
      <c r="F406" s="3">
        <v>139</v>
      </c>
      <c r="G406" s="3" t="s">
        <v>369</v>
      </c>
      <c r="H406" s="4">
        <v>6.12</v>
      </c>
      <c r="I406" s="3">
        <v>5</v>
      </c>
      <c r="J406" s="3" t="s">
        <v>4</v>
      </c>
      <c r="K406" s="3" t="s">
        <v>3</v>
      </c>
      <c r="L406" s="3">
        <v>127</v>
      </c>
      <c r="M406" s="3">
        <v>87</v>
      </c>
      <c r="N406" s="3" t="s">
        <v>21</v>
      </c>
      <c r="O406" s="3" t="str">
        <f>_xlfn.IFS('Data set'!$H406&lt;5.7,"Normal",'Data set'!$H406&lt;=6.4,"Prediabetes",'Data set'!$H406&lt;=7.5,"Diabetes",'Data set'!$H406&gt;=7.5,"Uncontrolled")</f>
        <v>Prediabetes</v>
      </c>
      <c r="P406" s="3" t="str">
        <f>_xlfn.IFS('Data set'!$F406&lt;120,"Low",'Data set'!$F406&lt;=200,"Normal",'Data set'!$F406&lt;=240,"Boarderline",'Data set'!$F406&gt;=241,"High")</f>
        <v>Normal</v>
      </c>
      <c r="Q406" s="3" t="str">
        <f>_xlfn.IFS('Data set'!$D406&lt;=18.5,"Low",'Data set'!$D406&lt;=24.9,"Normal",'Data set'!$D406&lt;=29.9,"High",'Data set'!$D406&gt;29.9,"Very High")</f>
        <v>Normal</v>
      </c>
    </row>
    <row r="407" spans="1:17" x14ac:dyDescent="0.25">
      <c r="A407" s="5">
        <v>51</v>
      </c>
      <c r="B407" s="5" t="s">
        <v>9</v>
      </c>
      <c r="C407" s="6">
        <v>247.82</v>
      </c>
      <c r="D407" s="6">
        <v>20.16</v>
      </c>
      <c r="E407" s="5" t="s">
        <v>6</v>
      </c>
      <c r="F407" s="5">
        <v>159</v>
      </c>
      <c r="G407" s="5" t="s">
        <v>370</v>
      </c>
      <c r="H407" s="6">
        <v>7.26</v>
      </c>
      <c r="I407" s="5">
        <v>2</v>
      </c>
      <c r="J407" s="5" t="s">
        <v>3</v>
      </c>
      <c r="K407" s="5" t="s">
        <v>3</v>
      </c>
      <c r="L407" s="5">
        <v>130</v>
      </c>
      <c r="M407" s="5">
        <v>82</v>
      </c>
      <c r="N407" s="5" t="s">
        <v>8</v>
      </c>
      <c r="O407" s="5" t="str">
        <f>_xlfn.IFS('Data set'!$H407&lt;5.7,"Normal",'Data set'!$H407&lt;=6.4,"Prediabetes",'Data set'!$H407&lt;=7.5,"Diabetes",'Data set'!$H407&gt;=7.5,"Uncontrolled")</f>
        <v>Diabetes</v>
      </c>
      <c r="P407" s="5" t="str">
        <f>_xlfn.IFS('Data set'!$F407&lt;120,"Low",'Data set'!$F407&lt;=200,"Normal",'Data set'!$F407&lt;=240,"Boarderline",'Data set'!$F407&gt;=241,"High")</f>
        <v>Normal</v>
      </c>
      <c r="Q407" s="5" t="str">
        <f>_xlfn.IFS('Data set'!$D407&lt;=18.5,"Low",'Data set'!$D407&lt;=24.9,"Normal",'Data set'!$D407&lt;=29.9,"High",'Data set'!$D407&gt;29.9,"Very High")</f>
        <v>Normal</v>
      </c>
    </row>
    <row r="408" spans="1:17" x14ac:dyDescent="0.25">
      <c r="A408" s="3">
        <v>54</v>
      </c>
      <c r="B408" s="3" t="s">
        <v>9</v>
      </c>
      <c r="C408" s="4">
        <v>158.53</v>
      </c>
      <c r="D408" s="4">
        <v>28.33</v>
      </c>
      <c r="E408" s="3" t="s">
        <v>1</v>
      </c>
      <c r="F408" s="3">
        <v>252</v>
      </c>
      <c r="G408" s="3" t="s">
        <v>371</v>
      </c>
      <c r="H408" s="4">
        <v>5.97</v>
      </c>
      <c r="I408" s="3">
        <v>7</v>
      </c>
      <c r="J408" s="3" t="s">
        <v>4</v>
      </c>
      <c r="K408" s="3" t="s">
        <v>4</v>
      </c>
      <c r="L408" s="3">
        <v>93</v>
      </c>
      <c r="M408" s="3">
        <v>83</v>
      </c>
      <c r="N408" s="3" t="s">
        <v>8</v>
      </c>
      <c r="O408" s="3" t="str">
        <f>_xlfn.IFS('Data set'!$H408&lt;5.7,"Normal",'Data set'!$H408&lt;=6.4,"Prediabetes",'Data set'!$H408&lt;=7.5,"Diabetes",'Data set'!$H408&gt;=7.5,"Uncontrolled")</f>
        <v>Prediabetes</v>
      </c>
      <c r="P408" s="3" t="str">
        <f>_xlfn.IFS('Data set'!$F408&lt;120,"Low",'Data set'!$F408&lt;=200,"Normal",'Data set'!$F408&lt;=240,"Boarderline",'Data set'!$F408&gt;=241,"High")</f>
        <v>High</v>
      </c>
      <c r="Q408" s="3" t="str">
        <f>_xlfn.IFS('Data set'!$D408&lt;=18.5,"Low",'Data set'!$D408&lt;=24.9,"Normal",'Data set'!$D408&lt;=29.9,"High",'Data set'!$D408&gt;29.9,"Very High")</f>
        <v>High</v>
      </c>
    </row>
    <row r="409" spans="1:17" x14ac:dyDescent="0.25">
      <c r="A409" s="5">
        <v>37</v>
      </c>
      <c r="B409" s="5" t="s">
        <v>0</v>
      </c>
      <c r="C409" s="6">
        <v>199.25</v>
      </c>
      <c r="D409" s="6">
        <v>27.37</v>
      </c>
      <c r="E409" s="5" t="s">
        <v>10</v>
      </c>
      <c r="F409" s="5">
        <v>290</v>
      </c>
      <c r="G409" s="5" t="s">
        <v>372</v>
      </c>
      <c r="H409" s="6">
        <v>6.59</v>
      </c>
      <c r="I409" s="5">
        <v>6</v>
      </c>
      <c r="J409" s="5" t="s">
        <v>4</v>
      </c>
      <c r="K409" s="5" t="s">
        <v>3</v>
      </c>
      <c r="L409" s="5">
        <v>116</v>
      </c>
      <c r="M409" s="5">
        <v>67</v>
      </c>
      <c r="N409" s="5" t="s">
        <v>12</v>
      </c>
      <c r="O409" s="5" t="str">
        <f>_xlfn.IFS('Data set'!$H409&lt;5.7,"Normal",'Data set'!$H409&lt;=6.4,"Prediabetes",'Data set'!$H409&lt;=7.5,"Diabetes",'Data set'!$H409&gt;=7.5,"Uncontrolled")</f>
        <v>Diabetes</v>
      </c>
      <c r="P409" s="5" t="str">
        <f>_xlfn.IFS('Data set'!$F409&lt;120,"Low",'Data set'!$F409&lt;=200,"Normal",'Data set'!$F409&lt;=240,"Boarderline",'Data set'!$F409&gt;=241,"High")</f>
        <v>High</v>
      </c>
      <c r="Q409" s="5" t="str">
        <f>_xlfn.IFS('Data set'!$D409&lt;=18.5,"Low",'Data set'!$D409&lt;=24.9,"Normal",'Data set'!$D409&lt;=29.9,"High",'Data set'!$D409&gt;29.9,"Very High")</f>
        <v>High</v>
      </c>
    </row>
    <row r="410" spans="1:17" x14ac:dyDescent="0.25">
      <c r="A410" s="3">
        <v>56</v>
      </c>
      <c r="B410" s="3" t="s">
        <v>9</v>
      </c>
      <c r="C410" s="4">
        <v>134.16</v>
      </c>
      <c r="D410" s="4">
        <v>18.47</v>
      </c>
      <c r="E410" s="3" t="s">
        <v>14</v>
      </c>
      <c r="F410" s="3">
        <v>271</v>
      </c>
      <c r="G410" s="3" t="s">
        <v>373</v>
      </c>
      <c r="H410" s="4">
        <v>9.5299999999999994</v>
      </c>
      <c r="I410" s="3">
        <v>4</v>
      </c>
      <c r="J410" s="3" t="s">
        <v>4</v>
      </c>
      <c r="K410" s="3" t="s">
        <v>3</v>
      </c>
      <c r="L410" s="3">
        <v>121</v>
      </c>
      <c r="M410" s="3">
        <v>85</v>
      </c>
      <c r="N410" s="3" t="s">
        <v>8</v>
      </c>
      <c r="O410" s="3" t="str">
        <f>_xlfn.IFS('Data set'!$H410&lt;5.7,"Normal",'Data set'!$H410&lt;=6.4,"Prediabetes",'Data set'!$H410&lt;=7.5,"Diabetes",'Data set'!$H410&gt;=7.5,"Uncontrolled")</f>
        <v>Uncontrolled</v>
      </c>
      <c r="P410" s="3" t="str">
        <f>_xlfn.IFS('Data set'!$F410&lt;120,"Low",'Data set'!$F410&lt;=200,"Normal",'Data set'!$F410&lt;=240,"Boarderline",'Data set'!$F410&gt;=241,"High")</f>
        <v>High</v>
      </c>
      <c r="Q410" s="3" t="str">
        <f>_xlfn.IFS('Data set'!$D410&lt;=18.5,"Low",'Data set'!$D410&lt;=24.9,"Normal",'Data set'!$D410&lt;=29.9,"High",'Data set'!$D410&gt;29.9,"Very High")</f>
        <v>Low</v>
      </c>
    </row>
    <row r="411" spans="1:17" x14ac:dyDescent="0.25">
      <c r="A411" s="5">
        <v>52</v>
      </c>
      <c r="B411" s="5" t="s">
        <v>0</v>
      </c>
      <c r="C411" s="6">
        <v>93.11</v>
      </c>
      <c r="D411" s="6">
        <v>38.07</v>
      </c>
      <c r="E411" s="5" t="s">
        <v>6</v>
      </c>
      <c r="F411" s="5">
        <v>229</v>
      </c>
      <c r="G411" s="5" t="s">
        <v>374</v>
      </c>
      <c r="H411" s="6">
        <v>8.67</v>
      </c>
      <c r="I411" s="5">
        <v>0</v>
      </c>
      <c r="J411" s="5" t="s">
        <v>4</v>
      </c>
      <c r="K411" s="5" t="s">
        <v>4</v>
      </c>
      <c r="L411" s="5">
        <v>96</v>
      </c>
      <c r="M411" s="5">
        <v>62</v>
      </c>
      <c r="N411" s="5" t="s">
        <v>8</v>
      </c>
      <c r="O411" s="5" t="str">
        <f>_xlfn.IFS('Data set'!$H411&lt;5.7,"Normal",'Data set'!$H411&lt;=6.4,"Prediabetes",'Data set'!$H411&lt;=7.5,"Diabetes",'Data set'!$H411&gt;=7.5,"Uncontrolled")</f>
        <v>Uncontrolled</v>
      </c>
      <c r="P411" s="5" t="str">
        <f>_xlfn.IFS('Data set'!$F411&lt;120,"Low",'Data set'!$F411&lt;=200,"Normal",'Data set'!$F411&lt;=240,"Boarderline",'Data set'!$F411&gt;=241,"High")</f>
        <v>Boarderline</v>
      </c>
      <c r="Q411" s="5" t="str">
        <f>_xlfn.IFS('Data set'!$D411&lt;=18.5,"Low",'Data set'!$D411&lt;=24.9,"Normal",'Data set'!$D411&lt;=29.9,"High",'Data set'!$D411&gt;29.9,"Very High")</f>
        <v>Very High</v>
      </c>
    </row>
    <row r="412" spans="1:17" x14ac:dyDescent="0.25">
      <c r="A412" s="3">
        <v>47</v>
      </c>
      <c r="B412" s="3" t="s">
        <v>9</v>
      </c>
      <c r="C412" s="4">
        <v>295.77</v>
      </c>
      <c r="D412" s="4">
        <v>21.48</v>
      </c>
      <c r="E412" s="3" t="s">
        <v>1</v>
      </c>
      <c r="F412" s="3">
        <v>256</v>
      </c>
      <c r="G412" s="3" t="s">
        <v>375</v>
      </c>
      <c r="H412" s="4">
        <v>9.5399999999999991</v>
      </c>
      <c r="I412" s="3">
        <v>4</v>
      </c>
      <c r="J412" s="3" t="s">
        <v>3</v>
      </c>
      <c r="K412" s="3" t="s">
        <v>4</v>
      </c>
      <c r="L412" s="3">
        <v>129</v>
      </c>
      <c r="M412" s="3">
        <v>65</v>
      </c>
      <c r="N412" s="3" t="s">
        <v>23</v>
      </c>
      <c r="O412" s="3" t="str">
        <f>_xlfn.IFS('Data set'!$H412&lt;5.7,"Normal",'Data set'!$H412&lt;=6.4,"Prediabetes",'Data set'!$H412&lt;=7.5,"Diabetes",'Data set'!$H412&gt;=7.5,"Uncontrolled")</f>
        <v>Uncontrolled</v>
      </c>
      <c r="P412" s="3" t="str">
        <f>_xlfn.IFS('Data set'!$F412&lt;120,"Low",'Data set'!$F412&lt;=200,"Normal",'Data set'!$F412&lt;=240,"Boarderline",'Data set'!$F412&gt;=241,"High")</f>
        <v>High</v>
      </c>
      <c r="Q412" s="3" t="str">
        <f>_xlfn.IFS('Data set'!$D412&lt;=18.5,"Low",'Data set'!$D412&lt;=24.9,"Normal",'Data set'!$D412&lt;=29.9,"High",'Data set'!$D412&gt;29.9,"Very High")</f>
        <v>Normal</v>
      </c>
    </row>
    <row r="413" spans="1:17" x14ac:dyDescent="0.25">
      <c r="A413" s="5">
        <v>63</v>
      </c>
      <c r="B413" s="5" t="s">
        <v>9</v>
      </c>
      <c r="C413" s="6">
        <v>168.11</v>
      </c>
      <c r="D413" s="6">
        <v>30.62</v>
      </c>
      <c r="E413" s="5" t="s">
        <v>1</v>
      </c>
      <c r="F413" s="5">
        <v>190</v>
      </c>
      <c r="G413" s="5" t="s">
        <v>376</v>
      </c>
      <c r="H413" s="6">
        <v>4.6100000000000003</v>
      </c>
      <c r="I413" s="5">
        <v>3</v>
      </c>
      <c r="J413" s="5" t="s">
        <v>3</v>
      </c>
      <c r="K413" s="5" t="s">
        <v>3</v>
      </c>
      <c r="L413" s="5">
        <v>90</v>
      </c>
      <c r="M413" s="5">
        <v>84</v>
      </c>
      <c r="N413" s="5" t="s">
        <v>21</v>
      </c>
      <c r="O413" s="5" t="str">
        <f>_xlfn.IFS('Data set'!$H413&lt;5.7,"Normal",'Data set'!$H413&lt;=6.4,"Prediabetes",'Data set'!$H413&lt;=7.5,"Diabetes",'Data set'!$H413&gt;=7.5,"Uncontrolled")</f>
        <v>Normal</v>
      </c>
      <c r="P413" s="5" t="str">
        <f>_xlfn.IFS('Data set'!$F413&lt;120,"Low",'Data set'!$F413&lt;=200,"Normal",'Data set'!$F413&lt;=240,"Boarderline",'Data set'!$F413&gt;=241,"High")</f>
        <v>Normal</v>
      </c>
      <c r="Q413" s="5" t="str">
        <f>_xlfn.IFS('Data set'!$D413&lt;=18.5,"Low",'Data set'!$D413&lt;=24.9,"Normal",'Data set'!$D413&lt;=29.9,"High",'Data set'!$D413&gt;29.9,"Very High")</f>
        <v>Very High</v>
      </c>
    </row>
    <row r="414" spans="1:17" x14ac:dyDescent="0.25">
      <c r="A414" s="3">
        <v>43</v>
      </c>
      <c r="B414" s="3" t="s">
        <v>9</v>
      </c>
      <c r="C414" s="4">
        <v>111.28</v>
      </c>
      <c r="D414" s="4">
        <v>31.88</v>
      </c>
      <c r="E414" s="3" t="s">
        <v>10</v>
      </c>
      <c r="F414" s="3">
        <v>165</v>
      </c>
      <c r="G414" s="3" t="s">
        <v>377</v>
      </c>
      <c r="H414" s="4">
        <v>6.17</v>
      </c>
      <c r="I414" s="3">
        <v>5</v>
      </c>
      <c r="J414" s="3" t="s">
        <v>3</v>
      </c>
      <c r="K414" s="3" t="s">
        <v>4</v>
      </c>
      <c r="L414" s="3">
        <v>90</v>
      </c>
      <c r="M414" s="3">
        <v>70</v>
      </c>
      <c r="N414" s="3" t="s">
        <v>23</v>
      </c>
      <c r="O414" s="3" t="str">
        <f>_xlfn.IFS('Data set'!$H414&lt;5.7,"Normal",'Data set'!$H414&lt;=6.4,"Prediabetes",'Data set'!$H414&lt;=7.5,"Diabetes",'Data set'!$H414&gt;=7.5,"Uncontrolled")</f>
        <v>Prediabetes</v>
      </c>
      <c r="P414" s="3" t="str">
        <f>_xlfn.IFS('Data set'!$F414&lt;120,"Low",'Data set'!$F414&lt;=200,"Normal",'Data set'!$F414&lt;=240,"Boarderline",'Data set'!$F414&gt;=241,"High")</f>
        <v>Normal</v>
      </c>
      <c r="Q414" s="3" t="str">
        <f>_xlfn.IFS('Data set'!$D414&lt;=18.5,"Low",'Data set'!$D414&lt;=24.9,"Normal",'Data set'!$D414&lt;=29.9,"High",'Data set'!$D414&gt;29.9,"Very High")</f>
        <v>Very High</v>
      </c>
    </row>
    <row r="415" spans="1:17" x14ac:dyDescent="0.25">
      <c r="A415" s="5">
        <v>34</v>
      </c>
      <c r="B415" s="5" t="s">
        <v>0</v>
      </c>
      <c r="C415" s="6">
        <v>187.49</v>
      </c>
      <c r="D415" s="6">
        <v>20.04</v>
      </c>
      <c r="E415" s="5" t="s">
        <v>10</v>
      </c>
      <c r="F415" s="5">
        <v>223</v>
      </c>
      <c r="G415" s="5" t="s">
        <v>116</v>
      </c>
      <c r="H415" s="6">
        <v>8.82</v>
      </c>
      <c r="I415" s="5">
        <v>7</v>
      </c>
      <c r="J415" s="5" t="s">
        <v>4</v>
      </c>
      <c r="K415" s="5" t="s">
        <v>4</v>
      </c>
      <c r="L415" s="5">
        <v>128</v>
      </c>
      <c r="M415" s="5">
        <v>79</v>
      </c>
      <c r="N415" s="5" t="s">
        <v>12</v>
      </c>
      <c r="O415" s="5" t="str">
        <f>_xlfn.IFS('Data set'!$H415&lt;5.7,"Normal",'Data set'!$H415&lt;=6.4,"Prediabetes",'Data set'!$H415&lt;=7.5,"Diabetes",'Data set'!$H415&gt;=7.5,"Uncontrolled")</f>
        <v>Uncontrolled</v>
      </c>
      <c r="P415" s="5" t="str">
        <f>_xlfn.IFS('Data set'!$F415&lt;120,"Low",'Data set'!$F415&lt;=200,"Normal",'Data set'!$F415&lt;=240,"Boarderline",'Data set'!$F415&gt;=241,"High")</f>
        <v>Boarderline</v>
      </c>
      <c r="Q415" s="5" t="str">
        <f>_xlfn.IFS('Data set'!$D415&lt;=18.5,"Low",'Data set'!$D415&lt;=24.9,"Normal",'Data set'!$D415&lt;=29.9,"High",'Data set'!$D415&gt;29.9,"Very High")</f>
        <v>Normal</v>
      </c>
    </row>
    <row r="416" spans="1:17" x14ac:dyDescent="0.25">
      <c r="A416" s="3">
        <v>23</v>
      </c>
      <c r="B416" s="3" t="s">
        <v>9</v>
      </c>
      <c r="C416" s="4">
        <v>190.96</v>
      </c>
      <c r="D416" s="4">
        <v>22.71</v>
      </c>
      <c r="E416" s="3" t="s">
        <v>10</v>
      </c>
      <c r="F416" s="3">
        <v>168</v>
      </c>
      <c r="G416" s="3" t="s">
        <v>378</v>
      </c>
      <c r="H416" s="4">
        <v>7.9</v>
      </c>
      <c r="I416" s="3">
        <v>1</v>
      </c>
      <c r="J416" s="3" t="s">
        <v>4</v>
      </c>
      <c r="K416" s="3" t="s">
        <v>3</v>
      </c>
      <c r="L416" s="3">
        <v>117</v>
      </c>
      <c r="M416" s="3">
        <v>90</v>
      </c>
      <c r="N416" s="3" t="s">
        <v>17</v>
      </c>
      <c r="O416" s="3" t="str">
        <f>_xlfn.IFS('Data set'!$H416&lt;5.7,"Normal",'Data set'!$H416&lt;=6.4,"Prediabetes",'Data set'!$H416&lt;=7.5,"Diabetes",'Data set'!$H416&gt;=7.5,"Uncontrolled")</f>
        <v>Uncontrolled</v>
      </c>
      <c r="P416" s="3" t="str">
        <f>_xlfn.IFS('Data set'!$F416&lt;120,"Low",'Data set'!$F416&lt;=200,"Normal",'Data set'!$F416&lt;=240,"Boarderline",'Data set'!$F416&gt;=241,"High")</f>
        <v>Normal</v>
      </c>
      <c r="Q416" s="3" t="str">
        <f>_xlfn.IFS('Data set'!$D416&lt;=18.5,"Low",'Data set'!$D416&lt;=24.9,"Normal",'Data set'!$D416&lt;=29.9,"High",'Data set'!$D416&gt;29.9,"Very High")</f>
        <v>Normal</v>
      </c>
    </row>
    <row r="417" spans="1:17" x14ac:dyDescent="0.25">
      <c r="A417" s="5">
        <v>43</v>
      </c>
      <c r="B417" s="5" t="s">
        <v>0</v>
      </c>
      <c r="C417" s="6">
        <v>203.52</v>
      </c>
      <c r="D417" s="6">
        <v>27.05</v>
      </c>
      <c r="E417" s="5" t="s">
        <v>14</v>
      </c>
      <c r="F417" s="5">
        <v>231</v>
      </c>
      <c r="G417" s="5" t="s">
        <v>221</v>
      </c>
      <c r="H417" s="6">
        <v>6.33</v>
      </c>
      <c r="I417" s="5">
        <v>6</v>
      </c>
      <c r="J417" s="5" t="s">
        <v>4</v>
      </c>
      <c r="K417" s="5" t="s">
        <v>4</v>
      </c>
      <c r="L417" s="5">
        <v>125</v>
      </c>
      <c r="M417" s="5">
        <v>75</v>
      </c>
      <c r="N417" s="5" t="s">
        <v>23</v>
      </c>
      <c r="O417" s="5" t="str">
        <f>_xlfn.IFS('Data set'!$H417&lt;5.7,"Normal",'Data set'!$H417&lt;=6.4,"Prediabetes",'Data set'!$H417&lt;=7.5,"Diabetes",'Data set'!$H417&gt;=7.5,"Uncontrolled")</f>
        <v>Prediabetes</v>
      </c>
      <c r="P417" s="5" t="str">
        <f>_xlfn.IFS('Data set'!$F417&lt;120,"Low",'Data set'!$F417&lt;=200,"Normal",'Data set'!$F417&lt;=240,"Boarderline",'Data set'!$F417&gt;=241,"High")</f>
        <v>Boarderline</v>
      </c>
      <c r="Q417" s="5" t="str">
        <f>_xlfn.IFS('Data set'!$D417&lt;=18.5,"Low",'Data set'!$D417&lt;=24.9,"Normal",'Data set'!$D417&lt;=29.9,"High",'Data set'!$D417&gt;29.9,"Very High")</f>
        <v>High</v>
      </c>
    </row>
    <row r="418" spans="1:17" x14ac:dyDescent="0.25">
      <c r="A418" s="3">
        <v>66</v>
      </c>
      <c r="B418" s="3" t="s">
        <v>0</v>
      </c>
      <c r="C418" s="4">
        <v>238.29</v>
      </c>
      <c r="D418" s="4">
        <v>20.59</v>
      </c>
      <c r="E418" s="3" t="s">
        <v>6</v>
      </c>
      <c r="F418" s="3">
        <v>178</v>
      </c>
      <c r="G418" s="3" t="s">
        <v>379</v>
      </c>
      <c r="H418" s="4">
        <v>8.76</v>
      </c>
      <c r="I418" s="3">
        <v>1</v>
      </c>
      <c r="J418" s="3" t="s">
        <v>3</v>
      </c>
      <c r="K418" s="3" t="s">
        <v>4</v>
      </c>
      <c r="L418" s="3">
        <v>97</v>
      </c>
      <c r="M418" s="3">
        <v>62</v>
      </c>
      <c r="N418" s="3" t="s">
        <v>21</v>
      </c>
      <c r="O418" s="3" t="str">
        <f>_xlfn.IFS('Data set'!$H418&lt;5.7,"Normal",'Data set'!$H418&lt;=6.4,"Prediabetes",'Data set'!$H418&lt;=7.5,"Diabetes",'Data set'!$H418&gt;=7.5,"Uncontrolled")</f>
        <v>Uncontrolled</v>
      </c>
      <c r="P418" s="3" t="str">
        <f>_xlfn.IFS('Data set'!$F418&lt;120,"Low",'Data set'!$F418&lt;=200,"Normal",'Data set'!$F418&lt;=240,"Boarderline",'Data set'!$F418&gt;=241,"High")</f>
        <v>Normal</v>
      </c>
      <c r="Q418" s="3" t="str">
        <f>_xlfn.IFS('Data set'!$D418&lt;=18.5,"Low",'Data set'!$D418&lt;=24.9,"Normal",'Data set'!$D418&lt;=29.9,"High",'Data set'!$D418&gt;29.9,"Very High")</f>
        <v>Normal</v>
      </c>
    </row>
    <row r="419" spans="1:17" x14ac:dyDescent="0.25">
      <c r="A419" s="5">
        <v>41</v>
      </c>
      <c r="B419" s="5" t="s">
        <v>0</v>
      </c>
      <c r="C419" s="6">
        <v>128.12</v>
      </c>
      <c r="D419" s="6">
        <v>36.79</v>
      </c>
      <c r="E419" s="5" t="s">
        <v>10</v>
      </c>
      <c r="F419" s="5">
        <v>112</v>
      </c>
      <c r="G419" s="5" t="s">
        <v>204</v>
      </c>
      <c r="H419" s="6">
        <v>5.35</v>
      </c>
      <c r="I419" s="5">
        <v>1</v>
      </c>
      <c r="J419" s="5" t="s">
        <v>3</v>
      </c>
      <c r="K419" s="5" t="s">
        <v>4</v>
      </c>
      <c r="L419" s="5">
        <v>115</v>
      </c>
      <c r="M419" s="5">
        <v>80</v>
      </c>
      <c r="N419" s="5" t="s">
        <v>23</v>
      </c>
      <c r="O419" s="5" t="str">
        <f>_xlfn.IFS('Data set'!$H419&lt;5.7,"Normal",'Data set'!$H419&lt;=6.4,"Prediabetes",'Data set'!$H419&lt;=7.5,"Diabetes",'Data set'!$H419&gt;=7.5,"Uncontrolled")</f>
        <v>Normal</v>
      </c>
      <c r="P419" s="5" t="str">
        <f>_xlfn.IFS('Data set'!$F419&lt;120,"Low",'Data set'!$F419&lt;=200,"Normal",'Data set'!$F419&lt;=240,"Boarderline",'Data set'!$F419&gt;=241,"High")</f>
        <v>Low</v>
      </c>
      <c r="Q419" s="5" t="str">
        <f>_xlfn.IFS('Data set'!$D419&lt;=18.5,"Low",'Data set'!$D419&lt;=24.9,"Normal",'Data set'!$D419&lt;=29.9,"High",'Data set'!$D419&gt;29.9,"Very High")</f>
        <v>Very High</v>
      </c>
    </row>
    <row r="420" spans="1:17" x14ac:dyDescent="0.25">
      <c r="A420" s="3">
        <v>52</v>
      </c>
      <c r="B420" s="3" t="s">
        <v>9</v>
      </c>
      <c r="C420" s="4">
        <v>100.08</v>
      </c>
      <c r="D420" s="4">
        <v>24.49</v>
      </c>
      <c r="E420" s="3" t="s">
        <v>6</v>
      </c>
      <c r="F420" s="3">
        <v>194</v>
      </c>
      <c r="G420" s="3" t="s">
        <v>168</v>
      </c>
      <c r="H420" s="4">
        <v>5.19</v>
      </c>
      <c r="I420" s="3">
        <v>5</v>
      </c>
      <c r="J420" s="3" t="s">
        <v>4</v>
      </c>
      <c r="K420" s="3" t="s">
        <v>3</v>
      </c>
      <c r="L420" s="3">
        <v>91</v>
      </c>
      <c r="M420" s="3">
        <v>62</v>
      </c>
      <c r="N420" s="3" t="s">
        <v>8</v>
      </c>
      <c r="O420" s="3" t="str">
        <f>_xlfn.IFS('Data set'!$H420&lt;5.7,"Normal",'Data set'!$H420&lt;=6.4,"Prediabetes",'Data set'!$H420&lt;=7.5,"Diabetes",'Data set'!$H420&gt;=7.5,"Uncontrolled")</f>
        <v>Normal</v>
      </c>
      <c r="P420" s="3" t="str">
        <f>_xlfn.IFS('Data set'!$F420&lt;120,"Low",'Data set'!$F420&lt;=200,"Normal",'Data set'!$F420&lt;=240,"Boarderline",'Data set'!$F420&gt;=241,"High")</f>
        <v>Normal</v>
      </c>
      <c r="Q420" s="3" t="str">
        <f>_xlfn.IFS('Data set'!$D420&lt;=18.5,"Low",'Data set'!$D420&lt;=24.9,"Normal",'Data set'!$D420&lt;=29.9,"High",'Data set'!$D420&gt;29.9,"Very High")</f>
        <v>Normal</v>
      </c>
    </row>
    <row r="421" spans="1:17" x14ac:dyDescent="0.25">
      <c r="A421" s="5">
        <v>26</v>
      </c>
      <c r="B421" s="5" t="s">
        <v>0</v>
      </c>
      <c r="C421" s="6">
        <v>105.26</v>
      </c>
      <c r="D421" s="6">
        <v>19.350000000000001</v>
      </c>
      <c r="E421" s="5" t="s">
        <v>10</v>
      </c>
      <c r="F421" s="5">
        <v>127</v>
      </c>
      <c r="G421" s="5" t="s">
        <v>380</v>
      </c>
      <c r="H421" s="6">
        <v>6.34</v>
      </c>
      <c r="I421" s="5">
        <v>4</v>
      </c>
      <c r="J421" s="5" t="s">
        <v>4</v>
      </c>
      <c r="K421" s="5" t="s">
        <v>3</v>
      </c>
      <c r="L421" s="5">
        <v>139</v>
      </c>
      <c r="M421" s="5">
        <v>70</v>
      </c>
      <c r="N421" s="5" t="s">
        <v>17</v>
      </c>
      <c r="O421" s="5" t="str">
        <f>_xlfn.IFS('Data set'!$H421&lt;5.7,"Normal",'Data set'!$H421&lt;=6.4,"Prediabetes",'Data set'!$H421&lt;=7.5,"Diabetes",'Data set'!$H421&gt;=7.5,"Uncontrolled")</f>
        <v>Prediabetes</v>
      </c>
      <c r="P421" s="5" t="str">
        <f>_xlfn.IFS('Data set'!$F421&lt;120,"Low",'Data set'!$F421&lt;=200,"Normal",'Data set'!$F421&lt;=240,"Boarderline",'Data set'!$F421&gt;=241,"High")</f>
        <v>Normal</v>
      </c>
      <c r="Q421" s="5" t="str">
        <f>_xlfn.IFS('Data set'!$D421&lt;=18.5,"Low",'Data set'!$D421&lt;=24.9,"Normal",'Data set'!$D421&lt;=29.9,"High",'Data set'!$D421&gt;29.9,"Very High")</f>
        <v>Normal</v>
      </c>
    </row>
    <row r="422" spans="1:17" x14ac:dyDescent="0.25">
      <c r="A422" s="3">
        <v>43</v>
      </c>
      <c r="B422" s="3" t="s">
        <v>0</v>
      </c>
      <c r="C422" s="4">
        <v>229.32</v>
      </c>
      <c r="D422" s="4">
        <v>26.44</v>
      </c>
      <c r="E422" s="3" t="s">
        <v>6</v>
      </c>
      <c r="F422" s="3">
        <v>208</v>
      </c>
      <c r="G422" s="3" t="s">
        <v>381</v>
      </c>
      <c r="H422" s="4">
        <v>4.1100000000000003</v>
      </c>
      <c r="I422" s="3">
        <v>0</v>
      </c>
      <c r="J422" s="3" t="s">
        <v>4</v>
      </c>
      <c r="K422" s="3" t="s">
        <v>4</v>
      </c>
      <c r="L422" s="3">
        <v>117</v>
      </c>
      <c r="M422" s="3">
        <v>73</v>
      </c>
      <c r="N422" s="3" t="s">
        <v>23</v>
      </c>
      <c r="O422" s="3" t="str">
        <f>_xlfn.IFS('Data set'!$H422&lt;5.7,"Normal",'Data set'!$H422&lt;=6.4,"Prediabetes",'Data set'!$H422&lt;=7.5,"Diabetes",'Data set'!$H422&gt;=7.5,"Uncontrolled")</f>
        <v>Normal</v>
      </c>
      <c r="P422" s="3" t="str">
        <f>_xlfn.IFS('Data set'!$F422&lt;120,"Low",'Data set'!$F422&lt;=200,"Normal",'Data set'!$F422&lt;=240,"Boarderline",'Data set'!$F422&gt;=241,"High")</f>
        <v>Boarderline</v>
      </c>
      <c r="Q422" s="3" t="str">
        <f>_xlfn.IFS('Data set'!$D422&lt;=18.5,"Low",'Data set'!$D422&lt;=24.9,"Normal",'Data set'!$D422&lt;=29.9,"High",'Data set'!$D422&gt;29.9,"Very High")</f>
        <v>High</v>
      </c>
    </row>
    <row r="423" spans="1:17" x14ac:dyDescent="0.25">
      <c r="A423" s="5">
        <v>41</v>
      </c>
      <c r="B423" s="5" t="s">
        <v>0</v>
      </c>
      <c r="C423" s="6">
        <v>271.63</v>
      </c>
      <c r="D423" s="6">
        <v>37.840000000000003</v>
      </c>
      <c r="E423" s="5" t="s">
        <v>1</v>
      </c>
      <c r="F423" s="5">
        <v>285</v>
      </c>
      <c r="G423" s="5" t="s">
        <v>382</v>
      </c>
      <c r="H423" s="6">
        <v>9.33</v>
      </c>
      <c r="I423" s="5">
        <v>4</v>
      </c>
      <c r="J423" s="5" t="s">
        <v>4</v>
      </c>
      <c r="K423" s="5" t="s">
        <v>4</v>
      </c>
      <c r="L423" s="5">
        <v>138</v>
      </c>
      <c r="M423" s="5">
        <v>69</v>
      </c>
      <c r="N423" s="5" t="s">
        <v>23</v>
      </c>
      <c r="O423" s="5" t="str">
        <f>_xlfn.IFS('Data set'!$H423&lt;5.7,"Normal",'Data set'!$H423&lt;=6.4,"Prediabetes",'Data set'!$H423&lt;=7.5,"Diabetes",'Data set'!$H423&gt;=7.5,"Uncontrolled")</f>
        <v>Uncontrolled</v>
      </c>
      <c r="P423" s="5" t="str">
        <f>_xlfn.IFS('Data set'!$F423&lt;120,"Low",'Data set'!$F423&lt;=200,"Normal",'Data set'!$F423&lt;=240,"Boarderline",'Data set'!$F423&gt;=241,"High")</f>
        <v>High</v>
      </c>
      <c r="Q423" s="5" t="str">
        <f>_xlfn.IFS('Data set'!$D423&lt;=18.5,"Low",'Data set'!$D423&lt;=24.9,"Normal",'Data set'!$D423&lt;=29.9,"High",'Data set'!$D423&gt;29.9,"Very High")</f>
        <v>Very High</v>
      </c>
    </row>
    <row r="424" spans="1:17" x14ac:dyDescent="0.25">
      <c r="A424" s="3">
        <v>34</v>
      </c>
      <c r="B424" s="3" t="s">
        <v>9</v>
      </c>
      <c r="C424" s="4">
        <v>195.34</v>
      </c>
      <c r="D424" s="4">
        <v>28.68</v>
      </c>
      <c r="E424" s="3" t="s">
        <v>1</v>
      </c>
      <c r="F424" s="3">
        <v>169</v>
      </c>
      <c r="G424" s="3" t="s">
        <v>383</v>
      </c>
      <c r="H424" s="4">
        <v>4.6500000000000004</v>
      </c>
      <c r="I424" s="3">
        <v>7</v>
      </c>
      <c r="J424" s="3" t="s">
        <v>4</v>
      </c>
      <c r="K424" s="3" t="s">
        <v>3</v>
      </c>
      <c r="L424" s="3">
        <v>129</v>
      </c>
      <c r="M424" s="3">
        <v>85</v>
      </c>
      <c r="N424" s="3" t="s">
        <v>12</v>
      </c>
      <c r="O424" s="3" t="str">
        <f>_xlfn.IFS('Data set'!$H424&lt;5.7,"Normal",'Data set'!$H424&lt;=6.4,"Prediabetes",'Data set'!$H424&lt;=7.5,"Diabetes",'Data set'!$H424&gt;=7.5,"Uncontrolled")</f>
        <v>Normal</v>
      </c>
      <c r="P424" s="3" t="str">
        <f>_xlfn.IFS('Data set'!$F424&lt;120,"Low",'Data set'!$F424&lt;=200,"Normal",'Data set'!$F424&lt;=240,"Boarderline",'Data set'!$F424&gt;=241,"High")</f>
        <v>Normal</v>
      </c>
      <c r="Q424" s="3" t="str">
        <f>_xlfn.IFS('Data set'!$D424&lt;=18.5,"Low",'Data set'!$D424&lt;=24.9,"Normal",'Data set'!$D424&lt;=29.9,"High",'Data set'!$D424&gt;29.9,"Very High")</f>
        <v>High</v>
      </c>
    </row>
    <row r="425" spans="1:17" x14ac:dyDescent="0.25">
      <c r="A425" s="5">
        <v>78</v>
      </c>
      <c r="B425" s="5" t="s">
        <v>0</v>
      </c>
      <c r="C425" s="6">
        <v>161.71</v>
      </c>
      <c r="D425" s="6">
        <v>23.33</v>
      </c>
      <c r="E425" s="5" t="s">
        <v>6</v>
      </c>
      <c r="F425" s="5">
        <v>213</v>
      </c>
      <c r="G425" s="5" t="s">
        <v>156</v>
      </c>
      <c r="H425" s="6">
        <v>6.29</v>
      </c>
      <c r="I425" s="5">
        <v>4</v>
      </c>
      <c r="J425" s="5" t="s">
        <v>4</v>
      </c>
      <c r="K425" s="5" t="s">
        <v>3</v>
      </c>
      <c r="L425" s="5">
        <v>131</v>
      </c>
      <c r="M425" s="5">
        <v>63</v>
      </c>
      <c r="N425" s="5" t="s">
        <v>5</v>
      </c>
      <c r="O425" s="5" t="str">
        <f>_xlfn.IFS('Data set'!$H425&lt;5.7,"Normal",'Data set'!$H425&lt;=6.4,"Prediabetes",'Data set'!$H425&lt;=7.5,"Diabetes",'Data set'!$H425&gt;=7.5,"Uncontrolled")</f>
        <v>Prediabetes</v>
      </c>
      <c r="P425" s="5" t="str">
        <f>_xlfn.IFS('Data set'!$F425&lt;120,"Low",'Data set'!$F425&lt;=200,"Normal",'Data set'!$F425&lt;=240,"Boarderline",'Data set'!$F425&gt;=241,"High")</f>
        <v>Boarderline</v>
      </c>
      <c r="Q425" s="5" t="str">
        <f>_xlfn.IFS('Data set'!$D425&lt;=18.5,"Low",'Data set'!$D425&lt;=24.9,"Normal",'Data set'!$D425&lt;=29.9,"High",'Data set'!$D425&gt;29.9,"Very High")</f>
        <v>Normal</v>
      </c>
    </row>
    <row r="426" spans="1:17" x14ac:dyDescent="0.25">
      <c r="A426" s="3">
        <v>43</v>
      </c>
      <c r="B426" s="3" t="s">
        <v>9</v>
      </c>
      <c r="C426" s="4">
        <v>147</v>
      </c>
      <c r="D426" s="4">
        <v>22.48</v>
      </c>
      <c r="E426" s="3" t="s">
        <v>1</v>
      </c>
      <c r="F426" s="3">
        <v>269</v>
      </c>
      <c r="G426" s="3" t="s">
        <v>162</v>
      </c>
      <c r="H426" s="4">
        <v>6.99</v>
      </c>
      <c r="I426" s="3">
        <v>4</v>
      </c>
      <c r="J426" s="3" t="s">
        <v>3</v>
      </c>
      <c r="K426" s="3" t="s">
        <v>4</v>
      </c>
      <c r="L426" s="3">
        <v>109</v>
      </c>
      <c r="M426" s="3">
        <v>85</v>
      </c>
      <c r="N426" s="3" t="s">
        <v>23</v>
      </c>
      <c r="O426" s="3" t="str">
        <f>_xlfn.IFS('Data set'!$H426&lt;5.7,"Normal",'Data set'!$H426&lt;=6.4,"Prediabetes",'Data set'!$H426&lt;=7.5,"Diabetes",'Data set'!$H426&gt;=7.5,"Uncontrolled")</f>
        <v>Diabetes</v>
      </c>
      <c r="P426" s="3" t="str">
        <f>_xlfn.IFS('Data set'!$F426&lt;120,"Low",'Data set'!$F426&lt;=200,"Normal",'Data set'!$F426&lt;=240,"Boarderline",'Data set'!$F426&gt;=241,"High")</f>
        <v>High</v>
      </c>
      <c r="Q426" s="3" t="str">
        <f>_xlfn.IFS('Data set'!$D426&lt;=18.5,"Low",'Data set'!$D426&lt;=24.9,"Normal",'Data set'!$D426&lt;=29.9,"High",'Data set'!$D426&gt;29.9,"Very High")</f>
        <v>Normal</v>
      </c>
    </row>
    <row r="427" spans="1:17" x14ac:dyDescent="0.25">
      <c r="A427" s="5">
        <v>61</v>
      </c>
      <c r="B427" s="5" t="s">
        <v>9</v>
      </c>
      <c r="C427" s="6">
        <v>263.14999999999998</v>
      </c>
      <c r="D427" s="6">
        <v>39.369999999999997</v>
      </c>
      <c r="E427" s="5" t="s">
        <v>10</v>
      </c>
      <c r="F427" s="5">
        <v>179</v>
      </c>
      <c r="G427" s="5" t="s">
        <v>256</v>
      </c>
      <c r="H427" s="6">
        <v>5.24</v>
      </c>
      <c r="I427" s="5">
        <v>4</v>
      </c>
      <c r="J427" s="5" t="s">
        <v>4</v>
      </c>
      <c r="K427" s="5" t="s">
        <v>4</v>
      </c>
      <c r="L427" s="5">
        <v>94</v>
      </c>
      <c r="M427" s="5">
        <v>64</v>
      </c>
      <c r="N427" s="5" t="s">
        <v>21</v>
      </c>
      <c r="O427" s="5" t="str">
        <f>_xlfn.IFS('Data set'!$H427&lt;5.7,"Normal",'Data set'!$H427&lt;=6.4,"Prediabetes",'Data set'!$H427&lt;=7.5,"Diabetes",'Data set'!$H427&gt;=7.5,"Uncontrolled")</f>
        <v>Normal</v>
      </c>
      <c r="P427" s="5" t="str">
        <f>_xlfn.IFS('Data set'!$F427&lt;120,"Low",'Data set'!$F427&lt;=200,"Normal",'Data set'!$F427&lt;=240,"Boarderline",'Data set'!$F427&gt;=241,"High")</f>
        <v>Normal</v>
      </c>
      <c r="Q427" s="5" t="str">
        <f>_xlfn.IFS('Data set'!$D427&lt;=18.5,"Low",'Data set'!$D427&lt;=24.9,"Normal",'Data set'!$D427&lt;=29.9,"High",'Data set'!$D427&gt;29.9,"Very High")</f>
        <v>Very High</v>
      </c>
    </row>
    <row r="428" spans="1:17" x14ac:dyDescent="0.25">
      <c r="A428" s="3">
        <v>64</v>
      </c>
      <c r="B428" s="3" t="s">
        <v>0</v>
      </c>
      <c r="C428" s="4">
        <v>258.73</v>
      </c>
      <c r="D428" s="4">
        <v>29.49</v>
      </c>
      <c r="E428" s="3" t="s">
        <v>1</v>
      </c>
      <c r="F428" s="3">
        <v>279</v>
      </c>
      <c r="G428" s="3" t="s">
        <v>384</v>
      </c>
      <c r="H428" s="4">
        <v>5.16</v>
      </c>
      <c r="I428" s="3">
        <v>5</v>
      </c>
      <c r="J428" s="3" t="s">
        <v>4</v>
      </c>
      <c r="K428" s="3" t="s">
        <v>4</v>
      </c>
      <c r="L428" s="3">
        <v>129</v>
      </c>
      <c r="M428" s="3">
        <v>75</v>
      </c>
      <c r="N428" s="3" t="s">
        <v>21</v>
      </c>
      <c r="O428" s="3" t="str">
        <f>_xlfn.IFS('Data set'!$H428&lt;5.7,"Normal",'Data set'!$H428&lt;=6.4,"Prediabetes",'Data set'!$H428&lt;=7.5,"Diabetes",'Data set'!$H428&gt;=7.5,"Uncontrolled")</f>
        <v>Normal</v>
      </c>
      <c r="P428" s="3" t="str">
        <f>_xlfn.IFS('Data set'!$F428&lt;120,"Low",'Data set'!$F428&lt;=200,"Normal",'Data set'!$F428&lt;=240,"Boarderline",'Data set'!$F428&gt;=241,"High")</f>
        <v>High</v>
      </c>
      <c r="Q428" s="3" t="str">
        <f>_xlfn.IFS('Data set'!$D428&lt;=18.5,"Low",'Data set'!$D428&lt;=24.9,"Normal",'Data set'!$D428&lt;=29.9,"High",'Data set'!$D428&gt;29.9,"Very High")</f>
        <v>High</v>
      </c>
    </row>
    <row r="429" spans="1:17" x14ac:dyDescent="0.25">
      <c r="A429" s="5">
        <v>60</v>
      </c>
      <c r="B429" s="5" t="s">
        <v>9</v>
      </c>
      <c r="C429" s="6">
        <v>162.82</v>
      </c>
      <c r="D429" s="6">
        <v>37.380000000000003</v>
      </c>
      <c r="E429" s="5" t="s">
        <v>14</v>
      </c>
      <c r="F429" s="5">
        <v>108</v>
      </c>
      <c r="G429" s="5" t="s">
        <v>385</v>
      </c>
      <c r="H429" s="6">
        <v>4.5999999999999996</v>
      </c>
      <c r="I429" s="5">
        <v>0</v>
      </c>
      <c r="J429" s="5" t="s">
        <v>3</v>
      </c>
      <c r="K429" s="5" t="s">
        <v>4</v>
      </c>
      <c r="L429" s="5">
        <v>134</v>
      </c>
      <c r="M429" s="5">
        <v>63</v>
      </c>
      <c r="N429" s="5" t="s">
        <v>8</v>
      </c>
      <c r="O429" s="5" t="str">
        <f>_xlfn.IFS('Data set'!$H429&lt;5.7,"Normal",'Data set'!$H429&lt;=6.4,"Prediabetes",'Data set'!$H429&lt;=7.5,"Diabetes",'Data set'!$H429&gt;=7.5,"Uncontrolled")</f>
        <v>Normal</v>
      </c>
      <c r="P429" s="5" t="str">
        <f>_xlfn.IFS('Data set'!$F429&lt;120,"Low",'Data set'!$F429&lt;=200,"Normal",'Data set'!$F429&lt;=240,"Boarderline",'Data set'!$F429&gt;=241,"High")</f>
        <v>Low</v>
      </c>
      <c r="Q429" s="5" t="str">
        <f>_xlfn.IFS('Data set'!$D429&lt;=18.5,"Low",'Data set'!$D429&lt;=24.9,"Normal",'Data set'!$D429&lt;=29.9,"High",'Data set'!$D429&gt;29.9,"Very High")</f>
        <v>Very High</v>
      </c>
    </row>
    <row r="430" spans="1:17" x14ac:dyDescent="0.25">
      <c r="A430" s="3">
        <v>38</v>
      </c>
      <c r="B430" s="3" t="s">
        <v>0</v>
      </c>
      <c r="C430" s="4">
        <v>230.15</v>
      </c>
      <c r="D430" s="4">
        <v>34.94</v>
      </c>
      <c r="E430" s="3" t="s">
        <v>10</v>
      </c>
      <c r="F430" s="3">
        <v>141</v>
      </c>
      <c r="G430" s="3" t="s">
        <v>386</v>
      </c>
      <c r="H430" s="4">
        <v>4.01</v>
      </c>
      <c r="I430" s="3">
        <v>6</v>
      </c>
      <c r="J430" s="3" t="s">
        <v>3</v>
      </c>
      <c r="K430" s="3" t="s">
        <v>4</v>
      </c>
      <c r="L430" s="3">
        <v>93</v>
      </c>
      <c r="M430" s="3">
        <v>77</v>
      </c>
      <c r="N430" s="3" t="s">
        <v>12</v>
      </c>
      <c r="O430" s="3" t="str">
        <f>_xlfn.IFS('Data set'!$H430&lt;5.7,"Normal",'Data set'!$H430&lt;=6.4,"Prediabetes",'Data set'!$H430&lt;=7.5,"Diabetes",'Data set'!$H430&gt;=7.5,"Uncontrolled")</f>
        <v>Normal</v>
      </c>
      <c r="P430" s="3" t="str">
        <f>_xlfn.IFS('Data set'!$F430&lt;120,"Low",'Data set'!$F430&lt;=200,"Normal",'Data set'!$F430&lt;=240,"Boarderline",'Data set'!$F430&gt;=241,"High")</f>
        <v>Normal</v>
      </c>
      <c r="Q430" s="3" t="str">
        <f>_xlfn.IFS('Data set'!$D430&lt;=18.5,"Low",'Data set'!$D430&lt;=24.9,"Normal",'Data set'!$D430&lt;=29.9,"High",'Data set'!$D430&gt;29.9,"Very High")</f>
        <v>Very High</v>
      </c>
    </row>
    <row r="431" spans="1:17" x14ac:dyDescent="0.25">
      <c r="A431" s="5">
        <v>73</v>
      </c>
      <c r="B431" s="5" t="s">
        <v>9</v>
      </c>
      <c r="C431" s="6">
        <v>89.44</v>
      </c>
      <c r="D431" s="6">
        <v>35.479999999999997</v>
      </c>
      <c r="E431" s="5" t="s">
        <v>10</v>
      </c>
      <c r="F431" s="5">
        <v>149</v>
      </c>
      <c r="G431" s="5" t="s">
        <v>242</v>
      </c>
      <c r="H431" s="6">
        <v>8.64</v>
      </c>
      <c r="I431" s="5">
        <v>3</v>
      </c>
      <c r="J431" s="5" t="s">
        <v>4</v>
      </c>
      <c r="K431" s="5" t="s">
        <v>4</v>
      </c>
      <c r="L431" s="5">
        <v>138</v>
      </c>
      <c r="M431" s="5">
        <v>70</v>
      </c>
      <c r="N431" s="5" t="s">
        <v>5</v>
      </c>
      <c r="O431" s="5" t="str">
        <f>_xlfn.IFS('Data set'!$H431&lt;5.7,"Normal",'Data set'!$H431&lt;=6.4,"Prediabetes",'Data set'!$H431&lt;=7.5,"Diabetes",'Data set'!$H431&gt;=7.5,"Uncontrolled")</f>
        <v>Uncontrolled</v>
      </c>
      <c r="P431" s="5" t="str">
        <f>_xlfn.IFS('Data set'!$F431&lt;120,"Low",'Data set'!$F431&lt;=200,"Normal",'Data set'!$F431&lt;=240,"Boarderline",'Data set'!$F431&gt;=241,"High")</f>
        <v>Normal</v>
      </c>
      <c r="Q431" s="5" t="str">
        <f>_xlfn.IFS('Data set'!$D431&lt;=18.5,"Low",'Data set'!$D431&lt;=24.9,"Normal",'Data set'!$D431&lt;=29.9,"High",'Data set'!$D431&gt;29.9,"Very High")</f>
        <v>Very High</v>
      </c>
    </row>
    <row r="432" spans="1:17" x14ac:dyDescent="0.25">
      <c r="A432" s="3">
        <v>38</v>
      </c>
      <c r="B432" s="3" t="s">
        <v>9</v>
      </c>
      <c r="C432" s="4">
        <v>249.86</v>
      </c>
      <c r="D432" s="4">
        <v>21.45</v>
      </c>
      <c r="E432" s="3" t="s">
        <v>1</v>
      </c>
      <c r="F432" s="3">
        <v>132</v>
      </c>
      <c r="G432" s="3" t="s">
        <v>387</v>
      </c>
      <c r="H432" s="4">
        <v>8.11</v>
      </c>
      <c r="I432" s="3">
        <v>1</v>
      </c>
      <c r="J432" s="3" t="s">
        <v>4</v>
      </c>
      <c r="K432" s="3" t="s">
        <v>3</v>
      </c>
      <c r="L432" s="3">
        <v>140</v>
      </c>
      <c r="M432" s="3">
        <v>73</v>
      </c>
      <c r="N432" s="3" t="s">
        <v>12</v>
      </c>
      <c r="O432" s="3" t="str">
        <f>_xlfn.IFS('Data set'!$H432&lt;5.7,"Normal",'Data set'!$H432&lt;=6.4,"Prediabetes",'Data set'!$H432&lt;=7.5,"Diabetes",'Data set'!$H432&gt;=7.5,"Uncontrolled")</f>
        <v>Uncontrolled</v>
      </c>
      <c r="P432" s="3" t="str">
        <f>_xlfn.IFS('Data set'!$F432&lt;120,"Low",'Data set'!$F432&lt;=200,"Normal",'Data set'!$F432&lt;=240,"Boarderline",'Data set'!$F432&gt;=241,"High")</f>
        <v>Normal</v>
      </c>
      <c r="Q432" s="3" t="str">
        <f>_xlfn.IFS('Data set'!$D432&lt;=18.5,"Low",'Data set'!$D432&lt;=24.9,"Normal",'Data set'!$D432&lt;=29.9,"High",'Data set'!$D432&gt;29.9,"Very High")</f>
        <v>Normal</v>
      </c>
    </row>
    <row r="433" spans="1:17" x14ac:dyDescent="0.25">
      <c r="A433" s="5">
        <v>25</v>
      </c>
      <c r="B433" s="5" t="s">
        <v>0</v>
      </c>
      <c r="C433" s="6">
        <v>205.59</v>
      </c>
      <c r="D433" s="6">
        <v>31.03</v>
      </c>
      <c r="E433" s="5" t="s">
        <v>14</v>
      </c>
      <c r="F433" s="5">
        <v>265</v>
      </c>
      <c r="G433" s="5" t="s">
        <v>388</v>
      </c>
      <c r="H433" s="6">
        <v>4.12</v>
      </c>
      <c r="I433" s="5">
        <v>4</v>
      </c>
      <c r="J433" s="5" t="s">
        <v>4</v>
      </c>
      <c r="K433" s="5" t="s">
        <v>4</v>
      </c>
      <c r="L433" s="5">
        <v>99</v>
      </c>
      <c r="M433" s="5">
        <v>83</v>
      </c>
      <c r="N433" s="5" t="s">
        <v>17</v>
      </c>
      <c r="O433" s="5" t="str">
        <f>_xlfn.IFS('Data set'!$H433&lt;5.7,"Normal",'Data set'!$H433&lt;=6.4,"Prediabetes",'Data set'!$H433&lt;=7.5,"Diabetes",'Data set'!$H433&gt;=7.5,"Uncontrolled")</f>
        <v>Normal</v>
      </c>
      <c r="P433" s="5" t="str">
        <f>_xlfn.IFS('Data set'!$F433&lt;120,"Low",'Data set'!$F433&lt;=200,"Normal",'Data set'!$F433&lt;=240,"Boarderline",'Data set'!$F433&gt;=241,"High")</f>
        <v>High</v>
      </c>
      <c r="Q433" s="5" t="str">
        <f>_xlfn.IFS('Data set'!$D433&lt;=18.5,"Low",'Data set'!$D433&lt;=24.9,"Normal",'Data set'!$D433&lt;=29.9,"High",'Data set'!$D433&gt;29.9,"Very High")</f>
        <v>Very High</v>
      </c>
    </row>
    <row r="434" spans="1:17" x14ac:dyDescent="0.25">
      <c r="A434" s="3">
        <v>46</v>
      </c>
      <c r="B434" s="3" t="s">
        <v>0</v>
      </c>
      <c r="C434" s="4">
        <v>151.62</v>
      </c>
      <c r="D434" s="4">
        <v>37.21</v>
      </c>
      <c r="E434" s="3" t="s">
        <v>10</v>
      </c>
      <c r="F434" s="3">
        <v>260</v>
      </c>
      <c r="G434" s="3" t="s">
        <v>389</v>
      </c>
      <c r="H434" s="4">
        <v>4.26</v>
      </c>
      <c r="I434" s="3">
        <v>2</v>
      </c>
      <c r="J434" s="3" t="s">
        <v>4</v>
      </c>
      <c r="K434" s="3" t="s">
        <v>4</v>
      </c>
      <c r="L434" s="3">
        <v>122</v>
      </c>
      <c r="M434" s="3">
        <v>60</v>
      </c>
      <c r="N434" s="3" t="s">
        <v>23</v>
      </c>
      <c r="O434" s="3" t="str">
        <f>_xlfn.IFS('Data set'!$H434&lt;5.7,"Normal",'Data set'!$H434&lt;=6.4,"Prediabetes",'Data set'!$H434&lt;=7.5,"Diabetes",'Data set'!$H434&gt;=7.5,"Uncontrolled")</f>
        <v>Normal</v>
      </c>
      <c r="P434" s="3" t="str">
        <f>_xlfn.IFS('Data set'!$F434&lt;120,"Low",'Data set'!$F434&lt;=200,"Normal",'Data set'!$F434&lt;=240,"Boarderline",'Data set'!$F434&gt;=241,"High")</f>
        <v>High</v>
      </c>
      <c r="Q434" s="3" t="str">
        <f>_xlfn.IFS('Data set'!$D434&lt;=18.5,"Low",'Data set'!$D434&lt;=24.9,"Normal",'Data set'!$D434&lt;=29.9,"High",'Data set'!$D434&gt;29.9,"Very High")</f>
        <v>Very High</v>
      </c>
    </row>
    <row r="435" spans="1:17" x14ac:dyDescent="0.25">
      <c r="A435" s="5">
        <v>58</v>
      </c>
      <c r="B435" s="5" t="s">
        <v>9</v>
      </c>
      <c r="C435" s="6">
        <v>222.7</v>
      </c>
      <c r="D435" s="6">
        <v>27.74</v>
      </c>
      <c r="E435" s="5" t="s">
        <v>10</v>
      </c>
      <c r="F435" s="5">
        <v>130</v>
      </c>
      <c r="G435" s="5" t="s">
        <v>219</v>
      </c>
      <c r="H435" s="6">
        <v>5.21</v>
      </c>
      <c r="I435" s="5">
        <v>1</v>
      </c>
      <c r="J435" s="5" t="s">
        <v>3</v>
      </c>
      <c r="K435" s="5" t="s">
        <v>4</v>
      </c>
      <c r="L435" s="5">
        <v>100</v>
      </c>
      <c r="M435" s="5">
        <v>84</v>
      </c>
      <c r="N435" s="5" t="s">
        <v>8</v>
      </c>
      <c r="O435" s="5" t="str">
        <f>_xlfn.IFS('Data set'!$H435&lt;5.7,"Normal",'Data set'!$H435&lt;=6.4,"Prediabetes",'Data set'!$H435&lt;=7.5,"Diabetes",'Data set'!$H435&gt;=7.5,"Uncontrolled")</f>
        <v>Normal</v>
      </c>
      <c r="P435" s="5" t="str">
        <f>_xlfn.IFS('Data set'!$F435&lt;120,"Low",'Data set'!$F435&lt;=200,"Normal",'Data set'!$F435&lt;=240,"Boarderline",'Data set'!$F435&gt;=241,"High")</f>
        <v>Normal</v>
      </c>
      <c r="Q435" s="5" t="str">
        <f>_xlfn.IFS('Data set'!$D435&lt;=18.5,"Low",'Data set'!$D435&lt;=24.9,"Normal",'Data set'!$D435&lt;=29.9,"High",'Data set'!$D435&gt;29.9,"Very High")</f>
        <v>High</v>
      </c>
    </row>
    <row r="436" spans="1:17" x14ac:dyDescent="0.25">
      <c r="A436" s="3">
        <v>44</v>
      </c>
      <c r="B436" s="3" t="s">
        <v>0</v>
      </c>
      <c r="C436" s="4">
        <v>94.22</v>
      </c>
      <c r="D436" s="4">
        <v>36.15</v>
      </c>
      <c r="E436" s="3" t="s">
        <v>14</v>
      </c>
      <c r="F436" s="3">
        <v>121</v>
      </c>
      <c r="G436" s="3" t="s">
        <v>390</v>
      </c>
      <c r="H436" s="4">
        <v>9.3800000000000008</v>
      </c>
      <c r="I436" s="3">
        <v>1</v>
      </c>
      <c r="J436" s="3" t="s">
        <v>4</v>
      </c>
      <c r="K436" s="3" t="s">
        <v>3</v>
      </c>
      <c r="L436" s="3">
        <v>122</v>
      </c>
      <c r="M436" s="3">
        <v>71</v>
      </c>
      <c r="N436" s="3" t="s">
        <v>23</v>
      </c>
      <c r="O436" s="3" t="str">
        <f>_xlfn.IFS('Data set'!$H436&lt;5.7,"Normal",'Data set'!$H436&lt;=6.4,"Prediabetes",'Data set'!$H436&lt;=7.5,"Diabetes",'Data set'!$H436&gt;=7.5,"Uncontrolled")</f>
        <v>Uncontrolled</v>
      </c>
      <c r="P436" s="3" t="str">
        <f>_xlfn.IFS('Data set'!$F436&lt;120,"Low",'Data set'!$F436&lt;=200,"Normal",'Data set'!$F436&lt;=240,"Boarderline",'Data set'!$F436&gt;=241,"High")</f>
        <v>Normal</v>
      </c>
      <c r="Q436" s="3" t="str">
        <f>_xlfn.IFS('Data set'!$D436&lt;=18.5,"Low",'Data set'!$D436&lt;=24.9,"Normal",'Data set'!$D436&lt;=29.9,"High",'Data set'!$D436&gt;29.9,"Very High")</f>
        <v>Very High</v>
      </c>
    </row>
    <row r="437" spans="1:17" x14ac:dyDescent="0.25">
      <c r="A437" s="5">
        <v>38</v>
      </c>
      <c r="B437" s="5" t="s">
        <v>9</v>
      </c>
      <c r="C437" s="6">
        <v>242.83</v>
      </c>
      <c r="D437" s="6">
        <v>20.93</v>
      </c>
      <c r="E437" s="5" t="s">
        <v>6</v>
      </c>
      <c r="F437" s="5">
        <v>192</v>
      </c>
      <c r="G437" s="5" t="s">
        <v>71</v>
      </c>
      <c r="H437" s="6">
        <v>7.04</v>
      </c>
      <c r="I437" s="5">
        <v>3</v>
      </c>
      <c r="J437" s="5" t="s">
        <v>4</v>
      </c>
      <c r="K437" s="5" t="s">
        <v>3</v>
      </c>
      <c r="L437" s="5">
        <v>129</v>
      </c>
      <c r="M437" s="5">
        <v>88</v>
      </c>
      <c r="N437" s="5" t="s">
        <v>12</v>
      </c>
      <c r="O437" s="5" t="str">
        <f>_xlfn.IFS('Data set'!$H437&lt;5.7,"Normal",'Data set'!$H437&lt;=6.4,"Prediabetes",'Data set'!$H437&lt;=7.5,"Diabetes",'Data set'!$H437&gt;=7.5,"Uncontrolled")</f>
        <v>Diabetes</v>
      </c>
      <c r="P437" s="5" t="str">
        <f>_xlfn.IFS('Data set'!$F437&lt;120,"Low",'Data set'!$F437&lt;=200,"Normal",'Data set'!$F437&lt;=240,"Boarderline",'Data set'!$F437&gt;=241,"High")</f>
        <v>Normal</v>
      </c>
      <c r="Q437" s="5" t="str">
        <f>_xlfn.IFS('Data set'!$D437&lt;=18.5,"Low",'Data set'!$D437&lt;=24.9,"Normal",'Data set'!$D437&lt;=29.9,"High",'Data set'!$D437&gt;29.9,"Very High")</f>
        <v>Normal</v>
      </c>
    </row>
    <row r="438" spans="1:17" x14ac:dyDescent="0.25">
      <c r="A438" s="3">
        <v>70</v>
      </c>
      <c r="B438" s="3" t="s">
        <v>0</v>
      </c>
      <c r="C438" s="4">
        <v>175.91</v>
      </c>
      <c r="D438" s="4">
        <v>21.62</v>
      </c>
      <c r="E438" s="3" t="s">
        <v>6</v>
      </c>
      <c r="F438" s="3">
        <v>267</v>
      </c>
      <c r="G438" s="3" t="s">
        <v>325</v>
      </c>
      <c r="H438" s="4">
        <v>6.16</v>
      </c>
      <c r="I438" s="3">
        <v>0</v>
      </c>
      <c r="J438" s="3" t="s">
        <v>3</v>
      </c>
      <c r="K438" s="3" t="s">
        <v>3</v>
      </c>
      <c r="L438" s="3">
        <v>132</v>
      </c>
      <c r="M438" s="3">
        <v>60</v>
      </c>
      <c r="N438" s="3" t="s">
        <v>21</v>
      </c>
      <c r="O438" s="3" t="str">
        <f>_xlfn.IFS('Data set'!$H438&lt;5.7,"Normal",'Data set'!$H438&lt;=6.4,"Prediabetes",'Data set'!$H438&lt;=7.5,"Diabetes",'Data set'!$H438&gt;=7.5,"Uncontrolled")</f>
        <v>Prediabetes</v>
      </c>
      <c r="P438" s="3" t="str">
        <f>_xlfn.IFS('Data set'!$F438&lt;120,"Low",'Data set'!$F438&lt;=200,"Normal",'Data set'!$F438&lt;=240,"Boarderline",'Data set'!$F438&gt;=241,"High")</f>
        <v>High</v>
      </c>
      <c r="Q438" s="3" t="str">
        <f>_xlfn.IFS('Data set'!$D438&lt;=18.5,"Low",'Data set'!$D438&lt;=24.9,"Normal",'Data set'!$D438&lt;=29.9,"High",'Data set'!$D438&gt;29.9,"Very High")</f>
        <v>Normal</v>
      </c>
    </row>
    <row r="439" spans="1:17" x14ac:dyDescent="0.25">
      <c r="A439" s="5">
        <v>42</v>
      </c>
      <c r="B439" s="5" t="s">
        <v>9</v>
      </c>
      <c r="C439" s="6">
        <v>178.97</v>
      </c>
      <c r="D439" s="6">
        <v>29.66</v>
      </c>
      <c r="E439" s="5" t="s">
        <v>14</v>
      </c>
      <c r="F439" s="5">
        <v>168</v>
      </c>
      <c r="G439" s="5" t="s">
        <v>391</v>
      </c>
      <c r="H439" s="6">
        <v>4.72</v>
      </c>
      <c r="I439" s="5">
        <v>2</v>
      </c>
      <c r="J439" s="5" t="s">
        <v>4</v>
      </c>
      <c r="K439" s="5" t="s">
        <v>4</v>
      </c>
      <c r="L439" s="5">
        <v>106</v>
      </c>
      <c r="M439" s="5">
        <v>89</v>
      </c>
      <c r="N439" s="5" t="s">
        <v>23</v>
      </c>
      <c r="O439" s="5" t="str">
        <f>_xlfn.IFS('Data set'!$H439&lt;5.7,"Normal",'Data set'!$H439&lt;=6.4,"Prediabetes",'Data set'!$H439&lt;=7.5,"Diabetes",'Data set'!$H439&gt;=7.5,"Uncontrolled")</f>
        <v>Normal</v>
      </c>
      <c r="P439" s="5" t="str">
        <f>_xlfn.IFS('Data set'!$F439&lt;120,"Low",'Data set'!$F439&lt;=200,"Normal",'Data set'!$F439&lt;=240,"Boarderline",'Data set'!$F439&gt;=241,"High")</f>
        <v>Normal</v>
      </c>
      <c r="Q439" s="5" t="str">
        <f>_xlfn.IFS('Data set'!$D439&lt;=18.5,"Low",'Data set'!$D439&lt;=24.9,"Normal",'Data set'!$D439&lt;=29.9,"High",'Data set'!$D439&gt;29.9,"Very High")</f>
        <v>High</v>
      </c>
    </row>
    <row r="440" spans="1:17" x14ac:dyDescent="0.25">
      <c r="A440" s="3">
        <v>33</v>
      </c>
      <c r="B440" s="3" t="s">
        <v>9</v>
      </c>
      <c r="C440" s="4">
        <v>242.6</v>
      </c>
      <c r="D440" s="4">
        <v>35.15</v>
      </c>
      <c r="E440" s="3" t="s">
        <v>1</v>
      </c>
      <c r="F440" s="3">
        <v>176</v>
      </c>
      <c r="G440" s="3" t="s">
        <v>392</v>
      </c>
      <c r="H440" s="4">
        <v>9.64</v>
      </c>
      <c r="I440" s="3">
        <v>1</v>
      </c>
      <c r="J440" s="3" t="s">
        <v>3</v>
      </c>
      <c r="K440" s="3" t="s">
        <v>3</v>
      </c>
      <c r="L440" s="3">
        <v>115</v>
      </c>
      <c r="M440" s="3">
        <v>78</v>
      </c>
      <c r="N440" s="3" t="s">
        <v>12</v>
      </c>
      <c r="O440" s="3" t="str">
        <f>_xlfn.IFS('Data set'!$H440&lt;5.7,"Normal",'Data set'!$H440&lt;=6.4,"Prediabetes",'Data set'!$H440&lt;=7.5,"Diabetes",'Data set'!$H440&gt;=7.5,"Uncontrolled")</f>
        <v>Uncontrolled</v>
      </c>
      <c r="P440" s="3" t="str">
        <f>_xlfn.IFS('Data set'!$F440&lt;120,"Low",'Data set'!$F440&lt;=200,"Normal",'Data set'!$F440&lt;=240,"Boarderline",'Data set'!$F440&gt;=241,"High")</f>
        <v>Normal</v>
      </c>
      <c r="Q440" s="3" t="str">
        <f>_xlfn.IFS('Data set'!$D440&lt;=18.5,"Low",'Data set'!$D440&lt;=24.9,"Normal",'Data set'!$D440&lt;=29.9,"High",'Data set'!$D440&gt;29.9,"Very High")</f>
        <v>Very High</v>
      </c>
    </row>
    <row r="441" spans="1:17" x14ac:dyDescent="0.25">
      <c r="A441" s="5">
        <v>48</v>
      </c>
      <c r="B441" s="5" t="s">
        <v>9</v>
      </c>
      <c r="C441" s="6">
        <v>161.38</v>
      </c>
      <c r="D441" s="6">
        <v>29.11</v>
      </c>
      <c r="E441" s="5" t="s">
        <v>10</v>
      </c>
      <c r="F441" s="5">
        <v>232</v>
      </c>
      <c r="G441" s="5" t="s">
        <v>393</v>
      </c>
      <c r="H441" s="6">
        <v>6.72</v>
      </c>
      <c r="I441" s="5">
        <v>2</v>
      </c>
      <c r="J441" s="5" t="s">
        <v>4</v>
      </c>
      <c r="K441" s="5" t="s">
        <v>4</v>
      </c>
      <c r="L441" s="5">
        <v>93</v>
      </c>
      <c r="M441" s="5">
        <v>61</v>
      </c>
      <c r="N441" s="5" t="s">
        <v>23</v>
      </c>
      <c r="O441" s="5" t="str">
        <f>_xlfn.IFS('Data set'!$H441&lt;5.7,"Normal",'Data set'!$H441&lt;=6.4,"Prediabetes",'Data set'!$H441&lt;=7.5,"Diabetes",'Data set'!$H441&gt;=7.5,"Uncontrolled")</f>
        <v>Diabetes</v>
      </c>
      <c r="P441" s="5" t="str">
        <f>_xlfn.IFS('Data set'!$F441&lt;120,"Low",'Data set'!$F441&lt;=200,"Normal",'Data set'!$F441&lt;=240,"Boarderline",'Data set'!$F441&gt;=241,"High")</f>
        <v>Boarderline</v>
      </c>
      <c r="Q441" s="5" t="str">
        <f>_xlfn.IFS('Data set'!$D441&lt;=18.5,"Low",'Data set'!$D441&lt;=24.9,"Normal",'Data set'!$D441&lt;=29.9,"High",'Data set'!$D441&gt;29.9,"Very High")</f>
        <v>High</v>
      </c>
    </row>
    <row r="442" spans="1:17" x14ac:dyDescent="0.25">
      <c r="A442" s="3">
        <v>72</v>
      </c>
      <c r="B442" s="3" t="s">
        <v>0</v>
      </c>
      <c r="C442" s="4">
        <v>261.87</v>
      </c>
      <c r="D442" s="4">
        <v>30.15</v>
      </c>
      <c r="E442" s="3" t="s">
        <v>10</v>
      </c>
      <c r="F442" s="3">
        <v>136</v>
      </c>
      <c r="G442" s="3" t="s">
        <v>394</v>
      </c>
      <c r="H442" s="4">
        <v>9.36</v>
      </c>
      <c r="I442" s="3">
        <v>4</v>
      </c>
      <c r="J442" s="3" t="s">
        <v>3</v>
      </c>
      <c r="K442" s="3" t="s">
        <v>3</v>
      </c>
      <c r="L442" s="3">
        <v>104</v>
      </c>
      <c r="M442" s="3">
        <v>67</v>
      </c>
      <c r="N442" s="3" t="s">
        <v>5</v>
      </c>
      <c r="O442" s="3" t="str">
        <f>_xlfn.IFS('Data set'!$H442&lt;5.7,"Normal",'Data set'!$H442&lt;=6.4,"Prediabetes",'Data set'!$H442&lt;=7.5,"Diabetes",'Data set'!$H442&gt;=7.5,"Uncontrolled")</f>
        <v>Uncontrolled</v>
      </c>
      <c r="P442" s="3" t="str">
        <f>_xlfn.IFS('Data set'!$F442&lt;120,"Low",'Data set'!$F442&lt;=200,"Normal",'Data set'!$F442&lt;=240,"Boarderline",'Data set'!$F442&gt;=241,"High")</f>
        <v>Normal</v>
      </c>
      <c r="Q442" s="3" t="str">
        <f>_xlfn.IFS('Data set'!$D442&lt;=18.5,"Low",'Data set'!$D442&lt;=24.9,"Normal",'Data set'!$D442&lt;=29.9,"High",'Data set'!$D442&gt;29.9,"Very High")</f>
        <v>Very High</v>
      </c>
    </row>
    <row r="443" spans="1:17" x14ac:dyDescent="0.25">
      <c r="A443" s="5">
        <v>35</v>
      </c>
      <c r="B443" s="5" t="s">
        <v>0</v>
      </c>
      <c r="C443" s="6">
        <v>175.57</v>
      </c>
      <c r="D443" s="6">
        <v>34.97</v>
      </c>
      <c r="E443" s="5" t="s">
        <v>14</v>
      </c>
      <c r="F443" s="5">
        <v>278</v>
      </c>
      <c r="G443" s="5" t="s">
        <v>395</v>
      </c>
      <c r="H443" s="6">
        <v>8.86</v>
      </c>
      <c r="I443" s="5">
        <v>4</v>
      </c>
      <c r="J443" s="5" t="s">
        <v>3</v>
      </c>
      <c r="K443" s="5" t="s">
        <v>4</v>
      </c>
      <c r="L443" s="5">
        <v>137</v>
      </c>
      <c r="M443" s="5">
        <v>68</v>
      </c>
      <c r="N443" s="5" t="s">
        <v>12</v>
      </c>
      <c r="O443" s="5" t="str">
        <f>_xlfn.IFS('Data set'!$H443&lt;5.7,"Normal",'Data set'!$H443&lt;=6.4,"Prediabetes",'Data set'!$H443&lt;=7.5,"Diabetes",'Data set'!$H443&gt;=7.5,"Uncontrolled")</f>
        <v>Uncontrolled</v>
      </c>
      <c r="P443" s="5" t="str">
        <f>_xlfn.IFS('Data set'!$F443&lt;120,"Low",'Data set'!$F443&lt;=200,"Normal",'Data set'!$F443&lt;=240,"Boarderline",'Data set'!$F443&gt;=241,"High")</f>
        <v>High</v>
      </c>
      <c r="Q443" s="5" t="str">
        <f>_xlfn.IFS('Data set'!$D443&lt;=18.5,"Low",'Data set'!$D443&lt;=24.9,"Normal",'Data set'!$D443&lt;=29.9,"High",'Data set'!$D443&gt;29.9,"Very High")</f>
        <v>Very High</v>
      </c>
    </row>
    <row r="444" spans="1:17" x14ac:dyDescent="0.25">
      <c r="A444" s="3">
        <v>26</v>
      </c>
      <c r="B444" s="3" t="s">
        <v>9</v>
      </c>
      <c r="C444" s="4">
        <v>232.31</v>
      </c>
      <c r="D444" s="4">
        <v>27.33</v>
      </c>
      <c r="E444" s="3" t="s">
        <v>1</v>
      </c>
      <c r="F444" s="3">
        <v>150</v>
      </c>
      <c r="G444" s="3" t="s">
        <v>396</v>
      </c>
      <c r="H444" s="4">
        <v>9.5</v>
      </c>
      <c r="I444" s="3">
        <v>0</v>
      </c>
      <c r="J444" s="3" t="s">
        <v>4</v>
      </c>
      <c r="K444" s="3" t="s">
        <v>3</v>
      </c>
      <c r="L444" s="3">
        <v>122</v>
      </c>
      <c r="M444" s="3">
        <v>83</v>
      </c>
      <c r="N444" s="3" t="s">
        <v>17</v>
      </c>
      <c r="O444" s="3" t="str">
        <f>_xlfn.IFS('Data set'!$H444&lt;5.7,"Normal",'Data set'!$H444&lt;=6.4,"Prediabetes",'Data set'!$H444&lt;=7.5,"Diabetes",'Data set'!$H444&gt;=7.5,"Uncontrolled")</f>
        <v>Uncontrolled</v>
      </c>
      <c r="P444" s="3" t="str">
        <f>_xlfn.IFS('Data set'!$F444&lt;120,"Low",'Data set'!$F444&lt;=200,"Normal",'Data set'!$F444&lt;=240,"Boarderline",'Data set'!$F444&gt;=241,"High")</f>
        <v>Normal</v>
      </c>
      <c r="Q444" s="3" t="str">
        <f>_xlfn.IFS('Data set'!$D444&lt;=18.5,"Low",'Data set'!$D444&lt;=24.9,"Normal",'Data set'!$D444&lt;=29.9,"High",'Data set'!$D444&gt;29.9,"Very High")</f>
        <v>High</v>
      </c>
    </row>
    <row r="445" spans="1:17" x14ac:dyDescent="0.25">
      <c r="A445" s="5">
        <v>52</v>
      </c>
      <c r="B445" s="5" t="s">
        <v>9</v>
      </c>
      <c r="C445" s="6">
        <v>97.96</v>
      </c>
      <c r="D445" s="6">
        <v>35.49</v>
      </c>
      <c r="E445" s="5" t="s">
        <v>10</v>
      </c>
      <c r="F445" s="5">
        <v>185</v>
      </c>
      <c r="G445" s="5" t="s">
        <v>283</v>
      </c>
      <c r="H445" s="6">
        <v>5.39</v>
      </c>
      <c r="I445" s="5">
        <v>4</v>
      </c>
      <c r="J445" s="5" t="s">
        <v>4</v>
      </c>
      <c r="K445" s="5" t="s">
        <v>4</v>
      </c>
      <c r="L445" s="5">
        <v>124</v>
      </c>
      <c r="M445" s="5">
        <v>87</v>
      </c>
      <c r="N445" s="5" t="s">
        <v>8</v>
      </c>
      <c r="O445" s="5" t="str">
        <f>_xlfn.IFS('Data set'!$H445&lt;5.7,"Normal",'Data set'!$H445&lt;=6.4,"Prediabetes",'Data set'!$H445&lt;=7.5,"Diabetes",'Data set'!$H445&gt;=7.5,"Uncontrolled")</f>
        <v>Normal</v>
      </c>
      <c r="P445" s="5" t="str">
        <f>_xlfn.IFS('Data set'!$F445&lt;120,"Low",'Data set'!$F445&lt;=200,"Normal",'Data set'!$F445&lt;=240,"Boarderline",'Data set'!$F445&gt;=241,"High")</f>
        <v>Normal</v>
      </c>
      <c r="Q445" s="5" t="str">
        <f>_xlfn.IFS('Data set'!$D445&lt;=18.5,"Low",'Data set'!$D445&lt;=24.9,"Normal",'Data set'!$D445&lt;=29.9,"High",'Data set'!$D445&gt;29.9,"Very High")</f>
        <v>Very High</v>
      </c>
    </row>
    <row r="446" spans="1:17" x14ac:dyDescent="0.25">
      <c r="A446" s="3">
        <v>71</v>
      </c>
      <c r="B446" s="3" t="s">
        <v>9</v>
      </c>
      <c r="C446" s="4">
        <v>164.39</v>
      </c>
      <c r="D446" s="4">
        <v>19.75</v>
      </c>
      <c r="E446" s="3" t="s">
        <v>10</v>
      </c>
      <c r="F446" s="3">
        <v>204</v>
      </c>
      <c r="G446" s="3" t="s">
        <v>397</v>
      </c>
      <c r="H446" s="4">
        <v>7.36</v>
      </c>
      <c r="I446" s="3">
        <v>7</v>
      </c>
      <c r="J446" s="3" t="s">
        <v>3</v>
      </c>
      <c r="K446" s="3" t="s">
        <v>3</v>
      </c>
      <c r="L446" s="3">
        <v>138</v>
      </c>
      <c r="M446" s="3">
        <v>85</v>
      </c>
      <c r="N446" s="3" t="s">
        <v>5</v>
      </c>
      <c r="O446" s="3" t="str">
        <f>_xlfn.IFS('Data set'!$H446&lt;5.7,"Normal",'Data set'!$H446&lt;=6.4,"Prediabetes",'Data set'!$H446&lt;=7.5,"Diabetes",'Data set'!$H446&gt;=7.5,"Uncontrolled")</f>
        <v>Diabetes</v>
      </c>
      <c r="P446" s="3" t="str">
        <f>_xlfn.IFS('Data set'!$F446&lt;120,"Low",'Data set'!$F446&lt;=200,"Normal",'Data set'!$F446&lt;=240,"Boarderline",'Data set'!$F446&gt;=241,"High")</f>
        <v>Boarderline</v>
      </c>
      <c r="Q446" s="3" t="str">
        <f>_xlfn.IFS('Data set'!$D446&lt;=18.5,"Low",'Data set'!$D446&lt;=24.9,"Normal",'Data set'!$D446&lt;=29.9,"High",'Data set'!$D446&gt;29.9,"Very High")</f>
        <v>Normal</v>
      </c>
    </row>
    <row r="447" spans="1:17" x14ac:dyDescent="0.25">
      <c r="A447" s="5">
        <v>78</v>
      </c>
      <c r="B447" s="5" t="s">
        <v>9</v>
      </c>
      <c r="C447" s="6">
        <v>208.42</v>
      </c>
      <c r="D447" s="6">
        <v>31.7</v>
      </c>
      <c r="E447" s="5" t="s">
        <v>10</v>
      </c>
      <c r="F447" s="5">
        <v>243</v>
      </c>
      <c r="G447" s="5" t="s">
        <v>398</v>
      </c>
      <c r="H447" s="6">
        <v>8.65</v>
      </c>
      <c r="I447" s="5">
        <v>7</v>
      </c>
      <c r="J447" s="5" t="s">
        <v>4</v>
      </c>
      <c r="K447" s="5" t="s">
        <v>3</v>
      </c>
      <c r="L447" s="5">
        <v>117</v>
      </c>
      <c r="M447" s="5">
        <v>74</v>
      </c>
      <c r="N447" s="5" t="s">
        <v>5</v>
      </c>
      <c r="O447" s="5" t="str">
        <f>_xlfn.IFS('Data set'!$H447&lt;5.7,"Normal",'Data set'!$H447&lt;=6.4,"Prediabetes",'Data set'!$H447&lt;=7.5,"Diabetes",'Data set'!$H447&gt;=7.5,"Uncontrolled")</f>
        <v>Uncontrolled</v>
      </c>
      <c r="P447" s="5" t="str">
        <f>_xlfn.IFS('Data set'!$F447&lt;120,"Low",'Data set'!$F447&lt;=200,"Normal",'Data set'!$F447&lt;=240,"Boarderline",'Data set'!$F447&gt;=241,"High")</f>
        <v>High</v>
      </c>
      <c r="Q447" s="5" t="str">
        <f>_xlfn.IFS('Data set'!$D447&lt;=18.5,"Low",'Data set'!$D447&lt;=24.9,"Normal",'Data set'!$D447&lt;=29.9,"High",'Data set'!$D447&gt;29.9,"Very High")</f>
        <v>Very High</v>
      </c>
    </row>
    <row r="448" spans="1:17" x14ac:dyDescent="0.25">
      <c r="A448" s="3">
        <v>42</v>
      </c>
      <c r="B448" s="3" t="s">
        <v>0</v>
      </c>
      <c r="C448" s="4">
        <v>212.84</v>
      </c>
      <c r="D448" s="4">
        <v>38.75</v>
      </c>
      <c r="E448" s="3" t="s">
        <v>6</v>
      </c>
      <c r="F448" s="3">
        <v>255</v>
      </c>
      <c r="G448" s="3" t="s">
        <v>399</v>
      </c>
      <c r="H448" s="4">
        <v>9</v>
      </c>
      <c r="I448" s="3">
        <v>7</v>
      </c>
      <c r="J448" s="3" t="s">
        <v>4</v>
      </c>
      <c r="K448" s="3" t="s">
        <v>4</v>
      </c>
      <c r="L448" s="3">
        <v>93</v>
      </c>
      <c r="M448" s="3">
        <v>65</v>
      </c>
      <c r="N448" s="3" t="s">
        <v>23</v>
      </c>
      <c r="O448" s="3" t="str">
        <f>_xlfn.IFS('Data set'!$H448&lt;5.7,"Normal",'Data set'!$H448&lt;=6.4,"Prediabetes",'Data set'!$H448&lt;=7.5,"Diabetes",'Data set'!$H448&gt;=7.5,"Uncontrolled")</f>
        <v>Uncontrolled</v>
      </c>
      <c r="P448" s="3" t="str">
        <f>_xlfn.IFS('Data set'!$F448&lt;120,"Low",'Data set'!$F448&lt;=200,"Normal",'Data set'!$F448&lt;=240,"Boarderline",'Data set'!$F448&gt;=241,"High")</f>
        <v>High</v>
      </c>
      <c r="Q448" s="3" t="str">
        <f>_xlfn.IFS('Data set'!$D448&lt;=18.5,"Low",'Data set'!$D448&lt;=24.9,"Normal",'Data set'!$D448&lt;=29.9,"High",'Data set'!$D448&gt;29.9,"Very High")</f>
        <v>Very High</v>
      </c>
    </row>
    <row r="449" spans="1:17" x14ac:dyDescent="0.25">
      <c r="A449" s="5">
        <v>74</v>
      </c>
      <c r="B449" s="5" t="s">
        <v>9</v>
      </c>
      <c r="C449" s="6">
        <v>195.2</v>
      </c>
      <c r="D449" s="6">
        <v>25.34</v>
      </c>
      <c r="E449" s="5" t="s">
        <v>14</v>
      </c>
      <c r="F449" s="5">
        <v>289</v>
      </c>
      <c r="G449" s="5" t="s">
        <v>400</v>
      </c>
      <c r="H449" s="6">
        <v>5.94</v>
      </c>
      <c r="I449" s="5">
        <v>6</v>
      </c>
      <c r="J449" s="5" t="s">
        <v>4</v>
      </c>
      <c r="K449" s="5" t="s">
        <v>4</v>
      </c>
      <c r="L449" s="5">
        <v>99</v>
      </c>
      <c r="M449" s="5">
        <v>86</v>
      </c>
      <c r="N449" s="5" t="s">
        <v>5</v>
      </c>
      <c r="O449" s="5" t="str">
        <f>_xlfn.IFS('Data set'!$H449&lt;5.7,"Normal",'Data set'!$H449&lt;=6.4,"Prediabetes",'Data set'!$H449&lt;=7.5,"Diabetes",'Data set'!$H449&gt;=7.5,"Uncontrolled")</f>
        <v>Prediabetes</v>
      </c>
      <c r="P449" s="5" t="str">
        <f>_xlfn.IFS('Data set'!$F449&lt;120,"Low",'Data set'!$F449&lt;=200,"Normal",'Data set'!$F449&lt;=240,"Boarderline",'Data set'!$F449&gt;=241,"High")</f>
        <v>High</v>
      </c>
      <c r="Q449" s="5" t="str">
        <f>_xlfn.IFS('Data set'!$D449&lt;=18.5,"Low",'Data set'!$D449&lt;=24.9,"Normal",'Data set'!$D449&lt;=29.9,"High",'Data set'!$D449&gt;29.9,"Very High")</f>
        <v>High</v>
      </c>
    </row>
    <row r="450" spans="1:17" x14ac:dyDescent="0.25">
      <c r="A450" s="3">
        <v>52</v>
      </c>
      <c r="B450" s="3" t="s">
        <v>9</v>
      </c>
      <c r="C450" s="4">
        <v>238.18</v>
      </c>
      <c r="D450" s="4">
        <v>39.51</v>
      </c>
      <c r="E450" s="3" t="s">
        <v>10</v>
      </c>
      <c r="F450" s="3">
        <v>241</v>
      </c>
      <c r="G450" s="3" t="s">
        <v>401</v>
      </c>
      <c r="H450" s="4">
        <v>4.29</v>
      </c>
      <c r="I450" s="3">
        <v>5</v>
      </c>
      <c r="J450" s="3" t="s">
        <v>3</v>
      </c>
      <c r="K450" s="3" t="s">
        <v>3</v>
      </c>
      <c r="L450" s="3">
        <v>119</v>
      </c>
      <c r="M450" s="3">
        <v>68</v>
      </c>
      <c r="N450" s="3" t="s">
        <v>8</v>
      </c>
      <c r="O450" s="3" t="str">
        <f>_xlfn.IFS('Data set'!$H450&lt;5.7,"Normal",'Data set'!$H450&lt;=6.4,"Prediabetes",'Data set'!$H450&lt;=7.5,"Diabetes",'Data set'!$H450&gt;=7.5,"Uncontrolled")</f>
        <v>Normal</v>
      </c>
      <c r="P450" s="3" t="str">
        <f>_xlfn.IFS('Data set'!$F450&lt;120,"Low",'Data set'!$F450&lt;=200,"Normal",'Data set'!$F450&lt;=240,"Boarderline",'Data set'!$F450&gt;=241,"High")</f>
        <v>High</v>
      </c>
      <c r="Q450" s="3" t="str">
        <f>_xlfn.IFS('Data set'!$D450&lt;=18.5,"Low",'Data set'!$D450&lt;=24.9,"Normal",'Data set'!$D450&lt;=29.9,"High",'Data set'!$D450&gt;29.9,"Very High")</f>
        <v>Very High</v>
      </c>
    </row>
    <row r="451" spans="1:17" x14ac:dyDescent="0.25">
      <c r="A451" s="5">
        <v>46</v>
      </c>
      <c r="B451" s="5" t="s">
        <v>9</v>
      </c>
      <c r="C451" s="6">
        <v>136.57</v>
      </c>
      <c r="D451" s="6">
        <v>20.57</v>
      </c>
      <c r="E451" s="5" t="s">
        <v>6</v>
      </c>
      <c r="F451" s="5">
        <v>259</v>
      </c>
      <c r="G451" s="5" t="s">
        <v>137</v>
      </c>
      <c r="H451" s="6">
        <v>5.31</v>
      </c>
      <c r="I451" s="5">
        <v>7</v>
      </c>
      <c r="J451" s="5" t="s">
        <v>3</v>
      </c>
      <c r="K451" s="5" t="s">
        <v>4</v>
      </c>
      <c r="L451" s="5">
        <v>125</v>
      </c>
      <c r="M451" s="5">
        <v>77</v>
      </c>
      <c r="N451" s="5" t="s">
        <v>23</v>
      </c>
      <c r="O451" s="5" t="str">
        <f>_xlfn.IFS('Data set'!$H451&lt;5.7,"Normal",'Data set'!$H451&lt;=6.4,"Prediabetes",'Data set'!$H451&lt;=7.5,"Diabetes",'Data set'!$H451&gt;=7.5,"Uncontrolled")</f>
        <v>Normal</v>
      </c>
      <c r="P451" s="5" t="str">
        <f>_xlfn.IFS('Data set'!$F451&lt;120,"Low",'Data set'!$F451&lt;=200,"Normal",'Data set'!$F451&lt;=240,"Boarderline",'Data set'!$F451&gt;=241,"High")</f>
        <v>High</v>
      </c>
      <c r="Q451" s="5" t="str">
        <f>_xlfn.IFS('Data set'!$D451&lt;=18.5,"Low",'Data set'!$D451&lt;=24.9,"Normal",'Data set'!$D451&lt;=29.9,"High",'Data set'!$D451&gt;29.9,"Very High")</f>
        <v>Normal</v>
      </c>
    </row>
    <row r="452" spans="1:17" x14ac:dyDescent="0.25">
      <c r="A452" s="3">
        <v>41</v>
      </c>
      <c r="B452" s="3" t="s">
        <v>0</v>
      </c>
      <c r="C452" s="4">
        <v>229.6</v>
      </c>
      <c r="D452" s="4">
        <v>29.25</v>
      </c>
      <c r="E452" s="3" t="s">
        <v>10</v>
      </c>
      <c r="F452" s="3">
        <v>191</v>
      </c>
      <c r="G452" s="3" t="s">
        <v>230</v>
      </c>
      <c r="H452" s="4">
        <v>5.96</v>
      </c>
      <c r="I452" s="3">
        <v>7</v>
      </c>
      <c r="J452" s="3" t="s">
        <v>4</v>
      </c>
      <c r="K452" s="3" t="s">
        <v>3</v>
      </c>
      <c r="L452" s="3">
        <v>121</v>
      </c>
      <c r="M452" s="3">
        <v>82</v>
      </c>
      <c r="N452" s="3" t="s">
        <v>23</v>
      </c>
      <c r="O452" s="3" t="str">
        <f>_xlfn.IFS('Data set'!$H452&lt;5.7,"Normal",'Data set'!$H452&lt;=6.4,"Prediabetes",'Data set'!$H452&lt;=7.5,"Diabetes",'Data set'!$H452&gt;=7.5,"Uncontrolled")</f>
        <v>Prediabetes</v>
      </c>
      <c r="P452" s="3" t="str">
        <f>_xlfn.IFS('Data set'!$F452&lt;120,"Low",'Data set'!$F452&lt;=200,"Normal",'Data set'!$F452&lt;=240,"Boarderline",'Data set'!$F452&gt;=241,"High")</f>
        <v>Normal</v>
      </c>
      <c r="Q452" s="3" t="str">
        <f>_xlfn.IFS('Data set'!$D452&lt;=18.5,"Low",'Data set'!$D452&lt;=24.9,"Normal",'Data set'!$D452&lt;=29.9,"High",'Data set'!$D452&gt;29.9,"Very High")</f>
        <v>High</v>
      </c>
    </row>
    <row r="453" spans="1:17" x14ac:dyDescent="0.25">
      <c r="A453" s="5">
        <v>52</v>
      </c>
      <c r="B453" s="5" t="s">
        <v>0</v>
      </c>
      <c r="C453" s="6">
        <v>108.94</v>
      </c>
      <c r="D453" s="6">
        <v>19.329999999999998</v>
      </c>
      <c r="E453" s="5" t="s">
        <v>10</v>
      </c>
      <c r="F453" s="5">
        <v>120</v>
      </c>
      <c r="G453" s="5" t="s">
        <v>402</v>
      </c>
      <c r="H453" s="6">
        <v>9.91</v>
      </c>
      <c r="I453" s="5">
        <v>7</v>
      </c>
      <c r="J453" s="5" t="s">
        <v>4</v>
      </c>
      <c r="K453" s="5" t="s">
        <v>3</v>
      </c>
      <c r="L453" s="5">
        <v>101</v>
      </c>
      <c r="M453" s="5">
        <v>75</v>
      </c>
      <c r="N453" s="5" t="s">
        <v>8</v>
      </c>
      <c r="O453" s="5" t="str">
        <f>_xlfn.IFS('Data set'!$H453&lt;5.7,"Normal",'Data set'!$H453&lt;=6.4,"Prediabetes",'Data set'!$H453&lt;=7.5,"Diabetes",'Data set'!$H453&gt;=7.5,"Uncontrolled")</f>
        <v>Uncontrolled</v>
      </c>
      <c r="P453" s="5" t="str">
        <f>_xlfn.IFS('Data set'!$F453&lt;120,"Low",'Data set'!$F453&lt;=200,"Normal",'Data set'!$F453&lt;=240,"Boarderline",'Data set'!$F453&gt;=241,"High")</f>
        <v>Normal</v>
      </c>
      <c r="Q453" s="5" t="str">
        <f>_xlfn.IFS('Data set'!$D453&lt;=18.5,"Low",'Data set'!$D453&lt;=24.9,"Normal",'Data set'!$D453&lt;=29.9,"High",'Data set'!$D453&gt;29.9,"Very High")</f>
        <v>Normal</v>
      </c>
    </row>
    <row r="454" spans="1:17" x14ac:dyDescent="0.25">
      <c r="A454" s="3">
        <v>68</v>
      </c>
      <c r="B454" s="3" t="s">
        <v>0</v>
      </c>
      <c r="C454" s="4">
        <v>289.32</v>
      </c>
      <c r="D454" s="4">
        <v>30.33</v>
      </c>
      <c r="E454" s="3" t="s">
        <v>1</v>
      </c>
      <c r="F454" s="3">
        <v>242</v>
      </c>
      <c r="G454" s="3" t="s">
        <v>349</v>
      </c>
      <c r="H454" s="4">
        <v>4.8</v>
      </c>
      <c r="I454" s="3">
        <v>2</v>
      </c>
      <c r="J454" s="3" t="s">
        <v>3</v>
      </c>
      <c r="K454" s="3" t="s">
        <v>4</v>
      </c>
      <c r="L454" s="3">
        <v>94</v>
      </c>
      <c r="M454" s="3">
        <v>85</v>
      </c>
      <c r="N454" s="3" t="s">
        <v>21</v>
      </c>
      <c r="O454" s="3" t="str">
        <f>_xlfn.IFS('Data set'!$H454&lt;5.7,"Normal",'Data set'!$H454&lt;=6.4,"Prediabetes",'Data set'!$H454&lt;=7.5,"Diabetes",'Data set'!$H454&gt;=7.5,"Uncontrolled")</f>
        <v>Normal</v>
      </c>
      <c r="P454" s="3" t="str">
        <f>_xlfn.IFS('Data set'!$F454&lt;120,"Low",'Data set'!$F454&lt;=200,"Normal",'Data set'!$F454&lt;=240,"Boarderline",'Data set'!$F454&gt;=241,"High")</f>
        <v>High</v>
      </c>
      <c r="Q454" s="3" t="str">
        <f>_xlfn.IFS('Data set'!$D454&lt;=18.5,"Low",'Data set'!$D454&lt;=24.9,"Normal",'Data set'!$D454&lt;=29.9,"High",'Data set'!$D454&gt;29.9,"Very High")</f>
        <v>Very High</v>
      </c>
    </row>
    <row r="455" spans="1:17" x14ac:dyDescent="0.25">
      <c r="A455" s="5">
        <v>43</v>
      </c>
      <c r="B455" s="5" t="s">
        <v>0</v>
      </c>
      <c r="C455" s="6">
        <v>72.739999999999995</v>
      </c>
      <c r="D455" s="6">
        <v>29.64</v>
      </c>
      <c r="E455" s="5" t="s">
        <v>1</v>
      </c>
      <c r="F455" s="5">
        <v>135</v>
      </c>
      <c r="G455" s="5" t="s">
        <v>339</v>
      </c>
      <c r="H455" s="6">
        <v>8.5500000000000007</v>
      </c>
      <c r="I455" s="5">
        <v>2</v>
      </c>
      <c r="J455" s="5" t="s">
        <v>3</v>
      </c>
      <c r="K455" s="5" t="s">
        <v>3</v>
      </c>
      <c r="L455" s="5">
        <v>132</v>
      </c>
      <c r="M455" s="5">
        <v>86</v>
      </c>
      <c r="N455" s="5" t="s">
        <v>23</v>
      </c>
      <c r="O455" s="5" t="str">
        <f>_xlfn.IFS('Data set'!$H455&lt;5.7,"Normal",'Data set'!$H455&lt;=6.4,"Prediabetes",'Data set'!$H455&lt;=7.5,"Diabetes",'Data set'!$H455&gt;=7.5,"Uncontrolled")</f>
        <v>Uncontrolled</v>
      </c>
      <c r="P455" s="5" t="str">
        <f>_xlfn.IFS('Data set'!$F455&lt;120,"Low",'Data set'!$F455&lt;=200,"Normal",'Data set'!$F455&lt;=240,"Boarderline",'Data set'!$F455&gt;=241,"High")</f>
        <v>Normal</v>
      </c>
      <c r="Q455" s="5" t="str">
        <f>_xlfn.IFS('Data set'!$D455&lt;=18.5,"Low",'Data set'!$D455&lt;=24.9,"Normal",'Data set'!$D455&lt;=29.9,"High",'Data set'!$D455&gt;29.9,"Very High")</f>
        <v>High</v>
      </c>
    </row>
    <row r="456" spans="1:17" x14ac:dyDescent="0.25">
      <c r="A456" s="3">
        <v>66</v>
      </c>
      <c r="B456" s="3" t="s">
        <v>9</v>
      </c>
      <c r="C456" s="4">
        <v>272.87</v>
      </c>
      <c r="D456" s="4">
        <v>29.63</v>
      </c>
      <c r="E456" s="3" t="s">
        <v>1</v>
      </c>
      <c r="F456" s="3">
        <v>114</v>
      </c>
      <c r="G456" s="3" t="s">
        <v>403</v>
      </c>
      <c r="H456" s="4">
        <v>7.45</v>
      </c>
      <c r="I456" s="3">
        <v>2</v>
      </c>
      <c r="J456" s="3" t="s">
        <v>3</v>
      </c>
      <c r="K456" s="3" t="s">
        <v>3</v>
      </c>
      <c r="L456" s="3">
        <v>126</v>
      </c>
      <c r="M456" s="3">
        <v>70</v>
      </c>
      <c r="N456" s="3" t="s">
        <v>21</v>
      </c>
      <c r="O456" s="3" t="str">
        <f>_xlfn.IFS('Data set'!$H456&lt;5.7,"Normal",'Data set'!$H456&lt;=6.4,"Prediabetes",'Data set'!$H456&lt;=7.5,"Diabetes",'Data set'!$H456&gt;=7.5,"Uncontrolled")</f>
        <v>Diabetes</v>
      </c>
      <c r="P456" s="3" t="str">
        <f>_xlfn.IFS('Data set'!$F456&lt;120,"Low",'Data set'!$F456&lt;=200,"Normal",'Data set'!$F456&lt;=240,"Boarderline",'Data set'!$F456&gt;=241,"High")</f>
        <v>Low</v>
      </c>
      <c r="Q456" s="3" t="str">
        <f>_xlfn.IFS('Data set'!$D456&lt;=18.5,"Low",'Data set'!$D456&lt;=24.9,"Normal",'Data set'!$D456&lt;=29.9,"High",'Data set'!$D456&gt;29.9,"Very High")</f>
        <v>High</v>
      </c>
    </row>
    <row r="457" spans="1:17" x14ac:dyDescent="0.25">
      <c r="A457" s="5">
        <v>22</v>
      </c>
      <c r="B457" s="5" t="s">
        <v>9</v>
      </c>
      <c r="C457" s="6">
        <v>160.11000000000001</v>
      </c>
      <c r="D457" s="6">
        <v>29.61</v>
      </c>
      <c r="E457" s="5" t="s">
        <v>6</v>
      </c>
      <c r="F457" s="5">
        <v>127</v>
      </c>
      <c r="G457" s="5" t="s">
        <v>404</v>
      </c>
      <c r="H457" s="6">
        <v>5.01</v>
      </c>
      <c r="I457" s="5">
        <v>1</v>
      </c>
      <c r="J457" s="5" t="s">
        <v>3</v>
      </c>
      <c r="K457" s="5" t="s">
        <v>4</v>
      </c>
      <c r="L457" s="5">
        <v>108</v>
      </c>
      <c r="M457" s="5">
        <v>87</v>
      </c>
      <c r="N457" s="5" t="s">
        <v>17</v>
      </c>
      <c r="O457" s="5" t="str">
        <f>_xlfn.IFS('Data set'!$H457&lt;5.7,"Normal",'Data set'!$H457&lt;=6.4,"Prediabetes",'Data set'!$H457&lt;=7.5,"Diabetes",'Data set'!$H457&gt;=7.5,"Uncontrolled")</f>
        <v>Normal</v>
      </c>
      <c r="P457" s="5" t="str">
        <f>_xlfn.IFS('Data set'!$F457&lt;120,"Low",'Data set'!$F457&lt;=200,"Normal",'Data set'!$F457&lt;=240,"Boarderline",'Data set'!$F457&gt;=241,"High")</f>
        <v>Normal</v>
      </c>
      <c r="Q457" s="5" t="str">
        <f>_xlfn.IFS('Data set'!$D457&lt;=18.5,"Low",'Data set'!$D457&lt;=24.9,"Normal",'Data set'!$D457&lt;=29.9,"High",'Data set'!$D457&gt;29.9,"Very High")</f>
        <v>High</v>
      </c>
    </row>
    <row r="458" spans="1:17" x14ac:dyDescent="0.25">
      <c r="A458" s="3">
        <v>68</v>
      </c>
      <c r="B458" s="3" t="s">
        <v>9</v>
      </c>
      <c r="C458" s="4">
        <v>150.78</v>
      </c>
      <c r="D458" s="4">
        <v>31</v>
      </c>
      <c r="E458" s="3" t="s">
        <v>10</v>
      </c>
      <c r="F458" s="3">
        <v>193</v>
      </c>
      <c r="G458" s="3" t="s">
        <v>405</v>
      </c>
      <c r="H458" s="4">
        <v>9.5500000000000007</v>
      </c>
      <c r="I458" s="3">
        <v>0</v>
      </c>
      <c r="J458" s="3" t="s">
        <v>4</v>
      </c>
      <c r="K458" s="3" t="s">
        <v>3</v>
      </c>
      <c r="L458" s="3">
        <v>90</v>
      </c>
      <c r="M458" s="3">
        <v>62</v>
      </c>
      <c r="N458" s="3" t="s">
        <v>21</v>
      </c>
      <c r="O458" s="3" t="str">
        <f>_xlfn.IFS('Data set'!$H458&lt;5.7,"Normal",'Data set'!$H458&lt;=6.4,"Prediabetes",'Data set'!$H458&lt;=7.5,"Diabetes",'Data set'!$H458&gt;=7.5,"Uncontrolled")</f>
        <v>Uncontrolled</v>
      </c>
      <c r="P458" s="3" t="str">
        <f>_xlfn.IFS('Data set'!$F458&lt;120,"Low",'Data set'!$F458&lt;=200,"Normal",'Data set'!$F458&lt;=240,"Boarderline",'Data set'!$F458&gt;=241,"High")</f>
        <v>Normal</v>
      </c>
      <c r="Q458" s="3" t="str">
        <f>_xlfn.IFS('Data set'!$D458&lt;=18.5,"Low",'Data set'!$D458&lt;=24.9,"Normal",'Data set'!$D458&lt;=29.9,"High",'Data set'!$D458&gt;29.9,"Very High")</f>
        <v>Very High</v>
      </c>
    </row>
    <row r="459" spans="1:17" x14ac:dyDescent="0.25">
      <c r="A459" s="5">
        <v>21</v>
      </c>
      <c r="B459" s="5" t="s">
        <v>9</v>
      </c>
      <c r="C459" s="6">
        <v>255.37</v>
      </c>
      <c r="D459" s="6">
        <v>34.44</v>
      </c>
      <c r="E459" s="5" t="s">
        <v>14</v>
      </c>
      <c r="F459" s="5">
        <v>157</v>
      </c>
      <c r="G459" s="5" t="s">
        <v>406</v>
      </c>
      <c r="H459" s="6">
        <v>8.06</v>
      </c>
      <c r="I459" s="5">
        <v>6</v>
      </c>
      <c r="J459" s="5" t="s">
        <v>4</v>
      </c>
      <c r="K459" s="5" t="s">
        <v>4</v>
      </c>
      <c r="L459" s="5">
        <v>118</v>
      </c>
      <c r="M459" s="5">
        <v>72</v>
      </c>
      <c r="N459" s="5" t="s">
        <v>17</v>
      </c>
      <c r="O459" s="5" t="str">
        <f>_xlfn.IFS('Data set'!$H459&lt;5.7,"Normal",'Data set'!$H459&lt;=6.4,"Prediabetes",'Data set'!$H459&lt;=7.5,"Diabetes",'Data set'!$H459&gt;=7.5,"Uncontrolled")</f>
        <v>Uncontrolled</v>
      </c>
      <c r="P459" s="5" t="str">
        <f>_xlfn.IFS('Data set'!$F459&lt;120,"Low",'Data set'!$F459&lt;=200,"Normal",'Data set'!$F459&lt;=240,"Boarderline",'Data set'!$F459&gt;=241,"High")</f>
        <v>Normal</v>
      </c>
      <c r="Q459" s="5" t="str">
        <f>_xlfn.IFS('Data set'!$D459&lt;=18.5,"Low",'Data set'!$D459&lt;=24.9,"Normal",'Data set'!$D459&lt;=29.9,"High",'Data set'!$D459&gt;29.9,"Very High")</f>
        <v>Very High</v>
      </c>
    </row>
    <row r="460" spans="1:17" x14ac:dyDescent="0.25">
      <c r="A460" s="3">
        <v>72</v>
      </c>
      <c r="B460" s="3" t="s">
        <v>0</v>
      </c>
      <c r="C460" s="4">
        <v>124.9</v>
      </c>
      <c r="D460" s="4">
        <v>38.83</v>
      </c>
      <c r="E460" s="3" t="s">
        <v>14</v>
      </c>
      <c r="F460" s="3">
        <v>108</v>
      </c>
      <c r="G460" s="3" t="s">
        <v>407</v>
      </c>
      <c r="H460" s="4">
        <v>7.17</v>
      </c>
      <c r="I460" s="3">
        <v>3</v>
      </c>
      <c r="J460" s="3" t="s">
        <v>3</v>
      </c>
      <c r="K460" s="3" t="s">
        <v>3</v>
      </c>
      <c r="L460" s="3">
        <v>102</v>
      </c>
      <c r="M460" s="3">
        <v>71</v>
      </c>
      <c r="N460" s="3" t="s">
        <v>5</v>
      </c>
      <c r="O460" s="3" t="str">
        <f>_xlfn.IFS('Data set'!$H460&lt;5.7,"Normal",'Data set'!$H460&lt;=6.4,"Prediabetes",'Data set'!$H460&lt;=7.5,"Diabetes",'Data set'!$H460&gt;=7.5,"Uncontrolled")</f>
        <v>Diabetes</v>
      </c>
      <c r="P460" s="3" t="str">
        <f>_xlfn.IFS('Data set'!$F460&lt;120,"Low",'Data set'!$F460&lt;=200,"Normal",'Data set'!$F460&lt;=240,"Boarderline",'Data set'!$F460&gt;=241,"High")</f>
        <v>Low</v>
      </c>
      <c r="Q460" s="3" t="str">
        <f>_xlfn.IFS('Data set'!$D460&lt;=18.5,"Low",'Data set'!$D460&lt;=24.9,"Normal",'Data set'!$D460&lt;=29.9,"High",'Data set'!$D460&gt;29.9,"Very High")</f>
        <v>Very High</v>
      </c>
    </row>
    <row r="461" spans="1:17" x14ac:dyDescent="0.25">
      <c r="A461" s="5">
        <v>45</v>
      </c>
      <c r="B461" s="5" t="s">
        <v>0</v>
      </c>
      <c r="C461" s="6">
        <v>150.94999999999999</v>
      </c>
      <c r="D461" s="6">
        <v>29.67</v>
      </c>
      <c r="E461" s="5" t="s">
        <v>14</v>
      </c>
      <c r="F461" s="5">
        <v>289</v>
      </c>
      <c r="G461" s="5" t="s">
        <v>36</v>
      </c>
      <c r="H461" s="6">
        <v>9.3800000000000008</v>
      </c>
      <c r="I461" s="5">
        <v>7</v>
      </c>
      <c r="J461" s="5" t="s">
        <v>4</v>
      </c>
      <c r="K461" s="5" t="s">
        <v>4</v>
      </c>
      <c r="L461" s="5">
        <v>103</v>
      </c>
      <c r="M461" s="5">
        <v>89</v>
      </c>
      <c r="N461" s="5" t="s">
        <v>23</v>
      </c>
      <c r="O461" s="5" t="str">
        <f>_xlfn.IFS('Data set'!$H461&lt;5.7,"Normal",'Data set'!$H461&lt;=6.4,"Prediabetes",'Data set'!$H461&lt;=7.5,"Diabetes",'Data set'!$H461&gt;=7.5,"Uncontrolled")</f>
        <v>Uncontrolled</v>
      </c>
      <c r="P461" s="5" t="str">
        <f>_xlfn.IFS('Data set'!$F461&lt;120,"Low",'Data set'!$F461&lt;=200,"Normal",'Data set'!$F461&lt;=240,"Boarderline",'Data set'!$F461&gt;=241,"High")</f>
        <v>High</v>
      </c>
      <c r="Q461" s="5" t="str">
        <f>_xlfn.IFS('Data set'!$D461&lt;=18.5,"Low",'Data set'!$D461&lt;=24.9,"Normal",'Data set'!$D461&lt;=29.9,"High",'Data set'!$D461&gt;29.9,"Very High")</f>
        <v>High</v>
      </c>
    </row>
    <row r="462" spans="1:17" x14ac:dyDescent="0.25">
      <c r="A462" s="3">
        <v>55</v>
      </c>
      <c r="B462" s="3" t="s">
        <v>9</v>
      </c>
      <c r="C462" s="4">
        <v>215.35</v>
      </c>
      <c r="D462" s="4">
        <v>33.630000000000003</v>
      </c>
      <c r="E462" s="3" t="s">
        <v>14</v>
      </c>
      <c r="F462" s="3">
        <v>210</v>
      </c>
      <c r="G462" s="3" t="s">
        <v>408</v>
      </c>
      <c r="H462" s="4">
        <v>9.99</v>
      </c>
      <c r="I462" s="3">
        <v>0</v>
      </c>
      <c r="J462" s="3" t="s">
        <v>4</v>
      </c>
      <c r="K462" s="3" t="s">
        <v>4</v>
      </c>
      <c r="L462" s="3">
        <v>90</v>
      </c>
      <c r="M462" s="3">
        <v>69</v>
      </c>
      <c r="N462" s="3" t="s">
        <v>8</v>
      </c>
      <c r="O462" s="3" t="str">
        <f>_xlfn.IFS('Data set'!$H462&lt;5.7,"Normal",'Data set'!$H462&lt;=6.4,"Prediabetes",'Data set'!$H462&lt;=7.5,"Diabetes",'Data set'!$H462&gt;=7.5,"Uncontrolled")</f>
        <v>Uncontrolled</v>
      </c>
      <c r="P462" s="3" t="str">
        <f>_xlfn.IFS('Data set'!$F462&lt;120,"Low",'Data set'!$F462&lt;=200,"Normal",'Data set'!$F462&lt;=240,"Boarderline",'Data set'!$F462&gt;=241,"High")</f>
        <v>Boarderline</v>
      </c>
      <c r="Q462" s="3" t="str">
        <f>_xlfn.IFS('Data set'!$D462&lt;=18.5,"Low",'Data set'!$D462&lt;=24.9,"Normal",'Data set'!$D462&lt;=29.9,"High",'Data set'!$D462&gt;29.9,"Very High")</f>
        <v>Very High</v>
      </c>
    </row>
    <row r="463" spans="1:17" x14ac:dyDescent="0.25">
      <c r="A463" s="5">
        <v>22</v>
      </c>
      <c r="B463" s="5" t="s">
        <v>0</v>
      </c>
      <c r="C463" s="6">
        <v>245.02</v>
      </c>
      <c r="D463" s="6">
        <v>30.38</v>
      </c>
      <c r="E463" s="5" t="s">
        <v>1</v>
      </c>
      <c r="F463" s="5">
        <v>196</v>
      </c>
      <c r="G463" s="5" t="s">
        <v>409</v>
      </c>
      <c r="H463" s="6">
        <v>6.75</v>
      </c>
      <c r="I463" s="5">
        <v>7</v>
      </c>
      <c r="J463" s="5" t="s">
        <v>3</v>
      </c>
      <c r="K463" s="5" t="s">
        <v>3</v>
      </c>
      <c r="L463" s="5">
        <v>104</v>
      </c>
      <c r="M463" s="5">
        <v>85</v>
      </c>
      <c r="N463" s="5" t="s">
        <v>17</v>
      </c>
      <c r="O463" s="5" t="str">
        <f>_xlfn.IFS('Data set'!$H463&lt;5.7,"Normal",'Data set'!$H463&lt;=6.4,"Prediabetes",'Data set'!$H463&lt;=7.5,"Diabetes",'Data set'!$H463&gt;=7.5,"Uncontrolled")</f>
        <v>Diabetes</v>
      </c>
      <c r="P463" s="5" t="str">
        <f>_xlfn.IFS('Data set'!$F463&lt;120,"Low",'Data set'!$F463&lt;=200,"Normal",'Data set'!$F463&lt;=240,"Boarderline",'Data set'!$F463&gt;=241,"High")</f>
        <v>Normal</v>
      </c>
      <c r="Q463" s="5" t="str">
        <f>_xlfn.IFS('Data set'!$D463&lt;=18.5,"Low",'Data set'!$D463&lt;=24.9,"Normal",'Data set'!$D463&lt;=29.9,"High",'Data set'!$D463&gt;29.9,"Very High")</f>
        <v>Very High</v>
      </c>
    </row>
    <row r="464" spans="1:17" x14ac:dyDescent="0.25">
      <c r="A464" s="3">
        <v>54</v>
      </c>
      <c r="B464" s="3" t="s">
        <v>0</v>
      </c>
      <c r="C464" s="4">
        <v>103.97</v>
      </c>
      <c r="D464" s="4">
        <v>23.08</v>
      </c>
      <c r="E464" s="3" t="s">
        <v>14</v>
      </c>
      <c r="F464" s="3">
        <v>180</v>
      </c>
      <c r="G464" s="3" t="s">
        <v>410</v>
      </c>
      <c r="H464" s="4">
        <v>6.61</v>
      </c>
      <c r="I464" s="3">
        <v>4</v>
      </c>
      <c r="J464" s="3" t="s">
        <v>4</v>
      </c>
      <c r="K464" s="3" t="s">
        <v>4</v>
      </c>
      <c r="L464" s="3">
        <v>101</v>
      </c>
      <c r="M464" s="3">
        <v>77</v>
      </c>
      <c r="N464" s="3" t="s">
        <v>8</v>
      </c>
      <c r="O464" s="3" t="str">
        <f>_xlfn.IFS('Data set'!$H464&lt;5.7,"Normal",'Data set'!$H464&lt;=6.4,"Prediabetes",'Data set'!$H464&lt;=7.5,"Diabetes",'Data set'!$H464&gt;=7.5,"Uncontrolled")</f>
        <v>Diabetes</v>
      </c>
      <c r="P464" s="3" t="str">
        <f>_xlfn.IFS('Data set'!$F464&lt;120,"Low",'Data set'!$F464&lt;=200,"Normal",'Data set'!$F464&lt;=240,"Boarderline",'Data set'!$F464&gt;=241,"High")</f>
        <v>Normal</v>
      </c>
      <c r="Q464" s="3" t="str">
        <f>_xlfn.IFS('Data set'!$D464&lt;=18.5,"Low",'Data set'!$D464&lt;=24.9,"Normal",'Data set'!$D464&lt;=29.9,"High",'Data set'!$D464&gt;29.9,"Very High")</f>
        <v>Normal</v>
      </c>
    </row>
    <row r="465" spans="1:17" x14ac:dyDescent="0.25">
      <c r="A465" s="5">
        <v>77</v>
      </c>
      <c r="B465" s="5" t="s">
        <v>9</v>
      </c>
      <c r="C465" s="6">
        <v>108.73</v>
      </c>
      <c r="D465" s="6">
        <v>23.26</v>
      </c>
      <c r="E465" s="5" t="s">
        <v>1</v>
      </c>
      <c r="F465" s="5">
        <v>211</v>
      </c>
      <c r="G465" s="5" t="s">
        <v>411</v>
      </c>
      <c r="H465" s="6">
        <v>5.46</v>
      </c>
      <c r="I465" s="5">
        <v>7</v>
      </c>
      <c r="J465" s="5" t="s">
        <v>3</v>
      </c>
      <c r="K465" s="5" t="s">
        <v>4</v>
      </c>
      <c r="L465" s="5">
        <v>111</v>
      </c>
      <c r="M465" s="5">
        <v>72</v>
      </c>
      <c r="N465" s="5" t="s">
        <v>5</v>
      </c>
      <c r="O465" s="5" t="str">
        <f>_xlfn.IFS('Data set'!$H465&lt;5.7,"Normal",'Data set'!$H465&lt;=6.4,"Prediabetes",'Data set'!$H465&lt;=7.5,"Diabetes",'Data set'!$H465&gt;=7.5,"Uncontrolled")</f>
        <v>Normal</v>
      </c>
      <c r="P465" s="5" t="str">
        <f>_xlfn.IFS('Data set'!$F465&lt;120,"Low",'Data set'!$F465&lt;=200,"Normal",'Data set'!$F465&lt;=240,"Boarderline",'Data set'!$F465&gt;=241,"High")</f>
        <v>Boarderline</v>
      </c>
      <c r="Q465" s="5" t="str">
        <f>_xlfn.IFS('Data set'!$D465&lt;=18.5,"Low",'Data set'!$D465&lt;=24.9,"Normal",'Data set'!$D465&lt;=29.9,"High",'Data set'!$D465&gt;29.9,"Very High")</f>
        <v>Normal</v>
      </c>
    </row>
    <row r="466" spans="1:17" x14ac:dyDescent="0.25">
      <c r="A466" s="3">
        <v>65</v>
      </c>
      <c r="B466" s="3" t="s">
        <v>0</v>
      </c>
      <c r="C466" s="4">
        <v>80.16</v>
      </c>
      <c r="D466" s="4">
        <v>38.049999999999997</v>
      </c>
      <c r="E466" s="3" t="s">
        <v>6</v>
      </c>
      <c r="F466" s="3">
        <v>239</v>
      </c>
      <c r="G466" s="3" t="s">
        <v>412</v>
      </c>
      <c r="H466" s="4">
        <v>5.98</v>
      </c>
      <c r="I466" s="3">
        <v>4</v>
      </c>
      <c r="J466" s="3" t="s">
        <v>4</v>
      </c>
      <c r="K466" s="3" t="s">
        <v>4</v>
      </c>
      <c r="L466" s="3">
        <v>113</v>
      </c>
      <c r="M466" s="3">
        <v>66</v>
      </c>
      <c r="N466" s="3" t="s">
        <v>21</v>
      </c>
      <c r="O466" s="3" t="str">
        <f>_xlfn.IFS('Data set'!$H466&lt;5.7,"Normal",'Data set'!$H466&lt;=6.4,"Prediabetes",'Data set'!$H466&lt;=7.5,"Diabetes",'Data set'!$H466&gt;=7.5,"Uncontrolled")</f>
        <v>Prediabetes</v>
      </c>
      <c r="P466" s="3" t="str">
        <f>_xlfn.IFS('Data set'!$F466&lt;120,"Low",'Data set'!$F466&lt;=200,"Normal",'Data set'!$F466&lt;=240,"Boarderline",'Data set'!$F466&gt;=241,"High")</f>
        <v>Boarderline</v>
      </c>
      <c r="Q466" s="3" t="str">
        <f>_xlfn.IFS('Data set'!$D466&lt;=18.5,"Low",'Data set'!$D466&lt;=24.9,"Normal",'Data set'!$D466&lt;=29.9,"High",'Data set'!$D466&gt;29.9,"Very High")</f>
        <v>Very High</v>
      </c>
    </row>
    <row r="467" spans="1:17" x14ac:dyDescent="0.25">
      <c r="A467" s="5">
        <v>58</v>
      </c>
      <c r="B467" s="5" t="s">
        <v>0</v>
      </c>
      <c r="C467" s="6">
        <v>179.93</v>
      </c>
      <c r="D467" s="6">
        <v>27.69</v>
      </c>
      <c r="E467" s="5" t="s">
        <v>14</v>
      </c>
      <c r="F467" s="5">
        <v>171</v>
      </c>
      <c r="G467" s="5" t="s">
        <v>413</v>
      </c>
      <c r="H467" s="6">
        <v>9.89</v>
      </c>
      <c r="I467" s="5">
        <v>6</v>
      </c>
      <c r="J467" s="5" t="s">
        <v>4</v>
      </c>
      <c r="K467" s="5" t="s">
        <v>4</v>
      </c>
      <c r="L467" s="5">
        <v>91</v>
      </c>
      <c r="M467" s="5">
        <v>74</v>
      </c>
      <c r="N467" s="5" t="s">
        <v>8</v>
      </c>
      <c r="O467" s="5" t="str">
        <f>_xlfn.IFS('Data set'!$H467&lt;5.7,"Normal",'Data set'!$H467&lt;=6.4,"Prediabetes",'Data set'!$H467&lt;=7.5,"Diabetes",'Data set'!$H467&gt;=7.5,"Uncontrolled")</f>
        <v>Uncontrolled</v>
      </c>
      <c r="P467" s="5" t="str">
        <f>_xlfn.IFS('Data set'!$F467&lt;120,"Low",'Data set'!$F467&lt;=200,"Normal",'Data set'!$F467&lt;=240,"Boarderline",'Data set'!$F467&gt;=241,"High")</f>
        <v>Normal</v>
      </c>
      <c r="Q467" s="5" t="str">
        <f>_xlfn.IFS('Data set'!$D467&lt;=18.5,"Low",'Data set'!$D467&lt;=24.9,"Normal",'Data set'!$D467&lt;=29.9,"High",'Data set'!$D467&gt;29.9,"Very High")</f>
        <v>High</v>
      </c>
    </row>
    <row r="468" spans="1:17" x14ac:dyDescent="0.25">
      <c r="A468" s="3">
        <v>75</v>
      </c>
      <c r="B468" s="3" t="s">
        <v>9</v>
      </c>
      <c r="C468" s="4">
        <v>299.67</v>
      </c>
      <c r="D468" s="4">
        <v>24.02</v>
      </c>
      <c r="E468" s="3" t="s">
        <v>10</v>
      </c>
      <c r="F468" s="3">
        <v>291</v>
      </c>
      <c r="G468" s="3" t="s">
        <v>43</v>
      </c>
      <c r="H468" s="4">
        <v>9.33</v>
      </c>
      <c r="I468" s="3">
        <v>3</v>
      </c>
      <c r="J468" s="3" t="s">
        <v>3</v>
      </c>
      <c r="K468" s="3" t="s">
        <v>3</v>
      </c>
      <c r="L468" s="3">
        <v>123</v>
      </c>
      <c r="M468" s="3">
        <v>87</v>
      </c>
      <c r="N468" s="3" t="s">
        <v>5</v>
      </c>
      <c r="O468" s="3" t="str">
        <f>_xlfn.IFS('Data set'!$H468&lt;5.7,"Normal",'Data set'!$H468&lt;=6.4,"Prediabetes",'Data set'!$H468&lt;=7.5,"Diabetes",'Data set'!$H468&gt;=7.5,"Uncontrolled")</f>
        <v>Uncontrolled</v>
      </c>
      <c r="P468" s="3" t="str">
        <f>_xlfn.IFS('Data set'!$F468&lt;120,"Low",'Data set'!$F468&lt;=200,"Normal",'Data set'!$F468&lt;=240,"Boarderline",'Data set'!$F468&gt;=241,"High")</f>
        <v>High</v>
      </c>
      <c r="Q468" s="3" t="str">
        <f>_xlfn.IFS('Data set'!$D468&lt;=18.5,"Low",'Data set'!$D468&lt;=24.9,"Normal",'Data set'!$D468&lt;=29.9,"High",'Data set'!$D468&gt;29.9,"Very High")</f>
        <v>Normal</v>
      </c>
    </row>
    <row r="469" spans="1:17" x14ac:dyDescent="0.25">
      <c r="A469" s="5">
        <v>44</v>
      </c>
      <c r="B469" s="5" t="s">
        <v>9</v>
      </c>
      <c r="C469" s="6">
        <v>110.95</v>
      </c>
      <c r="D469" s="6">
        <v>18.41</v>
      </c>
      <c r="E469" s="5" t="s">
        <v>1</v>
      </c>
      <c r="F469" s="5">
        <v>187</v>
      </c>
      <c r="G469" s="5" t="s">
        <v>88</v>
      </c>
      <c r="H469" s="6">
        <v>6.85</v>
      </c>
      <c r="I469" s="5">
        <v>0</v>
      </c>
      <c r="J469" s="5" t="s">
        <v>4</v>
      </c>
      <c r="K469" s="5" t="s">
        <v>3</v>
      </c>
      <c r="L469" s="5">
        <v>116</v>
      </c>
      <c r="M469" s="5">
        <v>74</v>
      </c>
      <c r="N469" s="5" t="s">
        <v>23</v>
      </c>
      <c r="O469" s="5" t="str">
        <f>_xlfn.IFS('Data set'!$H469&lt;5.7,"Normal",'Data set'!$H469&lt;=6.4,"Prediabetes",'Data set'!$H469&lt;=7.5,"Diabetes",'Data set'!$H469&gt;=7.5,"Uncontrolled")</f>
        <v>Diabetes</v>
      </c>
      <c r="P469" s="5" t="str">
        <f>_xlfn.IFS('Data set'!$F469&lt;120,"Low",'Data set'!$F469&lt;=200,"Normal",'Data set'!$F469&lt;=240,"Boarderline",'Data set'!$F469&gt;=241,"High")</f>
        <v>Normal</v>
      </c>
      <c r="Q469" s="5" t="str">
        <f>_xlfn.IFS('Data set'!$D469&lt;=18.5,"Low",'Data set'!$D469&lt;=24.9,"Normal",'Data set'!$D469&lt;=29.9,"High",'Data set'!$D469&gt;29.9,"Very High")</f>
        <v>Low</v>
      </c>
    </row>
    <row r="470" spans="1:17" x14ac:dyDescent="0.25">
      <c r="A470" s="3">
        <v>29</v>
      </c>
      <c r="B470" s="3" t="s">
        <v>0</v>
      </c>
      <c r="C470" s="4">
        <v>259.06</v>
      </c>
      <c r="D470" s="4">
        <v>25.45</v>
      </c>
      <c r="E470" s="3" t="s">
        <v>14</v>
      </c>
      <c r="F470" s="3">
        <v>298</v>
      </c>
      <c r="G470" s="3" t="s">
        <v>414</v>
      </c>
      <c r="H470" s="4">
        <v>4.99</v>
      </c>
      <c r="I470" s="3">
        <v>0</v>
      </c>
      <c r="J470" s="3" t="s">
        <v>4</v>
      </c>
      <c r="K470" s="3" t="s">
        <v>4</v>
      </c>
      <c r="L470" s="3">
        <v>93</v>
      </c>
      <c r="M470" s="3">
        <v>74</v>
      </c>
      <c r="N470" s="3" t="s">
        <v>17</v>
      </c>
      <c r="O470" s="3" t="str">
        <f>_xlfn.IFS('Data set'!$H470&lt;5.7,"Normal",'Data set'!$H470&lt;=6.4,"Prediabetes",'Data set'!$H470&lt;=7.5,"Diabetes",'Data set'!$H470&gt;=7.5,"Uncontrolled")</f>
        <v>Normal</v>
      </c>
      <c r="P470" s="3" t="str">
        <f>_xlfn.IFS('Data set'!$F470&lt;120,"Low",'Data set'!$F470&lt;=200,"Normal",'Data set'!$F470&lt;=240,"Boarderline",'Data set'!$F470&gt;=241,"High")</f>
        <v>High</v>
      </c>
      <c r="Q470" s="3" t="str">
        <f>_xlfn.IFS('Data set'!$D470&lt;=18.5,"Low",'Data set'!$D470&lt;=24.9,"Normal",'Data set'!$D470&lt;=29.9,"High",'Data set'!$D470&gt;29.9,"Very High")</f>
        <v>High</v>
      </c>
    </row>
    <row r="471" spans="1:17" x14ac:dyDescent="0.25">
      <c r="A471" s="5">
        <v>60</v>
      </c>
      <c r="B471" s="5" t="s">
        <v>0</v>
      </c>
      <c r="C471" s="6">
        <v>167.7</v>
      </c>
      <c r="D471" s="6">
        <v>23.53</v>
      </c>
      <c r="E471" s="5" t="s">
        <v>6</v>
      </c>
      <c r="F471" s="5">
        <v>252</v>
      </c>
      <c r="G471" s="5" t="s">
        <v>415</v>
      </c>
      <c r="H471" s="6">
        <v>6.73</v>
      </c>
      <c r="I471" s="5">
        <v>0</v>
      </c>
      <c r="J471" s="5" t="s">
        <v>4</v>
      </c>
      <c r="K471" s="5" t="s">
        <v>3</v>
      </c>
      <c r="L471" s="5">
        <v>126</v>
      </c>
      <c r="M471" s="5">
        <v>87</v>
      </c>
      <c r="N471" s="5" t="s">
        <v>8</v>
      </c>
      <c r="O471" s="5" t="str">
        <f>_xlfn.IFS('Data set'!$H471&lt;5.7,"Normal",'Data set'!$H471&lt;=6.4,"Prediabetes",'Data set'!$H471&lt;=7.5,"Diabetes",'Data set'!$H471&gt;=7.5,"Uncontrolled")</f>
        <v>Diabetes</v>
      </c>
      <c r="P471" s="5" t="str">
        <f>_xlfn.IFS('Data set'!$F471&lt;120,"Low",'Data set'!$F471&lt;=200,"Normal",'Data set'!$F471&lt;=240,"Boarderline",'Data set'!$F471&gt;=241,"High")</f>
        <v>High</v>
      </c>
      <c r="Q471" s="5" t="str">
        <f>_xlfn.IFS('Data set'!$D471&lt;=18.5,"Low",'Data set'!$D471&lt;=24.9,"Normal",'Data set'!$D471&lt;=29.9,"High",'Data set'!$D471&gt;29.9,"Very High")</f>
        <v>Normal</v>
      </c>
    </row>
    <row r="472" spans="1:17" x14ac:dyDescent="0.25">
      <c r="A472" s="3">
        <v>47</v>
      </c>
      <c r="B472" s="3" t="s">
        <v>0</v>
      </c>
      <c r="C472" s="4">
        <v>201.44</v>
      </c>
      <c r="D472" s="4">
        <v>22.22</v>
      </c>
      <c r="E472" s="3" t="s">
        <v>6</v>
      </c>
      <c r="F472" s="3">
        <v>196</v>
      </c>
      <c r="G472" s="3" t="s">
        <v>416</v>
      </c>
      <c r="H472" s="4">
        <v>6.61</v>
      </c>
      <c r="I472" s="3">
        <v>4</v>
      </c>
      <c r="J472" s="3" t="s">
        <v>4</v>
      </c>
      <c r="K472" s="3" t="s">
        <v>3</v>
      </c>
      <c r="L472" s="3">
        <v>90</v>
      </c>
      <c r="M472" s="3">
        <v>65</v>
      </c>
      <c r="N472" s="3" t="s">
        <v>23</v>
      </c>
      <c r="O472" s="3" t="str">
        <f>_xlfn.IFS('Data set'!$H472&lt;5.7,"Normal",'Data set'!$H472&lt;=6.4,"Prediabetes",'Data set'!$H472&lt;=7.5,"Diabetes",'Data set'!$H472&gt;=7.5,"Uncontrolled")</f>
        <v>Diabetes</v>
      </c>
      <c r="P472" s="3" t="str">
        <f>_xlfn.IFS('Data set'!$F472&lt;120,"Low",'Data set'!$F472&lt;=200,"Normal",'Data set'!$F472&lt;=240,"Boarderline",'Data set'!$F472&gt;=241,"High")</f>
        <v>Normal</v>
      </c>
      <c r="Q472" s="3" t="str">
        <f>_xlfn.IFS('Data set'!$D472&lt;=18.5,"Low",'Data set'!$D472&lt;=24.9,"Normal",'Data set'!$D472&lt;=29.9,"High",'Data set'!$D472&gt;29.9,"Very High")</f>
        <v>Normal</v>
      </c>
    </row>
    <row r="473" spans="1:17" x14ac:dyDescent="0.25">
      <c r="A473" s="5">
        <v>64</v>
      </c>
      <c r="B473" s="5" t="s">
        <v>9</v>
      </c>
      <c r="C473" s="6">
        <v>142.9</v>
      </c>
      <c r="D473" s="6">
        <v>24.73</v>
      </c>
      <c r="E473" s="5" t="s">
        <v>1</v>
      </c>
      <c r="F473" s="5">
        <v>231</v>
      </c>
      <c r="G473" s="5" t="s">
        <v>417</v>
      </c>
      <c r="H473" s="6">
        <v>9.1</v>
      </c>
      <c r="I473" s="5">
        <v>7</v>
      </c>
      <c r="J473" s="5" t="s">
        <v>3</v>
      </c>
      <c r="K473" s="5" t="s">
        <v>3</v>
      </c>
      <c r="L473" s="5">
        <v>112</v>
      </c>
      <c r="M473" s="5">
        <v>71</v>
      </c>
      <c r="N473" s="5" t="s">
        <v>21</v>
      </c>
      <c r="O473" s="5" t="str">
        <f>_xlfn.IFS('Data set'!$H473&lt;5.7,"Normal",'Data set'!$H473&lt;=6.4,"Prediabetes",'Data set'!$H473&lt;=7.5,"Diabetes",'Data set'!$H473&gt;=7.5,"Uncontrolled")</f>
        <v>Uncontrolled</v>
      </c>
      <c r="P473" s="5" t="str">
        <f>_xlfn.IFS('Data set'!$F473&lt;120,"Low",'Data set'!$F473&lt;=200,"Normal",'Data set'!$F473&lt;=240,"Boarderline",'Data set'!$F473&gt;=241,"High")</f>
        <v>Boarderline</v>
      </c>
      <c r="Q473" s="5" t="str">
        <f>_xlfn.IFS('Data set'!$D473&lt;=18.5,"Low",'Data set'!$D473&lt;=24.9,"Normal",'Data set'!$D473&lt;=29.9,"High",'Data set'!$D473&gt;29.9,"Very High")</f>
        <v>Normal</v>
      </c>
    </row>
    <row r="474" spans="1:17" x14ac:dyDescent="0.25">
      <c r="A474" s="3">
        <v>75</v>
      </c>
      <c r="B474" s="3" t="s">
        <v>0</v>
      </c>
      <c r="C474" s="4">
        <v>200.14</v>
      </c>
      <c r="D474" s="4">
        <v>27.5</v>
      </c>
      <c r="E474" s="3" t="s">
        <v>14</v>
      </c>
      <c r="F474" s="3">
        <v>277</v>
      </c>
      <c r="G474" s="3" t="s">
        <v>418</v>
      </c>
      <c r="H474" s="4">
        <v>7.57</v>
      </c>
      <c r="I474" s="3">
        <v>2</v>
      </c>
      <c r="J474" s="3" t="s">
        <v>3</v>
      </c>
      <c r="K474" s="3" t="s">
        <v>3</v>
      </c>
      <c r="L474" s="3">
        <v>99</v>
      </c>
      <c r="M474" s="3">
        <v>87</v>
      </c>
      <c r="N474" s="3" t="s">
        <v>5</v>
      </c>
      <c r="O474" s="3" t="str">
        <f>_xlfn.IFS('Data set'!$H474&lt;5.7,"Normal",'Data set'!$H474&lt;=6.4,"Prediabetes",'Data set'!$H474&lt;=7.5,"Diabetes",'Data set'!$H474&gt;=7.5,"Uncontrolled")</f>
        <v>Uncontrolled</v>
      </c>
      <c r="P474" s="3" t="str">
        <f>_xlfn.IFS('Data set'!$F474&lt;120,"Low",'Data set'!$F474&lt;=200,"Normal",'Data set'!$F474&lt;=240,"Boarderline",'Data set'!$F474&gt;=241,"High")</f>
        <v>High</v>
      </c>
      <c r="Q474" s="3" t="str">
        <f>_xlfn.IFS('Data set'!$D474&lt;=18.5,"Low",'Data set'!$D474&lt;=24.9,"Normal",'Data set'!$D474&lt;=29.9,"High",'Data set'!$D474&gt;29.9,"Very High")</f>
        <v>High</v>
      </c>
    </row>
    <row r="475" spans="1:17" x14ac:dyDescent="0.25">
      <c r="A475" s="5">
        <v>56</v>
      </c>
      <c r="B475" s="5" t="s">
        <v>0</v>
      </c>
      <c r="C475" s="6">
        <v>158.47999999999999</v>
      </c>
      <c r="D475" s="6">
        <v>22.55</v>
      </c>
      <c r="E475" s="5" t="s">
        <v>14</v>
      </c>
      <c r="F475" s="5">
        <v>222</v>
      </c>
      <c r="G475" s="5" t="s">
        <v>419</v>
      </c>
      <c r="H475" s="6">
        <v>7.45</v>
      </c>
      <c r="I475" s="5">
        <v>7</v>
      </c>
      <c r="J475" s="5" t="s">
        <v>3</v>
      </c>
      <c r="K475" s="5" t="s">
        <v>4</v>
      </c>
      <c r="L475" s="5">
        <v>119</v>
      </c>
      <c r="M475" s="5">
        <v>64</v>
      </c>
      <c r="N475" s="5" t="s">
        <v>8</v>
      </c>
      <c r="O475" s="5" t="str">
        <f>_xlfn.IFS('Data set'!$H475&lt;5.7,"Normal",'Data set'!$H475&lt;=6.4,"Prediabetes",'Data set'!$H475&lt;=7.5,"Diabetes",'Data set'!$H475&gt;=7.5,"Uncontrolled")</f>
        <v>Diabetes</v>
      </c>
      <c r="P475" s="5" t="str">
        <f>_xlfn.IFS('Data set'!$F475&lt;120,"Low",'Data set'!$F475&lt;=200,"Normal",'Data set'!$F475&lt;=240,"Boarderline",'Data set'!$F475&gt;=241,"High")</f>
        <v>Boarderline</v>
      </c>
      <c r="Q475" s="5" t="str">
        <f>_xlfn.IFS('Data set'!$D475&lt;=18.5,"Low",'Data set'!$D475&lt;=24.9,"Normal",'Data set'!$D475&lt;=29.9,"High",'Data set'!$D475&gt;29.9,"Very High")</f>
        <v>Normal</v>
      </c>
    </row>
    <row r="476" spans="1:17" x14ac:dyDescent="0.25">
      <c r="A476" s="3">
        <v>72</v>
      </c>
      <c r="B476" s="3" t="s">
        <v>9</v>
      </c>
      <c r="C476" s="4">
        <v>294.89</v>
      </c>
      <c r="D476" s="4">
        <v>39.619999999999997</v>
      </c>
      <c r="E476" s="3" t="s">
        <v>14</v>
      </c>
      <c r="F476" s="3">
        <v>238</v>
      </c>
      <c r="G476" s="3" t="s">
        <v>328</v>
      </c>
      <c r="H476" s="4">
        <v>5.17</v>
      </c>
      <c r="I476" s="3">
        <v>1</v>
      </c>
      <c r="J476" s="3" t="s">
        <v>4</v>
      </c>
      <c r="K476" s="3" t="s">
        <v>4</v>
      </c>
      <c r="L476" s="3">
        <v>130</v>
      </c>
      <c r="M476" s="3">
        <v>70</v>
      </c>
      <c r="N476" s="3" t="s">
        <v>5</v>
      </c>
      <c r="O476" s="3" t="str">
        <f>_xlfn.IFS('Data set'!$H476&lt;5.7,"Normal",'Data set'!$H476&lt;=6.4,"Prediabetes",'Data set'!$H476&lt;=7.5,"Diabetes",'Data set'!$H476&gt;=7.5,"Uncontrolled")</f>
        <v>Normal</v>
      </c>
      <c r="P476" s="3" t="str">
        <f>_xlfn.IFS('Data set'!$F476&lt;120,"Low",'Data set'!$F476&lt;=200,"Normal",'Data set'!$F476&lt;=240,"Boarderline",'Data set'!$F476&gt;=241,"High")</f>
        <v>Boarderline</v>
      </c>
      <c r="Q476" s="3" t="str">
        <f>_xlfn.IFS('Data set'!$D476&lt;=18.5,"Low",'Data set'!$D476&lt;=24.9,"Normal",'Data set'!$D476&lt;=29.9,"High",'Data set'!$D476&gt;29.9,"Very High")</f>
        <v>Very High</v>
      </c>
    </row>
    <row r="477" spans="1:17" x14ac:dyDescent="0.25">
      <c r="A477" s="5">
        <v>38</v>
      </c>
      <c r="B477" s="5" t="s">
        <v>0</v>
      </c>
      <c r="C477" s="6">
        <v>228.48</v>
      </c>
      <c r="D477" s="6">
        <v>34.549999999999997</v>
      </c>
      <c r="E477" s="5" t="s">
        <v>10</v>
      </c>
      <c r="F477" s="5">
        <v>291</v>
      </c>
      <c r="G477" s="5" t="s">
        <v>420</v>
      </c>
      <c r="H477" s="6">
        <v>7.88</v>
      </c>
      <c r="I477" s="5">
        <v>7</v>
      </c>
      <c r="J477" s="5" t="s">
        <v>4</v>
      </c>
      <c r="K477" s="5" t="s">
        <v>4</v>
      </c>
      <c r="L477" s="5">
        <v>131</v>
      </c>
      <c r="M477" s="5">
        <v>88</v>
      </c>
      <c r="N477" s="5" t="s">
        <v>12</v>
      </c>
      <c r="O477" s="5" t="str">
        <f>_xlfn.IFS('Data set'!$H477&lt;5.7,"Normal",'Data set'!$H477&lt;=6.4,"Prediabetes",'Data set'!$H477&lt;=7.5,"Diabetes",'Data set'!$H477&gt;=7.5,"Uncontrolled")</f>
        <v>Uncontrolled</v>
      </c>
      <c r="P477" s="5" t="str">
        <f>_xlfn.IFS('Data set'!$F477&lt;120,"Low",'Data set'!$F477&lt;=200,"Normal",'Data set'!$F477&lt;=240,"Boarderline",'Data set'!$F477&gt;=241,"High")</f>
        <v>High</v>
      </c>
      <c r="Q477" s="5" t="str">
        <f>_xlfn.IFS('Data set'!$D477&lt;=18.5,"Low",'Data set'!$D477&lt;=24.9,"Normal",'Data set'!$D477&lt;=29.9,"High",'Data set'!$D477&gt;29.9,"Very High")</f>
        <v>Very High</v>
      </c>
    </row>
    <row r="478" spans="1:17" x14ac:dyDescent="0.25">
      <c r="A478" s="3">
        <v>45</v>
      </c>
      <c r="B478" s="3" t="s">
        <v>0</v>
      </c>
      <c r="C478" s="4">
        <v>245.18</v>
      </c>
      <c r="D478" s="4">
        <v>20.73</v>
      </c>
      <c r="E478" s="3" t="s">
        <v>6</v>
      </c>
      <c r="F478" s="3">
        <v>165</v>
      </c>
      <c r="G478" s="3" t="s">
        <v>170</v>
      </c>
      <c r="H478" s="4">
        <v>5.56</v>
      </c>
      <c r="I478" s="3">
        <v>3</v>
      </c>
      <c r="J478" s="3" t="s">
        <v>4</v>
      </c>
      <c r="K478" s="3" t="s">
        <v>4</v>
      </c>
      <c r="L478" s="3">
        <v>118</v>
      </c>
      <c r="M478" s="3">
        <v>62</v>
      </c>
      <c r="N478" s="3" t="s">
        <v>23</v>
      </c>
      <c r="O478" s="3" t="str">
        <f>_xlfn.IFS('Data set'!$H478&lt;5.7,"Normal",'Data set'!$H478&lt;=6.4,"Prediabetes",'Data set'!$H478&lt;=7.5,"Diabetes",'Data set'!$H478&gt;=7.5,"Uncontrolled")</f>
        <v>Normal</v>
      </c>
      <c r="P478" s="3" t="str">
        <f>_xlfn.IFS('Data set'!$F478&lt;120,"Low",'Data set'!$F478&lt;=200,"Normal",'Data set'!$F478&lt;=240,"Boarderline",'Data set'!$F478&gt;=241,"High")</f>
        <v>Normal</v>
      </c>
      <c r="Q478" s="3" t="str">
        <f>_xlfn.IFS('Data set'!$D478&lt;=18.5,"Low",'Data set'!$D478&lt;=24.9,"Normal",'Data set'!$D478&lt;=29.9,"High",'Data set'!$D478&gt;29.9,"Very High")</f>
        <v>Normal</v>
      </c>
    </row>
    <row r="479" spans="1:17" x14ac:dyDescent="0.25">
      <c r="A479" s="5">
        <v>74</v>
      </c>
      <c r="B479" s="5" t="s">
        <v>0</v>
      </c>
      <c r="C479" s="6">
        <v>158.88</v>
      </c>
      <c r="D479" s="6">
        <v>21.58</v>
      </c>
      <c r="E479" s="5" t="s">
        <v>14</v>
      </c>
      <c r="F479" s="5">
        <v>102</v>
      </c>
      <c r="G479" s="5" t="s">
        <v>417</v>
      </c>
      <c r="H479" s="6">
        <v>4.84</v>
      </c>
      <c r="I479" s="5">
        <v>0</v>
      </c>
      <c r="J479" s="5" t="s">
        <v>4</v>
      </c>
      <c r="K479" s="5" t="s">
        <v>3</v>
      </c>
      <c r="L479" s="5">
        <v>112</v>
      </c>
      <c r="M479" s="5">
        <v>71</v>
      </c>
      <c r="N479" s="5" t="s">
        <v>5</v>
      </c>
      <c r="O479" s="5" t="str">
        <f>_xlfn.IFS('Data set'!$H479&lt;5.7,"Normal",'Data set'!$H479&lt;=6.4,"Prediabetes",'Data set'!$H479&lt;=7.5,"Diabetes",'Data set'!$H479&gt;=7.5,"Uncontrolled")</f>
        <v>Normal</v>
      </c>
      <c r="P479" s="5" t="str">
        <f>_xlfn.IFS('Data set'!$F479&lt;120,"Low",'Data set'!$F479&lt;=200,"Normal",'Data set'!$F479&lt;=240,"Boarderline",'Data set'!$F479&gt;=241,"High")</f>
        <v>Low</v>
      </c>
      <c r="Q479" s="5" t="str">
        <f>_xlfn.IFS('Data set'!$D479&lt;=18.5,"Low",'Data set'!$D479&lt;=24.9,"Normal",'Data set'!$D479&lt;=29.9,"High",'Data set'!$D479&gt;29.9,"Very High")</f>
        <v>Normal</v>
      </c>
    </row>
    <row r="480" spans="1:17" x14ac:dyDescent="0.25">
      <c r="A480" s="3">
        <v>49</v>
      </c>
      <c r="B480" s="3" t="s">
        <v>0</v>
      </c>
      <c r="C480" s="4">
        <v>91.57</v>
      </c>
      <c r="D480" s="4">
        <v>35.450000000000003</v>
      </c>
      <c r="E480" s="3" t="s">
        <v>6</v>
      </c>
      <c r="F480" s="3">
        <v>168</v>
      </c>
      <c r="G480" s="3" t="s">
        <v>421</v>
      </c>
      <c r="H480" s="4">
        <v>4.6900000000000004</v>
      </c>
      <c r="I480" s="3">
        <v>3</v>
      </c>
      <c r="J480" s="3" t="s">
        <v>3</v>
      </c>
      <c r="K480" s="3" t="s">
        <v>3</v>
      </c>
      <c r="L480" s="3">
        <v>98</v>
      </c>
      <c r="M480" s="3">
        <v>70</v>
      </c>
      <c r="N480" s="3" t="s">
        <v>23</v>
      </c>
      <c r="O480" s="3" t="str">
        <f>_xlfn.IFS('Data set'!$H480&lt;5.7,"Normal",'Data set'!$H480&lt;=6.4,"Prediabetes",'Data set'!$H480&lt;=7.5,"Diabetes",'Data set'!$H480&gt;=7.5,"Uncontrolled")</f>
        <v>Normal</v>
      </c>
      <c r="P480" s="3" t="str">
        <f>_xlfn.IFS('Data set'!$F480&lt;120,"Low",'Data set'!$F480&lt;=200,"Normal",'Data set'!$F480&lt;=240,"Boarderline",'Data set'!$F480&gt;=241,"High")</f>
        <v>Normal</v>
      </c>
      <c r="Q480" s="3" t="str">
        <f>_xlfn.IFS('Data set'!$D480&lt;=18.5,"Low",'Data set'!$D480&lt;=24.9,"Normal",'Data set'!$D480&lt;=29.9,"High",'Data set'!$D480&gt;29.9,"Very High")</f>
        <v>Very High</v>
      </c>
    </row>
    <row r="481" spans="1:17" x14ac:dyDescent="0.25">
      <c r="A481" s="5">
        <v>22</v>
      </c>
      <c r="B481" s="5" t="s">
        <v>0</v>
      </c>
      <c r="C481" s="6">
        <v>107.5</v>
      </c>
      <c r="D481" s="6">
        <v>39.4</v>
      </c>
      <c r="E481" s="5" t="s">
        <v>1</v>
      </c>
      <c r="F481" s="5">
        <v>200</v>
      </c>
      <c r="G481" s="5" t="s">
        <v>422</v>
      </c>
      <c r="H481" s="6">
        <v>9.49</v>
      </c>
      <c r="I481" s="5">
        <v>4</v>
      </c>
      <c r="J481" s="5" t="s">
        <v>4</v>
      </c>
      <c r="K481" s="5" t="s">
        <v>4</v>
      </c>
      <c r="L481" s="5">
        <v>118</v>
      </c>
      <c r="M481" s="5">
        <v>66</v>
      </c>
      <c r="N481" s="5" t="s">
        <v>17</v>
      </c>
      <c r="O481" s="5" t="str">
        <f>_xlfn.IFS('Data set'!$H481&lt;5.7,"Normal",'Data set'!$H481&lt;=6.4,"Prediabetes",'Data set'!$H481&lt;=7.5,"Diabetes",'Data set'!$H481&gt;=7.5,"Uncontrolled")</f>
        <v>Uncontrolled</v>
      </c>
      <c r="P481" s="5" t="str">
        <f>_xlfn.IFS('Data set'!$F481&lt;120,"Low",'Data set'!$F481&lt;=200,"Normal",'Data set'!$F481&lt;=240,"Boarderline",'Data set'!$F481&gt;=241,"High")</f>
        <v>Normal</v>
      </c>
      <c r="Q481" s="5" t="str">
        <f>_xlfn.IFS('Data set'!$D481&lt;=18.5,"Low",'Data set'!$D481&lt;=24.9,"Normal",'Data set'!$D481&lt;=29.9,"High",'Data set'!$D481&gt;29.9,"Very High")</f>
        <v>Very High</v>
      </c>
    </row>
    <row r="482" spans="1:17" x14ac:dyDescent="0.25">
      <c r="A482" s="3">
        <v>79</v>
      </c>
      <c r="B482" s="3" t="s">
        <v>0</v>
      </c>
      <c r="C482" s="4">
        <v>143.55000000000001</v>
      </c>
      <c r="D482" s="4">
        <v>31.6</v>
      </c>
      <c r="E482" s="3" t="s">
        <v>6</v>
      </c>
      <c r="F482" s="3">
        <v>291</v>
      </c>
      <c r="G482" s="3" t="s">
        <v>129</v>
      </c>
      <c r="H482" s="4">
        <v>7.14</v>
      </c>
      <c r="I482" s="3">
        <v>3</v>
      </c>
      <c r="J482" s="3" t="s">
        <v>3</v>
      </c>
      <c r="K482" s="3" t="s">
        <v>3</v>
      </c>
      <c r="L482" s="3">
        <v>101</v>
      </c>
      <c r="M482" s="3">
        <v>84</v>
      </c>
      <c r="N482" s="3" t="s">
        <v>5</v>
      </c>
      <c r="O482" s="3" t="str">
        <f>_xlfn.IFS('Data set'!$H482&lt;5.7,"Normal",'Data set'!$H482&lt;=6.4,"Prediabetes",'Data set'!$H482&lt;=7.5,"Diabetes",'Data set'!$H482&gt;=7.5,"Uncontrolled")</f>
        <v>Diabetes</v>
      </c>
      <c r="P482" s="3" t="str">
        <f>_xlfn.IFS('Data set'!$F482&lt;120,"Low",'Data set'!$F482&lt;=200,"Normal",'Data set'!$F482&lt;=240,"Boarderline",'Data set'!$F482&gt;=241,"High")</f>
        <v>High</v>
      </c>
      <c r="Q482" s="3" t="str">
        <f>_xlfn.IFS('Data set'!$D482&lt;=18.5,"Low",'Data set'!$D482&lt;=24.9,"Normal",'Data set'!$D482&lt;=29.9,"High",'Data set'!$D482&gt;29.9,"Very High")</f>
        <v>Very High</v>
      </c>
    </row>
    <row r="483" spans="1:17" x14ac:dyDescent="0.25">
      <c r="A483" s="5">
        <v>42</v>
      </c>
      <c r="B483" s="5" t="s">
        <v>0</v>
      </c>
      <c r="C483" s="6">
        <v>193.98</v>
      </c>
      <c r="D483" s="6">
        <v>34.06</v>
      </c>
      <c r="E483" s="5" t="s">
        <v>10</v>
      </c>
      <c r="F483" s="5">
        <v>108</v>
      </c>
      <c r="G483" s="5" t="s">
        <v>41</v>
      </c>
      <c r="H483" s="6">
        <v>9.4700000000000006</v>
      </c>
      <c r="I483" s="5">
        <v>3</v>
      </c>
      <c r="J483" s="5" t="s">
        <v>3</v>
      </c>
      <c r="K483" s="5" t="s">
        <v>4</v>
      </c>
      <c r="L483" s="5">
        <v>119</v>
      </c>
      <c r="M483" s="5">
        <v>89</v>
      </c>
      <c r="N483" s="5" t="s">
        <v>23</v>
      </c>
      <c r="O483" s="5" t="str">
        <f>_xlfn.IFS('Data set'!$H483&lt;5.7,"Normal",'Data set'!$H483&lt;=6.4,"Prediabetes",'Data set'!$H483&lt;=7.5,"Diabetes",'Data set'!$H483&gt;=7.5,"Uncontrolled")</f>
        <v>Uncontrolled</v>
      </c>
      <c r="P483" s="5" t="str">
        <f>_xlfn.IFS('Data set'!$F483&lt;120,"Low",'Data set'!$F483&lt;=200,"Normal",'Data set'!$F483&lt;=240,"Boarderline",'Data set'!$F483&gt;=241,"High")</f>
        <v>Low</v>
      </c>
      <c r="Q483" s="5" t="str">
        <f>_xlfn.IFS('Data set'!$D483&lt;=18.5,"Low",'Data set'!$D483&lt;=24.9,"Normal",'Data set'!$D483&lt;=29.9,"High",'Data set'!$D483&gt;29.9,"Very High")</f>
        <v>Very High</v>
      </c>
    </row>
    <row r="484" spans="1:17" x14ac:dyDescent="0.25">
      <c r="A484" s="3">
        <v>56</v>
      </c>
      <c r="B484" s="3" t="s">
        <v>0</v>
      </c>
      <c r="C484" s="4">
        <v>85.11</v>
      </c>
      <c r="D484" s="4">
        <v>18.03</v>
      </c>
      <c r="E484" s="3" t="s">
        <v>1</v>
      </c>
      <c r="F484" s="3">
        <v>126</v>
      </c>
      <c r="G484" s="3" t="s">
        <v>423</v>
      </c>
      <c r="H484" s="4">
        <v>5.28</v>
      </c>
      <c r="I484" s="3">
        <v>4</v>
      </c>
      <c r="J484" s="3" t="s">
        <v>3</v>
      </c>
      <c r="K484" s="3" t="s">
        <v>3</v>
      </c>
      <c r="L484" s="3">
        <v>119</v>
      </c>
      <c r="M484" s="3">
        <v>85</v>
      </c>
      <c r="N484" s="3" t="s">
        <v>8</v>
      </c>
      <c r="O484" s="3" t="str">
        <f>_xlfn.IFS('Data set'!$H484&lt;5.7,"Normal",'Data set'!$H484&lt;=6.4,"Prediabetes",'Data set'!$H484&lt;=7.5,"Diabetes",'Data set'!$H484&gt;=7.5,"Uncontrolled")</f>
        <v>Normal</v>
      </c>
      <c r="P484" s="3" t="str">
        <f>_xlfn.IFS('Data set'!$F484&lt;120,"Low",'Data set'!$F484&lt;=200,"Normal",'Data set'!$F484&lt;=240,"Boarderline",'Data set'!$F484&gt;=241,"High")</f>
        <v>Normal</v>
      </c>
      <c r="Q484" s="3" t="str">
        <f>_xlfn.IFS('Data set'!$D484&lt;=18.5,"Low",'Data set'!$D484&lt;=24.9,"Normal",'Data set'!$D484&lt;=29.9,"High",'Data set'!$D484&gt;29.9,"Very High")</f>
        <v>Low</v>
      </c>
    </row>
    <row r="485" spans="1:17" x14ac:dyDescent="0.25">
      <c r="A485" s="5">
        <v>60</v>
      </c>
      <c r="B485" s="5" t="s">
        <v>9</v>
      </c>
      <c r="C485" s="6">
        <v>201.74</v>
      </c>
      <c r="D485" s="6">
        <v>20.18</v>
      </c>
      <c r="E485" s="5" t="s">
        <v>14</v>
      </c>
      <c r="F485" s="5">
        <v>215</v>
      </c>
      <c r="G485" s="5" t="s">
        <v>424</v>
      </c>
      <c r="H485" s="6">
        <v>9.56</v>
      </c>
      <c r="I485" s="5">
        <v>0</v>
      </c>
      <c r="J485" s="5" t="s">
        <v>4</v>
      </c>
      <c r="K485" s="5" t="s">
        <v>4</v>
      </c>
      <c r="L485" s="5">
        <v>121</v>
      </c>
      <c r="M485" s="5">
        <v>70</v>
      </c>
      <c r="N485" s="5" t="s">
        <v>8</v>
      </c>
      <c r="O485" s="5" t="str">
        <f>_xlfn.IFS('Data set'!$H485&lt;5.7,"Normal",'Data set'!$H485&lt;=6.4,"Prediabetes",'Data set'!$H485&lt;=7.5,"Diabetes",'Data set'!$H485&gt;=7.5,"Uncontrolled")</f>
        <v>Uncontrolled</v>
      </c>
      <c r="P485" s="5" t="str">
        <f>_xlfn.IFS('Data set'!$F485&lt;120,"Low",'Data set'!$F485&lt;=200,"Normal",'Data set'!$F485&lt;=240,"Boarderline",'Data set'!$F485&gt;=241,"High")</f>
        <v>Boarderline</v>
      </c>
      <c r="Q485" s="5" t="str">
        <f>_xlfn.IFS('Data set'!$D485&lt;=18.5,"Low",'Data set'!$D485&lt;=24.9,"Normal",'Data set'!$D485&lt;=29.9,"High",'Data set'!$D485&gt;29.9,"Very High")</f>
        <v>Normal</v>
      </c>
    </row>
    <row r="486" spans="1:17" x14ac:dyDescent="0.25">
      <c r="A486" s="3">
        <v>56</v>
      </c>
      <c r="B486" s="3" t="s">
        <v>9</v>
      </c>
      <c r="C486" s="4">
        <v>291.89</v>
      </c>
      <c r="D486" s="4">
        <v>28.59</v>
      </c>
      <c r="E486" s="3" t="s">
        <v>6</v>
      </c>
      <c r="F486" s="3">
        <v>187</v>
      </c>
      <c r="G486" s="3" t="s">
        <v>151</v>
      </c>
      <c r="H486" s="4">
        <v>5.29</v>
      </c>
      <c r="I486" s="3">
        <v>4</v>
      </c>
      <c r="J486" s="3" t="s">
        <v>4</v>
      </c>
      <c r="K486" s="3" t="s">
        <v>4</v>
      </c>
      <c r="L486" s="3">
        <v>114</v>
      </c>
      <c r="M486" s="3">
        <v>75</v>
      </c>
      <c r="N486" s="3" t="s">
        <v>8</v>
      </c>
      <c r="O486" s="3" t="str">
        <f>_xlfn.IFS('Data set'!$H486&lt;5.7,"Normal",'Data set'!$H486&lt;=6.4,"Prediabetes",'Data set'!$H486&lt;=7.5,"Diabetes",'Data set'!$H486&gt;=7.5,"Uncontrolled")</f>
        <v>Normal</v>
      </c>
      <c r="P486" s="3" t="str">
        <f>_xlfn.IFS('Data set'!$F486&lt;120,"Low",'Data set'!$F486&lt;=200,"Normal",'Data set'!$F486&lt;=240,"Boarderline",'Data set'!$F486&gt;=241,"High")</f>
        <v>Normal</v>
      </c>
      <c r="Q486" s="3" t="str">
        <f>_xlfn.IFS('Data set'!$D486&lt;=18.5,"Low",'Data set'!$D486&lt;=24.9,"Normal",'Data set'!$D486&lt;=29.9,"High",'Data set'!$D486&gt;29.9,"Very High")</f>
        <v>High</v>
      </c>
    </row>
    <row r="487" spans="1:17" x14ac:dyDescent="0.25">
      <c r="A487" s="5">
        <v>20</v>
      </c>
      <c r="B487" s="5" t="s">
        <v>9</v>
      </c>
      <c r="C487" s="6">
        <v>208.86</v>
      </c>
      <c r="D487" s="6">
        <v>25.81</v>
      </c>
      <c r="E487" s="5" t="s">
        <v>6</v>
      </c>
      <c r="F487" s="5">
        <v>184</v>
      </c>
      <c r="G487" s="5" t="s">
        <v>425</v>
      </c>
      <c r="H487" s="6">
        <v>9.1999999999999993</v>
      </c>
      <c r="I487" s="5">
        <v>7</v>
      </c>
      <c r="J487" s="5" t="s">
        <v>3</v>
      </c>
      <c r="K487" s="5" t="s">
        <v>3</v>
      </c>
      <c r="L487" s="5">
        <v>132</v>
      </c>
      <c r="M487" s="5">
        <v>83</v>
      </c>
      <c r="N487" s="5" t="s">
        <v>17</v>
      </c>
      <c r="O487" s="5" t="str">
        <f>_xlfn.IFS('Data set'!$H487&lt;5.7,"Normal",'Data set'!$H487&lt;=6.4,"Prediabetes",'Data set'!$H487&lt;=7.5,"Diabetes",'Data set'!$H487&gt;=7.5,"Uncontrolled")</f>
        <v>Uncontrolled</v>
      </c>
      <c r="P487" s="5" t="str">
        <f>_xlfn.IFS('Data set'!$F487&lt;120,"Low",'Data set'!$F487&lt;=200,"Normal",'Data set'!$F487&lt;=240,"Boarderline",'Data set'!$F487&gt;=241,"High")</f>
        <v>Normal</v>
      </c>
      <c r="Q487" s="5" t="str">
        <f>_xlfn.IFS('Data set'!$D487&lt;=18.5,"Low",'Data set'!$D487&lt;=24.9,"Normal",'Data set'!$D487&lt;=29.9,"High",'Data set'!$D487&gt;29.9,"Very High")</f>
        <v>High</v>
      </c>
    </row>
    <row r="488" spans="1:17" x14ac:dyDescent="0.25">
      <c r="A488" s="3">
        <v>80</v>
      </c>
      <c r="B488" s="3" t="s">
        <v>0</v>
      </c>
      <c r="C488" s="4">
        <v>115.78</v>
      </c>
      <c r="D488" s="4">
        <v>24.17</v>
      </c>
      <c r="E488" s="3" t="s">
        <v>10</v>
      </c>
      <c r="F488" s="3">
        <v>197</v>
      </c>
      <c r="G488" s="3" t="s">
        <v>426</v>
      </c>
      <c r="H488" s="4">
        <v>4.3</v>
      </c>
      <c r="I488" s="3">
        <v>2</v>
      </c>
      <c r="J488" s="3" t="s">
        <v>4</v>
      </c>
      <c r="K488" s="3" t="s">
        <v>3</v>
      </c>
      <c r="L488" s="3">
        <v>117</v>
      </c>
      <c r="M488" s="3">
        <v>79</v>
      </c>
      <c r="N488" s="3" t="s">
        <v>5</v>
      </c>
      <c r="O488" s="3" t="str">
        <f>_xlfn.IFS('Data set'!$H488&lt;5.7,"Normal",'Data set'!$H488&lt;=6.4,"Prediabetes",'Data set'!$H488&lt;=7.5,"Diabetes",'Data set'!$H488&gt;=7.5,"Uncontrolled")</f>
        <v>Normal</v>
      </c>
      <c r="P488" s="3" t="str">
        <f>_xlfn.IFS('Data set'!$F488&lt;120,"Low",'Data set'!$F488&lt;=200,"Normal",'Data set'!$F488&lt;=240,"Boarderline",'Data set'!$F488&gt;=241,"High")</f>
        <v>Normal</v>
      </c>
      <c r="Q488" s="3" t="str">
        <f>_xlfn.IFS('Data set'!$D488&lt;=18.5,"Low",'Data set'!$D488&lt;=24.9,"Normal",'Data set'!$D488&lt;=29.9,"High",'Data set'!$D488&gt;29.9,"Very High")</f>
        <v>Normal</v>
      </c>
    </row>
    <row r="489" spans="1:17" x14ac:dyDescent="0.25">
      <c r="A489" s="5">
        <v>30</v>
      </c>
      <c r="B489" s="5" t="s">
        <v>0</v>
      </c>
      <c r="C489" s="6">
        <v>293.45</v>
      </c>
      <c r="D489" s="6">
        <v>20.27</v>
      </c>
      <c r="E489" s="5" t="s">
        <v>6</v>
      </c>
      <c r="F489" s="5">
        <v>200</v>
      </c>
      <c r="G489" s="5" t="s">
        <v>427</v>
      </c>
      <c r="H489" s="6">
        <v>9.4600000000000009</v>
      </c>
      <c r="I489" s="5">
        <v>3</v>
      </c>
      <c r="J489" s="5" t="s">
        <v>3</v>
      </c>
      <c r="K489" s="5" t="s">
        <v>3</v>
      </c>
      <c r="L489" s="5">
        <v>126</v>
      </c>
      <c r="M489" s="5">
        <v>75</v>
      </c>
      <c r="N489" s="5" t="s">
        <v>17</v>
      </c>
      <c r="O489" s="5" t="str">
        <f>_xlfn.IFS('Data set'!$H489&lt;5.7,"Normal",'Data set'!$H489&lt;=6.4,"Prediabetes",'Data set'!$H489&lt;=7.5,"Diabetes",'Data set'!$H489&gt;=7.5,"Uncontrolled")</f>
        <v>Uncontrolled</v>
      </c>
      <c r="P489" s="5" t="str">
        <f>_xlfn.IFS('Data set'!$F489&lt;120,"Low",'Data set'!$F489&lt;=200,"Normal",'Data set'!$F489&lt;=240,"Boarderline",'Data set'!$F489&gt;=241,"High")</f>
        <v>Normal</v>
      </c>
      <c r="Q489" s="5" t="str">
        <f>_xlfn.IFS('Data set'!$D489&lt;=18.5,"Low",'Data set'!$D489&lt;=24.9,"Normal",'Data set'!$D489&lt;=29.9,"High",'Data set'!$D489&gt;29.9,"Very High")</f>
        <v>Normal</v>
      </c>
    </row>
    <row r="490" spans="1:17" x14ac:dyDescent="0.25">
      <c r="A490" s="3">
        <v>35</v>
      </c>
      <c r="B490" s="3" t="s">
        <v>9</v>
      </c>
      <c r="C490" s="4">
        <v>200.54</v>
      </c>
      <c r="D490" s="4">
        <v>35.130000000000003</v>
      </c>
      <c r="E490" s="3" t="s">
        <v>14</v>
      </c>
      <c r="F490" s="3">
        <v>163</v>
      </c>
      <c r="G490" s="3" t="s">
        <v>428</v>
      </c>
      <c r="H490" s="4">
        <v>7.36</v>
      </c>
      <c r="I490" s="3">
        <v>6</v>
      </c>
      <c r="J490" s="3" t="s">
        <v>4</v>
      </c>
      <c r="K490" s="3" t="s">
        <v>4</v>
      </c>
      <c r="L490" s="3">
        <v>132</v>
      </c>
      <c r="M490" s="3">
        <v>69</v>
      </c>
      <c r="N490" s="3" t="s">
        <v>12</v>
      </c>
      <c r="O490" s="3" t="str">
        <f>_xlfn.IFS('Data set'!$H490&lt;5.7,"Normal",'Data set'!$H490&lt;=6.4,"Prediabetes",'Data set'!$H490&lt;=7.5,"Diabetes",'Data set'!$H490&gt;=7.5,"Uncontrolled")</f>
        <v>Diabetes</v>
      </c>
      <c r="P490" s="3" t="str">
        <f>_xlfn.IFS('Data set'!$F490&lt;120,"Low",'Data set'!$F490&lt;=200,"Normal",'Data set'!$F490&lt;=240,"Boarderline",'Data set'!$F490&gt;=241,"High")</f>
        <v>Normal</v>
      </c>
      <c r="Q490" s="3" t="str">
        <f>_xlfn.IFS('Data set'!$D490&lt;=18.5,"Low",'Data set'!$D490&lt;=24.9,"Normal",'Data set'!$D490&lt;=29.9,"High",'Data set'!$D490&gt;29.9,"Very High")</f>
        <v>Very High</v>
      </c>
    </row>
    <row r="491" spans="1:17" x14ac:dyDescent="0.25">
      <c r="A491" s="5">
        <v>72</v>
      </c>
      <c r="B491" s="5" t="s">
        <v>9</v>
      </c>
      <c r="C491" s="6">
        <v>108.98</v>
      </c>
      <c r="D491" s="6">
        <v>39.97</v>
      </c>
      <c r="E491" s="5" t="s">
        <v>1</v>
      </c>
      <c r="F491" s="5">
        <v>175</v>
      </c>
      <c r="G491" s="5" t="s">
        <v>292</v>
      </c>
      <c r="H491" s="6">
        <v>6.82</v>
      </c>
      <c r="I491" s="5">
        <v>7</v>
      </c>
      <c r="J491" s="5" t="s">
        <v>4</v>
      </c>
      <c r="K491" s="5" t="s">
        <v>4</v>
      </c>
      <c r="L491" s="5">
        <v>130</v>
      </c>
      <c r="M491" s="5">
        <v>78</v>
      </c>
      <c r="N491" s="5" t="s">
        <v>5</v>
      </c>
      <c r="O491" s="5" t="str">
        <f>_xlfn.IFS('Data set'!$H491&lt;5.7,"Normal",'Data set'!$H491&lt;=6.4,"Prediabetes",'Data set'!$H491&lt;=7.5,"Diabetes",'Data set'!$H491&gt;=7.5,"Uncontrolled")</f>
        <v>Diabetes</v>
      </c>
      <c r="P491" s="5" t="str">
        <f>_xlfn.IFS('Data set'!$F491&lt;120,"Low",'Data set'!$F491&lt;=200,"Normal",'Data set'!$F491&lt;=240,"Boarderline",'Data set'!$F491&gt;=241,"High")</f>
        <v>Normal</v>
      </c>
      <c r="Q491" s="5" t="str">
        <f>_xlfn.IFS('Data set'!$D491&lt;=18.5,"Low",'Data set'!$D491&lt;=24.9,"Normal",'Data set'!$D491&lt;=29.9,"High",'Data set'!$D491&gt;29.9,"Very High")</f>
        <v>Very High</v>
      </c>
    </row>
    <row r="492" spans="1:17" x14ac:dyDescent="0.25">
      <c r="A492" s="3">
        <v>42</v>
      </c>
      <c r="B492" s="3" t="s">
        <v>0</v>
      </c>
      <c r="C492" s="4">
        <v>175.21</v>
      </c>
      <c r="D492" s="4">
        <v>26.37</v>
      </c>
      <c r="E492" s="3" t="s">
        <v>1</v>
      </c>
      <c r="F492" s="3">
        <v>133</v>
      </c>
      <c r="G492" s="3" t="s">
        <v>429</v>
      </c>
      <c r="H492" s="4">
        <v>5.79</v>
      </c>
      <c r="I492" s="3">
        <v>5</v>
      </c>
      <c r="J492" s="3" t="s">
        <v>4</v>
      </c>
      <c r="K492" s="3" t="s">
        <v>3</v>
      </c>
      <c r="L492" s="3">
        <v>125</v>
      </c>
      <c r="M492" s="3">
        <v>76</v>
      </c>
      <c r="N492" s="3" t="s">
        <v>23</v>
      </c>
      <c r="O492" s="3" t="str">
        <f>_xlfn.IFS('Data set'!$H492&lt;5.7,"Normal",'Data set'!$H492&lt;=6.4,"Prediabetes",'Data set'!$H492&lt;=7.5,"Diabetes",'Data set'!$H492&gt;=7.5,"Uncontrolled")</f>
        <v>Prediabetes</v>
      </c>
      <c r="P492" s="3" t="str">
        <f>_xlfn.IFS('Data set'!$F492&lt;120,"Low",'Data set'!$F492&lt;=200,"Normal",'Data set'!$F492&lt;=240,"Boarderline",'Data set'!$F492&gt;=241,"High")</f>
        <v>Normal</v>
      </c>
      <c r="Q492" s="3" t="str">
        <f>_xlfn.IFS('Data set'!$D492&lt;=18.5,"Low",'Data set'!$D492&lt;=24.9,"Normal",'Data set'!$D492&lt;=29.9,"High",'Data set'!$D492&gt;29.9,"Very High")</f>
        <v>High</v>
      </c>
    </row>
    <row r="493" spans="1:17" x14ac:dyDescent="0.25">
      <c r="A493" s="5">
        <v>72</v>
      </c>
      <c r="B493" s="5" t="s">
        <v>0</v>
      </c>
      <c r="C493" s="6">
        <v>229.44</v>
      </c>
      <c r="D493" s="6">
        <v>18.86</v>
      </c>
      <c r="E493" s="5" t="s">
        <v>1</v>
      </c>
      <c r="F493" s="5">
        <v>264</v>
      </c>
      <c r="G493" s="5" t="s">
        <v>430</v>
      </c>
      <c r="H493" s="6">
        <v>7.8</v>
      </c>
      <c r="I493" s="5">
        <v>0</v>
      </c>
      <c r="J493" s="5" t="s">
        <v>3</v>
      </c>
      <c r="K493" s="5" t="s">
        <v>3</v>
      </c>
      <c r="L493" s="5">
        <v>105</v>
      </c>
      <c r="M493" s="5">
        <v>77</v>
      </c>
      <c r="N493" s="5" t="s">
        <v>5</v>
      </c>
      <c r="O493" s="5" t="str">
        <f>_xlfn.IFS('Data set'!$H493&lt;5.7,"Normal",'Data set'!$H493&lt;=6.4,"Prediabetes",'Data set'!$H493&lt;=7.5,"Diabetes",'Data set'!$H493&gt;=7.5,"Uncontrolled")</f>
        <v>Uncontrolled</v>
      </c>
      <c r="P493" s="5" t="str">
        <f>_xlfn.IFS('Data set'!$F493&lt;120,"Low",'Data set'!$F493&lt;=200,"Normal",'Data set'!$F493&lt;=240,"Boarderline",'Data set'!$F493&gt;=241,"High")</f>
        <v>High</v>
      </c>
      <c r="Q493" s="5" t="str">
        <f>_xlfn.IFS('Data set'!$D493&lt;=18.5,"Low",'Data set'!$D493&lt;=24.9,"Normal",'Data set'!$D493&lt;=29.9,"High",'Data set'!$D493&gt;29.9,"Very High")</f>
        <v>Normal</v>
      </c>
    </row>
    <row r="494" spans="1:17" x14ac:dyDescent="0.25">
      <c r="A494" s="3">
        <v>26</v>
      </c>
      <c r="B494" s="3" t="s">
        <v>9</v>
      </c>
      <c r="C494" s="4">
        <v>264.63</v>
      </c>
      <c r="D494" s="4">
        <v>38.119999999999997</v>
      </c>
      <c r="E494" s="3" t="s">
        <v>14</v>
      </c>
      <c r="F494" s="3">
        <v>191</v>
      </c>
      <c r="G494" s="3" t="s">
        <v>431</v>
      </c>
      <c r="H494" s="4">
        <v>4.74</v>
      </c>
      <c r="I494" s="3">
        <v>3</v>
      </c>
      <c r="J494" s="3" t="s">
        <v>3</v>
      </c>
      <c r="K494" s="3" t="s">
        <v>4</v>
      </c>
      <c r="L494" s="3">
        <v>108</v>
      </c>
      <c r="M494" s="3">
        <v>72</v>
      </c>
      <c r="N494" s="3" t="s">
        <v>17</v>
      </c>
      <c r="O494" s="3" t="str">
        <f>_xlfn.IFS('Data set'!$H494&lt;5.7,"Normal",'Data set'!$H494&lt;=6.4,"Prediabetes",'Data set'!$H494&lt;=7.5,"Diabetes",'Data set'!$H494&gt;=7.5,"Uncontrolled")</f>
        <v>Normal</v>
      </c>
      <c r="P494" s="3" t="str">
        <f>_xlfn.IFS('Data set'!$F494&lt;120,"Low",'Data set'!$F494&lt;=200,"Normal",'Data set'!$F494&lt;=240,"Boarderline",'Data set'!$F494&gt;=241,"High")</f>
        <v>Normal</v>
      </c>
      <c r="Q494" s="3" t="str">
        <f>_xlfn.IFS('Data set'!$D494&lt;=18.5,"Low",'Data set'!$D494&lt;=24.9,"Normal",'Data set'!$D494&lt;=29.9,"High",'Data set'!$D494&gt;29.9,"Very High")</f>
        <v>Very High</v>
      </c>
    </row>
    <row r="495" spans="1:17" x14ac:dyDescent="0.25">
      <c r="A495" s="5">
        <v>58</v>
      </c>
      <c r="B495" s="5" t="s">
        <v>0</v>
      </c>
      <c r="C495" s="6">
        <v>130.41999999999999</v>
      </c>
      <c r="D495" s="6">
        <v>19.64</v>
      </c>
      <c r="E495" s="5" t="s">
        <v>1</v>
      </c>
      <c r="F495" s="5">
        <v>151</v>
      </c>
      <c r="G495" s="5" t="s">
        <v>432</v>
      </c>
      <c r="H495" s="6">
        <v>7.22</v>
      </c>
      <c r="I495" s="5">
        <v>5</v>
      </c>
      <c r="J495" s="5" t="s">
        <v>4</v>
      </c>
      <c r="K495" s="5" t="s">
        <v>4</v>
      </c>
      <c r="L495" s="5">
        <v>108</v>
      </c>
      <c r="M495" s="5">
        <v>80</v>
      </c>
      <c r="N495" s="5" t="s">
        <v>8</v>
      </c>
      <c r="O495" s="5" t="str">
        <f>_xlfn.IFS('Data set'!$H495&lt;5.7,"Normal",'Data set'!$H495&lt;=6.4,"Prediabetes",'Data set'!$H495&lt;=7.5,"Diabetes",'Data set'!$H495&gt;=7.5,"Uncontrolled")</f>
        <v>Diabetes</v>
      </c>
      <c r="P495" s="5" t="str">
        <f>_xlfn.IFS('Data set'!$F495&lt;120,"Low",'Data set'!$F495&lt;=200,"Normal",'Data set'!$F495&lt;=240,"Boarderline",'Data set'!$F495&gt;=241,"High")</f>
        <v>Normal</v>
      </c>
      <c r="Q495" s="5" t="str">
        <f>_xlfn.IFS('Data set'!$D495&lt;=18.5,"Low",'Data set'!$D495&lt;=24.9,"Normal",'Data set'!$D495&lt;=29.9,"High",'Data set'!$D495&gt;29.9,"Very High")</f>
        <v>Normal</v>
      </c>
    </row>
    <row r="496" spans="1:17" x14ac:dyDescent="0.25">
      <c r="A496" s="3">
        <v>34</v>
      </c>
      <c r="B496" s="3" t="s">
        <v>9</v>
      </c>
      <c r="C496" s="4">
        <v>150.5</v>
      </c>
      <c r="D496" s="4">
        <v>36.270000000000003</v>
      </c>
      <c r="E496" s="3" t="s">
        <v>14</v>
      </c>
      <c r="F496" s="3">
        <v>106</v>
      </c>
      <c r="G496" s="3" t="s">
        <v>433</v>
      </c>
      <c r="H496" s="4">
        <v>7.43</v>
      </c>
      <c r="I496" s="3">
        <v>4</v>
      </c>
      <c r="J496" s="3" t="s">
        <v>3</v>
      </c>
      <c r="K496" s="3" t="s">
        <v>4</v>
      </c>
      <c r="L496" s="3">
        <v>139</v>
      </c>
      <c r="M496" s="3">
        <v>60</v>
      </c>
      <c r="N496" s="3" t="s">
        <v>12</v>
      </c>
      <c r="O496" s="3" t="str">
        <f>_xlfn.IFS('Data set'!$H496&lt;5.7,"Normal",'Data set'!$H496&lt;=6.4,"Prediabetes",'Data set'!$H496&lt;=7.5,"Diabetes",'Data set'!$H496&gt;=7.5,"Uncontrolled")</f>
        <v>Diabetes</v>
      </c>
      <c r="P496" s="3" t="str">
        <f>_xlfn.IFS('Data set'!$F496&lt;120,"Low",'Data set'!$F496&lt;=200,"Normal",'Data set'!$F496&lt;=240,"Boarderline",'Data set'!$F496&gt;=241,"High")</f>
        <v>Low</v>
      </c>
      <c r="Q496" s="3" t="str">
        <f>_xlfn.IFS('Data set'!$D496&lt;=18.5,"Low",'Data set'!$D496&lt;=24.9,"Normal",'Data set'!$D496&lt;=29.9,"High",'Data set'!$D496&gt;29.9,"Very High")</f>
        <v>Very High</v>
      </c>
    </row>
    <row r="497" spans="1:17" x14ac:dyDescent="0.25">
      <c r="A497" s="5">
        <v>34</v>
      </c>
      <c r="B497" s="5" t="s">
        <v>0</v>
      </c>
      <c r="C497" s="6">
        <v>129.01</v>
      </c>
      <c r="D497" s="6">
        <v>20.04</v>
      </c>
      <c r="E497" s="5" t="s">
        <v>1</v>
      </c>
      <c r="F497" s="5">
        <v>129</v>
      </c>
      <c r="G497" s="5" t="s">
        <v>84</v>
      </c>
      <c r="H497" s="6">
        <v>6.65</v>
      </c>
      <c r="I497" s="5">
        <v>5</v>
      </c>
      <c r="J497" s="5" t="s">
        <v>4</v>
      </c>
      <c r="K497" s="5" t="s">
        <v>4</v>
      </c>
      <c r="L497" s="5">
        <v>103</v>
      </c>
      <c r="M497" s="5">
        <v>61</v>
      </c>
      <c r="N497" s="5" t="s">
        <v>12</v>
      </c>
      <c r="O497" s="5" t="str">
        <f>_xlfn.IFS('Data set'!$H497&lt;5.7,"Normal",'Data set'!$H497&lt;=6.4,"Prediabetes",'Data set'!$H497&lt;=7.5,"Diabetes",'Data set'!$H497&gt;=7.5,"Uncontrolled")</f>
        <v>Diabetes</v>
      </c>
      <c r="P497" s="5" t="str">
        <f>_xlfn.IFS('Data set'!$F497&lt;120,"Low",'Data set'!$F497&lt;=200,"Normal",'Data set'!$F497&lt;=240,"Boarderline",'Data set'!$F497&gt;=241,"High")</f>
        <v>Normal</v>
      </c>
      <c r="Q497" s="5" t="str">
        <f>_xlfn.IFS('Data set'!$D497&lt;=18.5,"Low",'Data set'!$D497&lt;=24.9,"Normal",'Data set'!$D497&lt;=29.9,"High",'Data set'!$D497&gt;29.9,"Very High")</f>
        <v>Normal</v>
      </c>
    </row>
    <row r="498" spans="1:17" x14ac:dyDescent="0.25">
      <c r="A498" s="3">
        <v>45</v>
      </c>
      <c r="B498" s="3" t="s">
        <v>0</v>
      </c>
      <c r="C498" s="4">
        <v>220.29</v>
      </c>
      <c r="D498" s="4">
        <v>23.65</v>
      </c>
      <c r="E498" s="3" t="s">
        <v>1</v>
      </c>
      <c r="F498" s="3">
        <v>222</v>
      </c>
      <c r="G498" s="3" t="s">
        <v>434</v>
      </c>
      <c r="H498" s="4">
        <v>9.3699999999999992</v>
      </c>
      <c r="I498" s="3">
        <v>3</v>
      </c>
      <c r="J498" s="3" t="s">
        <v>4</v>
      </c>
      <c r="K498" s="3" t="s">
        <v>4</v>
      </c>
      <c r="L498" s="3">
        <v>140</v>
      </c>
      <c r="M498" s="3">
        <v>87</v>
      </c>
      <c r="N498" s="3" t="s">
        <v>23</v>
      </c>
      <c r="O498" s="3" t="str">
        <f>_xlfn.IFS('Data set'!$H498&lt;5.7,"Normal",'Data set'!$H498&lt;=6.4,"Prediabetes",'Data set'!$H498&lt;=7.5,"Diabetes",'Data set'!$H498&gt;=7.5,"Uncontrolled")</f>
        <v>Uncontrolled</v>
      </c>
      <c r="P498" s="3" t="str">
        <f>_xlfn.IFS('Data set'!$F498&lt;120,"Low",'Data set'!$F498&lt;=200,"Normal",'Data set'!$F498&lt;=240,"Boarderline",'Data set'!$F498&gt;=241,"High")</f>
        <v>Boarderline</v>
      </c>
      <c r="Q498" s="3" t="str">
        <f>_xlfn.IFS('Data set'!$D498&lt;=18.5,"Low",'Data set'!$D498&lt;=24.9,"Normal",'Data set'!$D498&lt;=29.9,"High",'Data set'!$D498&gt;29.9,"Very High")</f>
        <v>Normal</v>
      </c>
    </row>
    <row r="499" spans="1:17" x14ac:dyDescent="0.25">
      <c r="A499" s="5">
        <v>33</v>
      </c>
      <c r="B499" s="5" t="s">
        <v>9</v>
      </c>
      <c r="C499" s="6">
        <v>289.08999999999997</v>
      </c>
      <c r="D499" s="6">
        <v>22.68</v>
      </c>
      <c r="E499" s="5" t="s">
        <v>14</v>
      </c>
      <c r="F499" s="5">
        <v>281</v>
      </c>
      <c r="G499" s="5" t="s">
        <v>435</v>
      </c>
      <c r="H499" s="6">
        <v>9.1</v>
      </c>
      <c r="I499" s="5">
        <v>4</v>
      </c>
      <c r="J499" s="5" t="s">
        <v>3</v>
      </c>
      <c r="K499" s="5" t="s">
        <v>4</v>
      </c>
      <c r="L499" s="5">
        <v>126</v>
      </c>
      <c r="M499" s="5">
        <v>76</v>
      </c>
      <c r="N499" s="5" t="s">
        <v>12</v>
      </c>
      <c r="O499" s="5" t="str">
        <f>_xlfn.IFS('Data set'!$H499&lt;5.7,"Normal",'Data set'!$H499&lt;=6.4,"Prediabetes",'Data set'!$H499&lt;=7.5,"Diabetes",'Data set'!$H499&gt;=7.5,"Uncontrolled")</f>
        <v>Uncontrolled</v>
      </c>
      <c r="P499" s="5" t="str">
        <f>_xlfn.IFS('Data set'!$F499&lt;120,"Low",'Data set'!$F499&lt;=200,"Normal",'Data set'!$F499&lt;=240,"Boarderline",'Data set'!$F499&gt;=241,"High")</f>
        <v>High</v>
      </c>
      <c r="Q499" s="5" t="str">
        <f>_xlfn.IFS('Data set'!$D499&lt;=18.5,"Low",'Data set'!$D499&lt;=24.9,"Normal",'Data set'!$D499&lt;=29.9,"High",'Data set'!$D499&gt;29.9,"Very High")</f>
        <v>Normal</v>
      </c>
    </row>
    <row r="500" spans="1:17" x14ac:dyDescent="0.25">
      <c r="A500" s="3">
        <v>63</v>
      </c>
      <c r="B500" s="3" t="s">
        <v>9</v>
      </c>
      <c r="C500" s="4">
        <v>219.05</v>
      </c>
      <c r="D500" s="4">
        <v>23.59</v>
      </c>
      <c r="E500" s="3" t="s">
        <v>14</v>
      </c>
      <c r="F500" s="3">
        <v>193</v>
      </c>
      <c r="G500" s="3" t="s">
        <v>436</v>
      </c>
      <c r="H500" s="4">
        <v>8.0500000000000007</v>
      </c>
      <c r="I500" s="3">
        <v>1</v>
      </c>
      <c r="J500" s="3" t="s">
        <v>4</v>
      </c>
      <c r="K500" s="3" t="s">
        <v>3</v>
      </c>
      <c r="L500" s="3">
        <v>103</v>
      </c>
      <c r="M500" s="3">
        <v>63</v>
      </c>
      <c r="N500" s="3" t="s">
        <v>21</v>
      </c>
      <c r="O500" s="3" t="str">
        <f>_xlfn.IFS('Data set'!$H500&lt;5.7,"Normal",'Data set'!$H500&lt;=6.4,"Prediabetes",'Data set'!$H500&lt;=7.5,"Diabetes",'Data set'!$H500&gt;=7.5,"Uncontrolled")</f>
        <v>Uncontrolled</v>
      </c>
      <c r="P500" s="3" t="str">
        <f>_xlfn.IFS('Data set'!$F500&lt;120,"Low",'Data set'!$F500&lt;=200,"Normal",'Data set'!$F500&lt;=240,"Boarderline",'Data set'!$F500&gt;=241,"High")</f>
        <v>Normal</v>
      </c>
      <c r="Q500" s="3" t="str">
        <f>_xlfn.IFS('Data set'!$D500&lt;=18.5,"Low",'Data set'!$D500&lt;=24.9,"Normal",'Data set'!$D500&lt;=29.9,"High",'Data set'!$D500&gt;29.9,"Very High")</f>
        <v>Normal</v>
      </c>
    </row>
    <row r="501" spans="1:17" x14ac:dyDescent="0.25">
      <c r="A501" s="5">
        <v>36</v>
      </c>
      <c r="B501" s="5" t="s">
        <v>9</v>
      </c>
      <c r="C501" s="6">
        <v>258.64</v>
      </c>
      <c r="D501" s="6">
        <v>27.39</v>
      </c>
      <c r="E501" s="5" t="s">
        <v>10</v>
      </c>
      <c r="F501" s="5">
        <v>126</v>
      </c>
      <c r="G501" s="5" t="s">
        <v>437</v>
      </c>
      <c r="H501" s="6">
        <v>9.6999999999999993</v>
      </c>
      <c r="I501" s="5">
        <v>6</v>
      </c>
      <c r="J501" s="5" t="s">
        <v>3</v>
      </c>
      <c r="K501" s="5" t="s">
        <v>3</v>
      </c>
      <c r="L501" s="5">
        <v>132</v>
      </c>
      <c r="M501" s="5">
        <v>88</v>
      </c>
      <c r="N501" s="5" t="s">
        <v>12</v>
      </c>
      <c r="O501" s="5" t="str">
        <f>_xlfn.IFS('Data set'!$H501&lt;5.7,"Normal",'Data set'!$H501&lt;=6.4,"Prediabetes",'Data set'!$H501&lt;=7.5,"Diabetes",'Data set'!$H501&gt;=7.5,"Uncontrolled")</f>
        <v>Uncontrolled</v>
      </c>
      <c r="P501" s="5" t="str">
        <f>_xlfn.IFS('Data set'!$F501&lt;120,"Low",'Data set'!$F501&lt;=200,"Normal",'Data set'!$F501&lt;=240,"Boarderline",'Data set'!$F501&gt;=241,"High")</f>
        <v>Normal</v>
      </c>
      <c r="Q501" s="5" t="str">
        <f>_xlfn.IFS('Data set'!$D501&lt;=18.5,"Low",'Data set'!$D501&lt;=24.9,"Normal",'Data set'!$D501&lt;=29.9,"High",'Data set'!$D501&gt;29.9,"Very High")</f>
        <v>High</v>
      </c>
    </row>
    <row r="502" spans="1:17" x14ac:dyDescent="0.25">
      <c r="A502" s="3">
        <v>26</v>
      </c>
      <c r="B502" s="3" t="s">
        <v>9</v>
      </c>
      <c r="C502" s="4">
        <v>83.19</v>
      </c>
      <c r="D502" s="4">
        <v>21.21</v>
      </c>
      <c r="E502" s="3" t="s">
        <v>10</v>
      </c>
      <c r="F502" s="3">
        <v>207</v>
      </c>
      <c r="G502" s="3" t="s">
        <v>438</v>
      </c>
      <c r="H502" s="4">
        <v>7.07</v>
      </c>
      <c r="I502" s="3">
        <v>2</v>
      </c>
      <c r="J502" s="3" t="s">
        <v>4</v>
      </c>
      <c r="K502" s="3" t="s">
        <v>3</v>
      </c>
      <c r="L502" s="3">
        <v>104</v>
      </c>
      <c r="M502" s="3">
        <v>87</v>
      </c>
      <c r="N502" s="3" t="s">
        <v>17</v>
      </c>
      <c r="O502" s="3" t="str">
        <f>_xlfn.IFS('Data set'!$H502&lt;5.7,"Normal",'Data set'!$H502&lt;=6.4,"Prediabetes",'Data set'!$H502&lt;=7.5,"Diabetes",'Data set'!$H502&gt;=7.5,"Uncontrolled")</f>
        <v>Diabetes</v>
      </c>
      <c r="P502" s="3" t="str">
        <f>_xlfn.IFS('Data set'!$F502&lt;120,"Low",'Data set'!$F502&lt;=200,"Normal",'Data set'!$F502&lt;=240,"Boarderline",'Data set'!$F502&gt;=241,"High")</f>
        <v>Boarderline</v>
      </c>
      <c r="Q502" s="3" t="str">
        <f>_xlfn.IFS('Data set'!$D502&lt;=18.5,"Low",'Data set'!$D502&lt;=24.9,"Normal",'Data set'!$D502&lt;=29.9,"High",'Data set'!$D502&gt;29.9,"Very High")</f>
        <v>Normal</v>
      </c>
    </row>
    <row r="503" spans="1:17" x14ac:dyDescent="0.25">
      <c r="A503" s="5">
        <v>69</v>
      </c>
      <c r="B503" s="5" t="s">
        <v>0</v>
      </c>
      <c r="C503" s="6">
        <v>232.95</v>
      </c>
      <c r="D503" s="6">
        <v>37.81</v>
      </c>
      <c r="E503" s="5" t="s">
        <v>6</v>
      </c>
      <c r="F503" s="5">
        <v>235</v>
      </c>
      <c r="G503" s="5" t="s">
        <v>439</v>
      </c>
      <c r="H503" s="6">
        <v>4.2699999999999996</v>
      </c>
      <c r="I503" s="5">
        <v>1</v>
      </c>
      <c r="J503" s="5" t="s">
        <v>4</v>
      </c>
      <c r="K503" s="5" t="s">
        <v>4</v>
      </c>
      <c r="L503" s="5">
        <v>99</v>
      </c>
      <c r="M503" s="5">
        <v>88</v>
      </c>
      <c r="N503" s="5" t="s">
        <v>21</v>
      </c>
      <c r="O503" s="5" t="str">
        <f>_xlfn.IFS('Data set'!$H503&lt;5.7,"Normal",'Data set'!$H503&lt;=6.4,"Prediabetes",'Data set'!$H503&lt;=7.5,"Diabetes",'Data set'!$H503&gt;=7.5,"Uncontrolled")</f>
        <v>Normal</v>
      </c>
      <c r="P503" s="5" t="str">
        <f>_xlfn.IFS('Data set'!$F503&lt;120,"Low",'Data set'!$F503&lt;=200,"Normal",'Data set'!$F503&lt;=240,"Boarderline",'Data set'!$F503&gt;=241,"High")</f>
        <v>Boarderline</v>
      </c>
      <c r="Q503" s="5" t="str">
        <f>_xlfn.IFS('Data set'!$D503&lt;=18.5,"Low",'Data set'!$D503&lt;=24.9,"Normal",'Data set'!$D503&lt;=29.9,"High",'Data set'!$D503&gt;29.9,"Very High")</f>
        <v>Very High</v>
      </c>
    </row>
    <row r="504" spans="1:17" x14ac:dyDescent="0.25">
      <c r="A504" s="3">
        <v>54</v>
      </c>
      <c r="B504" s="3" t="s">
        <v>9</v>
      </c>
      <c r="C504" s="4">
        <v>216.54</v>
      </c>
      <c r="D504" s="4">
        <v>22.79</v>
      </c>
      <c r="E504" s="3" t="s">
        <v>10</v>
      </c>
      <c r="F504" s="3">
        <v>110</v>
      </c>
      <c r="G504" s="3" t="s">
        <v>440</v>
      </c>
      <c r="H504" s="4">
        <v>7.94</v>
      </c>
      <c r="I504" s="3">
        <v>1</v>
      </c>
      <c r="J504" s="3" t="s">
        <v>3</v>
      </c>
      <c r="K504" s="3" t="s">
        <v>4</v>
      </c>
      <c r="L504" s="3">
        <v>105</v>
      </c>
      <c r="M504" s="3">
        <v>62</v>
      </c>
      <c r="N504" s="3" t="s">
        <v>8</v>
      </c>
      <c r="O504" s="3" t="str">
        <f>_xlfn.IFS('Data set'!$H504&lt;5.7,"Normal",'Data set'!$H504&lt;=6.4,"Prediabetes",'Data set'!$H504&lt;=7.5,"Diabetes",'Data set'!$H504&gt;=7.5,"Uncontrolled")</f>
        <v>Uncontrolled</v>
      </c>
      <c r="P504" s="3" t="str">
        <f>_xlfn.IFS('Data set'!$F504&lt;120,"Low",'Data set'!$F504&lt;=200,"Normal",'Data set'!$F504&lt;=240,"Boarderline",'Data set'!$F504&gt;=241,"High")</f>
        <v>Low</v>
      </c>
      <c r="Q504" s="3" t="str">
        <f>_xlfn.IFS('Data set'!$D504&lt;=18.5,"Low",'Data set'!$D504&lt;=24.9,"Normal",'Data set'!$D504&lt;=29.9,"High",'Data set'!$D504&gt;29.9,"Very High")</f>
        <v>Normal</v>
      </c>
    </row>
    <row r="505" spans="1:17" x14ac:dyDescent="0.25">
      <c r="A505" s="5">
        <v>49</v>
      </c>
      <c r="B505" s="5" t="s">
        <v>0</v>
      </c>
      <c r="C505" s="6">
        <v>212.04</v>
      </c>
      <c r="D505" s="6">
        <v>28.91</v>
      </c>
      <c r="E505" s="5" t="s">
        <v>14</v>
      </c>
      <c r="F505" s="5">
        <v>222</v>
      </c>
      <c r="G505" s="5" t="s">
        <v>354</v>
      </c>
      <c r="H505" s="6">
        <v>4.51</v>
      </c>
      <c r="I505" s="5">
        <v>5</v>
      </c>
      <c r="J505" s="5" t="s">
        <v>4</v>
      </c>
      <c r="K505" s="5" t="s">
        <v>3</v>
      </c>
      <c r="L505" s="5">
        <v>129</v>
      </c>
      <c r="M505" s="5">
        <v>82</v>
      </c>
      <c r="N505" s="5" t="s">
        <v>23</v>
      </c>
      <c r="O505" s="5" t="str">
        <f>_xlfn.IFS('Data set'!$H505&lt;5.7,"Normal",'Data set'!$H505&lt;=6.4,"Prediabetes",'Data set'!$H505&lt;=7.5,"Diabetes",'Data set'!$H505&gt;=7.5,"Uncontrolled")</f>
        <v>Normal</v>
      </c>
      <c r="P505" s="5" t="str">
        <f>_xlfn.IFS('Data set'!$F505&lt;120,"Low",'Data set'!$F505&lt;=200,"Normal",'Data set'!$F505&lt;=240,"Boarderline",'Data set'!$F505&gt;=241,"High")</f>
        <v>Boarderline</v>
      </c>
      <c r="Q505" s="5" t="str">
        <f>_xlfn.IFS('Data set'!$D505&lt;=18.5,"Low",'Data set'!$D505&lt;=24.9,"Normal",'Data set'!$D505&lt;=29.9,"High",'Data set'!$D505&gt;29.9,"Very High")</f>
        <v>High</v>
      </c>
    </row>
    <row r="506" spans="1:17" x14ac:dyDescent="0.25">
      <c r="A506" s="3">
        <v>22</v>
      </c>
      <c r="B506" s="3" t="s">
        <v>0</v>
      </c>
      <c r="C506" s="4">
        <v>78.56</v>
      </c>
      <c r="D506" s="4">
        <v>36.79</v>
      </c>
      <c r="E506" s="3" t="s">
        <v>14</v>
      </c>
      <c r="F506" s="3">
        <v>175</v>
      </c>
      <c r="G506" s="3" t="s">
        <v>441</v>
      </c>
      <c r="H506" s="4">
        <v>8.35</v>
      </c>
      <c r="I506" s="3">
        <v>2</v>
      </c>
      <c r="J506" s="3" t="s">
        <v>3</v>
      </c>
      <c r="K506" s="3" t="s">
        <v>3</v>
      </c>
      <c r="L506" s="3">
        <v>129</v>
      </c>
      <c r="M506" s="3">
        <v>83</v>
      </c>
      <c r="N506" s="3" t="s">
        <v>17</v>
      </c>
      <c r="O506" s="3" t="str">
        <f>_xlfn.IFS('Data set'!$H506&lt;5.7,"Normal",'Data set'!$H506&lt;=6.4,"Prediabetes",'Data set'!$H506&lt;=7.5,"Diabetes",'Data set'!$H506&gt;=7.5,"Uncontrolled")</f>
        <v>Uncontrolled</v>
      </c>
      <c r="P506" s="3" t="str">
        <f>_xlfn.IFS('Data set'!$F506&lt;120,"Low",'Data set'!$F506&lt;=200,"Normal",'Data set'!$F506&lt;=240,"Boarderline",'Data set'!$F506&gt;=241,"High")</f>
        <v>Normal</v>
      </c>
      <c r="Q506" s="3" t="str">
        <f>_xlfn.IFS('Data set'!$D506&lt;=18.5,"Low",'Data set'!$D506&lt;=24.9,"Normal",'Data set'!$D506&lt;=29.9,"High",'Data set'!$D506&gt;29.9,"Very High")</f>
        <v>Very High</v>
      </c>
    </row>
    <row r="507" spans="1:17" x14ac:dyDescent="0.25">
      <c r="A507" s="5">
        <v>37</v>
      </c>
      <c r="B507" s="5" t="s">
        <v>0</v>
      </c>
      <c r="C507" s="6">
        <v>123.54</v>
      </c>
      <c r="D507" s="6">
        <v>31.55</v>
      </c>
      <c r="E507" s="5" t="s">
        <v>1</v>
      </c>
      <c r="F507" s="5">
        <v>296</v>
      </c>
      <c r="G507" s="5" t="s">
        <v>442</v>
      </c>
      <c r="H507" s="6">
        <v>4.57</v>
      </c>
      <c r="I507" s="5">
        <v>7</v>
      </c>
      <c r="J507" s="5" t="s">
        <v>4</v>
      </c>
      <c r="K507" s="5" t="s">
        <v>4</v>
      </c>
      <c r="L507" s="5">
        <v>121</v>
      </c>
      <c r="M507" s="5">
        <v>79</v>
      </c>
      <c r="N507" s="5" t="s">
        <v>12</v>
      </c>
      <c r="O507" s="5" t="str">
        <f>_xlfn.IFS('Data set'!$H507&lt;5.7,"Normal",'Data set'!$H507&lt;=6.4,"Prediabetes",'Data set'!$H507&lt;=7.5,"Diabetes",'Data set'!$H507&gt;=7.5,"Uncontrolled")</f>
        <v>Normal</v>
      </c>
      <c r="P507" s="5" t="str">
        <f>_xlfn.IFS('Data set'!$F507&lt;120,"Low",'Data set'!$F507&lt;=200,"Normal",'Data set'!$F507&lt;=240,"Boarderline",'Data set'!$F507&gt;=241,"High")</f>
        <v>High</v>
      </c>
      <c r="Q507" s="5" t="str">
        <f>_xlfn.IFS('Data set'!$D507&lt;=18.5,"Low",'Data set'!$D507&lt;=24.9,"Normal",'Data set'!$D507&lt;=29.9,"High",'Data set'!$D507&gt;29.9,"Very High")</f>
        <v>Very High</v>
      </c>
    </row>
    <row r="508" spans="1:17" x14ac:dyDescent="0.25">
      <c r="A508" s="3">
        <v>20</v>
      </c>
      <c r="B508" s="3" t="s">
        <v>9</v>
      </c>
      <c r="C508" s="4">
        <v>159.43</v>
      </c>
      <c r="D508" s="4">
        <v>23.87</v>
      </c>
      <c r="E508" s="3" t="s">
        <v>1</v>
      </c>
      <c r="F508" s="3">
        <v>267</v>
      </c>
      <c r="G508" s="3" t="s">
        <v>443</v>
      </c>
      <c r="H508" s="4">
        <v>6.28</v>
      </c>
      <c r="I508" s="3">
        <v>2</v>
      </c>
      <c r="J508" s="3" t="s">
        <v>3</v>
      </c>
      <c r="K508" s="3" t="s">
        <v>4</v>
      </c>
      <c r="L508" s="3">
        <v>95</v>
      </c>
      <c r="M508" s="3">
        <v>83</v>
      </c>
      <c r="N508" s="3" t="s">
        <v>17</v>
      </c>
      <c r="O508" s="3" t="str">
        <f>_xlfn.IFS('Data set'!$H508&lt;5.7,"Normal",'Data set'!$H508&lt;=6.4,"Prediabetes",'Data set'!$H508&lt;=7.5,"Diabetes",'Data set'!$H508&gt;=7.5,"Uncontrolled")</f>
        <v>Prediabetes</v>
      </c>
      <c r="P508" s="3" t="str">
        <f>_xlfn.IFS('Data set'!$F508&lt;120,"Low",'Data set'!$F508&lt;=200,"Normal",'Data set'!$F508&lt;=240,"Boarderline",'Data set'!$F508&gt;=241,"High")</f>
        <v>High</v>
      </c>
      <c r="Q508" s="3" t="str">
        <f>_xlfn.IFS('Data set'!$D508&lt;=18.5,"Low",'Data set'!$D508&lt;=24.9,"Normal",'Data set'!$D508&lt;=29.9,"High",'Data set'!$D508&gt;29.9,"Very High")</f>
        <v>Normal</v>
      </c>
    </row>
    <row r="509" spans="1:17" x14ac:dyDescent="0.25">
      <c r="A509" s="5">
        <v>20</v>
      </c>
      <c r="B509" s="5" t="s">
        <v>0</v>
      </c>
      <c r="C509" s="6">
        <v>207.27</v>
      </c>
      <c r="D509" s="6">
        <v>21.75</v>
      </c>
      <c r="E509" s="5" t="s">
        <v>6</v>
      </c>
      <c r="F509" s="5">
        <v>224</v>
      </c>
      <c r="G509" s="5" t="s">
        <v>444</v>
      </c>
      <c r="H509" s="6">
        <v>4.54</v>
      </c>
      <c r="I509" s="5">
        <v>7</v>
      </c>
      <c r="J509" s="5" t="s">
        <v>3</v>
      </c>
      <c r="K509" s="5" t="s">
        <v>4</v>
      </c>
      <c r="L509" s="5">
        <v>100</v>
      </c>
      <c r="M509" s="5">
        <v>88</v>
      </c>
      <c r="N509" s="5" t="s">
        <v>17</v>
      </c>
      <c r="O509" s="5" t="str">
        <f>_xlfn.IFS('Data set'!$H509&lt;5.7,"Normal",'Data set'!$H509&lt;=6.4,"Prediabetes",'Data set'!$H509&lt;=7.5,"Diabetes",'Data set'!$H509&gt;=7.5,"Uncontrolled")</f>
        <v>Normal</v>
      </c>
      <c r="P509" s="5" t="str">
        <f>_xlfn.IFS('Data set'!$F509&lt;120,"Low",'Data set'!$F509&lt;=200,"Normal",'Data set'!$F509&lt;=240,"Boarderline",'Data set'!$F509&gt;=241,"High")</f>
        <v>Boarderline</v>
      </c>
      <c r="Q509" s="5" t="str">
        <f>_xlfn.IFS('Data set'!$D509&lt;=18.5,"Low",'Data set'!$D509&lt;=24.9,"Normal",'Data set'!$D509&lt;=29.9,"High",'Data set'!$D509&gt;29.9,"Very High")</f>
        <v>Normal</v>
      </c>
    </row>
    <row r="510" spans="1:17" x14ac:dyDescent="0.25">
      <c r="A510" s="3">
        <v>52</v>
      </c>
      <c r="B510" s="3" t="s">
        <v>9</v>
      </c>
      <c r="C510" s="4">
        <v>184.78</v>
      </c>
      <c r="D510" s="4">
        <v>26.59</v>
      </c>
      <c r="E510" s="3" t="s">
        <v>14</v>
      </c>
      <c r="F510" s="3">
        <v>157</v>
      </c>
      <c r="G510" s="3" t="s">
        <v>445</v>
      </c>
      <c r="H510" s="4">
        <v>5.3</v>
      </c>
      <c r="I510" s="3">
        <v>5</v>
      </c>
      <c r="J510" s="3" t="s">
        <v>3</v>
      </c>
      <c r="K510" s="3" t="s">
        <v>3</v>
      </c>
      <c r="L510" s="3">
        <v>110</v>
      </c>
      <c r="M510" s="3">
        <v>75</v>
      </c>
      <c r="N510" s="3" t="s">
        <v>8</v>
      </c>
      <c r="O510" s="3" t="str">
        <f>_xlfn.IFS('Data set'!$H510&lt;5.7,"Normal",'Data set'!$H510&lt;=6.4,"Prediabetes",'Data set'!$H510&lt;=7.5,"Diabetes",'Data set'!$H510&gt;=7.5,"Uncontrolled")</f>
        <v>Normal</v>
      </c>
      <c r="P510" s="3" t="str">
        <f>_xlfn.IFS('Data set'!$F510&lt;120,"Low",'Data set'!$F510&lt;=200,"Normal",'Data set'!$F510&lt;=240,"Boarderline",'Data set'!$F510&gt;=241,"High")</f>
        <v>Normal</v>
      </c>
      <c r="Q510" s="3" t="str">
        <f>_xlfn.IFS('Data set'!$D510&lt;=18.5,"Low",'Data set'!$D510&lt;=24.9,"Normal",'Data set'!$D510&lt;=29.9,"High",'Data set'!$D510&gt;29.9,"Very High")</f>
        <v>High</v>
      </c>
    </row>
    <row r="511" spans="1:17" x14ac:dyDescent="0.25">
      <c r="A511" s="5">
        <v>50</v>
      </c>
      <c r="B511" s="5" t="s">
        <v>9</v>
      </c>
      <c r="C511" s="6">
        <v>239.64</v>
      </c>
      <c r="D511" s="6">
        <v>21.58</v>
      </c>
      <c r="E511" s="5" t="s">
        <v>6</v>
      </c>
      <c r="F511" s="5">
        <v>246</v>
      </c>
      <c r="G511" s="5" t="s">
        <v>446</v>
      </c>
      <c r="H511" s="6">
        <v>9.52</v>
      </c>
      <c r="I511" s="5">
        <v>5</v>
      </c>
      <c r="J511" s="5" t="s">
        <v>3</v>
      </c>
      <c r="K511" s="5" t="s">
        <v>4</v>
      </c>
      <c r="L511" s="5">
        <v>126</v>
      </c>
      <c r="M511" s="5">
        <v>77</v>
      </c>
      <c r="N511" s="5" t="s">
        <v>23</v>
      </c>
      <c r="O511" s="5" t="str">
        <f>_xlfn.IFS('Data set'!$H511&lt;5.7,"Normal",'Data set'!$H511&lt;=6.4,"Prediabetes",'Data set'!$H511&lt;=7.5,"Diabetes",'Data set'!$H511&gt;=7.5,"Uncontrolled")</f>
        <v>Uncontrolled</v>
      </c>
      <c r="P511" s="5" t="str">
        <f>_xlfn.IFS('Data set'!$F511&lt;120,"Low",'Data set'!$F511&lt;=200,"Normal",'Data set'!$F511&lt;=240,"Boarderline",'Data set'!$F511&gt;=241,"High")</f>
        <v>High</v>
      </c>
      <c r="Q511" s="5" t="str">
        <f>_xlfn.IFS('Data set'!$D511&lt;=18.5,"Low",'Data set'!$D511&lt;=24.9,"Normal",'Data set'!$D511&lt;=29.9,"High",'Data set'!$D511&gt;29.9,"Very High")</f>
        <v>Normal</v>
      </c>
    </row>
    <row r="512" spans="1:17" x14ac:dyDescent="0.25">
      <c r="A512" s="3">
        <v>49</v>
      </c>
      <c r="B512" s="3" t="s">
        <v>0</v>
      </c>
      <c r="C512" s="4">
        <v>261.06</v>
      </c>
      <c r="D512" s="4">
        <v>27.51</v>
      </c>
      <c r="E512" s="3" t="s">
        <v>6</v>
      </c>
      <c r="F512" s="3">
        <v>293</v>
      </c>
      <c r="G512" s="3" t="s">
        <v>447</v>
      </c>
      <c r="H512" s="4">
        <v>9.99</v>
      </c>
      <c r="I512" s="3">
        <v>3</v>
      </c>
      <c r="J512" s="3" t="s">
        <v>3</v>
      </c>
      <c r="K512" s="3" t="s">
        <v>4</v>
      </c>
      <c r="L512" s="3">
        <v>134</v>
      </c>
      <c r="M512" s="3">
        <v>69</v>
      </c>
      <c r="N512" s="3" t="s">
        <v>23</v>
      </c>
      <c r="O512" s="3" t="str">
        <f>_xlfn.IFS('Data set'!$H512&lt;5.7,"Normal",'Data set'!$H512&lt;=6.4,"Prediabetes",'Data set'!$H512&lt;=7.5,"Diabetes",'Data set'!$H512&gt;=7.5,"Uncontrolled")</f>
        <v>Uncontrolled</v>
      </c>
      <c r="P512" s="3" t="str">
        <f>_xlfn.IFS('Data set'!$F512&lt;120,"Low",'Data set'!$F512&lt;=200,"Normal",'Data set'!$F512&lt;=240,"Boarderline",'Data set'!$F512&gt;=241,"High")</f>
        <v>High</v>
      </c>
      <c r="Q512" s="3" t="str">
        <f>_xlfn.IFS('Data set'!$D512&lt;=18.5,"Low",'Data set'!$D512&lt;=24.9,"Normal",'Data set'!$D512&lt;=29.9,"High",'Data set'!$D512&gt;29.9,"Very High")</f>
        <v>High</v>
      </c>
    </row>
    <row r="513" spans="1:17" x14ac:dyDescent="0.25">
      <c r="A513" s="5">
        <v>67</v>
      </c>
      <c r="B513" s="5" t="s">
        <v>9</v>
      </c>
      <c r="C513" s="6">
        <v>211.17</v>
      </c>
      <c r="D513" s="6">
        <v>32.200000000000003</v>
      </c>
      <c r="E513" s="5" t="s">
        <v>1</v>
      </c>
      <c r="F513" s="5">
        <v>118</v>
      </c>
      <c r="G513" s="5" t="s">
        <v>448</v>
      </c>
      <c r="H513" s="6">
        <v>6.44</v>
      </c>
      <c r="I513" s="5">
        <v>1</v>
      </c>
      <c r="J513" s="5" t="s">
        <v>3</v>
      </c>
      <c r="K513" s="5" t="s">
        <v>4</v>
      </c>
      <c r="L513" s="5">
        <v>112</v>
      </c>
      <c r="M513" s="5">
        <v>76</v>
      </c>
      <c r="N513" s="5" t="s">
        <v>21</v>
      </c>
      <c r="O513" s="5" t="str">
        <f>_xlfn.IFS('Data set'!$H513&lt;5.7,"Normal",'Data set'!$H513&lt;=6.4,"Prediabetes",'Data set'!$H513&lt;=7.5,"Diabetes",'Data set'!$H513&gt;=7.5,"Uncontrolled")</f>
        <v>Diabetes</v>
      </c>
      <c r="P513" s="5" t="str">
        <f>_xlfn.IFS('Data set'!$F513&lt;120,"Low",'Data set'!$F513&lt;=200,"Normal",'Data set'!$F513&lt;=240,"Boarderline",'Data set'!$F513&gt;=241,"High")</f>
        <v>Low</v>
      </c>
      <c r="Q513" s="5" t="str">
        <f>_xlfn.IFS('Data set'!$D513&lt;=18.5,"Low",'Data set'!$D513&lt;=24.9,"Normal",'Data set'!$D513&lt;=29.9,"High",'Data set'!$D513&gt;29.9,"Very High")</f>
        <v>Very High</v>
      </c>
    </row>
    <row r="514" spans="1:17" x14ac:dyDescent="0.25">
      <c r="A514" s="3">
        <v>48</v>
      </c>
      <c r="B514" s="3" t="s">
        <v>9</v>
      </c>
      <c r="C514" s="4">
        <v>113.86</v>
      </c>
      <c r="D514" s="4">
        <v>29.17</v>
      </c>
      <c r="E514" s="3" t="s">
        <v>14</v>
      </c>
      <c r="F514" s="3">
        <v>184</v>
      </c>
      <c r="G514" s="3" t="s">
        <v>449</v>
      </c>
      <c r="H514" s="4">
        <v>7.63</v>
      </c>
      <c r="I514" s="3">
        <v>5</v>
      </c>
      <c r="J514" s="3" t="s">
        <v>3</v>
      </c>
      <c r="K514" s="3" t="s">
        <v>4</v>
      </c>
      <c r="L514" s="3">
        <v>124</v>
      </c>
      <c r="M514" s="3">
        <v>74</v>
      </c>
      <c r="N514" s="3" t="s">
        <v>23</v>
      </c>
      <c r="O514" s="3" t="str">
        <f>_xlfn.IFS('Data set'!$H514&lt;5.7,"Normal",'Data set'!$H514&lt;=6.4,"Prediabetes",'Data set'!$H514&lt;=7.5,"Diabetes",'Data set'!$H514&gt;=7.5,"Uncontrolled")</f>
        <v>Uncontrolled</v>
      </c>
      <c r="P514" s="3" t="str">
        <f>_xlfn.IFS('Data set'!$F514&lt;120,"Low",'Data set'!$F514&lt;=200,"Normal",'Data set'!$F514&lt;=240,"Boarderline",'Data set'!$F514&gt;=241,"High")</f>
        <v>Normal</v>
      </c>
      <c r="Q514" s="3" t="str">
        <f>_xlfn.IFS('Data set'!$D514&lt;=18.5,"Low",'Data set'!$D514&lt;=24.9,"Normal",'Data set'!$D514&lt;=29.9,"High",'Data set'!$D514&gt;29.9,"Very High")</f>
        <v>High</v>
      </c>
    </row>
    <row r="515" spans="1:17" x14ac:dyDescent="0.25">
      <c r="A515" s="5">
        <v>41</v>
      </c>
      <c r="B515" s="5" t="s">
        <v>0</v>
      </c>
      <c r="C515" s="6">
        <v>230.61</v>
      </c>
      <c r="D515" s="6">
        <v>33.729999999999997</v>
      </c>
      <c r="E515" s="5" t="s">
        <v>6</v>
      </c>
      <c r="F515" s="5">
        <v>239</v>
      </c>
      <c r="G515" s="5" t="s">
        <v>431</v>
      </c>
      <c r="H515" s="6">
        <v>5.38</v>
      </c>
      <c r="I515" s="5">
        <v>7</v>
      </c>
      <c r="J515" s="5" t="s">
        <v>3</v>
      </c>
      <c r="K515" s="5" t="s">
        <v>4</v>
      </c>
      <c r="L515" s="5">
        <v>108</v>
      </c>
      <c r="M515" s="5">
        <v>72</v>
      </c>
      <c r="N515" s="5" t="s">
        <v>23</v>
      </c>
      <c r="O515" s="5" t="str">
        <f>_xlfn.IFS('Data set'!$H515&lt;5.7,"Normal",'Data set'!$H515&lt;=6.4,"Prediabetes",'Data set'!$H515&lt;=7.5,"Diabetes",'Data set'!$H515&gt;=7.5,"Uncontrolled")</f>
        <v>Normal</v>
      </c>
      <c r="P515" s="5" t="str">
        <f>_xlfn.IFS('Data set'!$F515&lt;120,"Low",'Data set'!$F515&lt;=200,"Normal",'Data set'!$F515&lt;=240,"Boarderline",'Data set'!$F515&gt;=241,"High")</f>
        <v>Boarderline</v>
      </c>
      <c r="Q515" s="5" t="str">
        <f>_xlfn.IFS('Data set'!$D515&lt;=18.5,"Low",'Data set'!$D515&lt;=24.9,"Normal",'Data set'!$D515&lt;=29.9,"High",'Data set'!$D515&gt;29.9,"Very High")</f>
        <v>Very High</v>
      </c>
    </row>
    <row r="516" spans="1:17" x14ac:dyDescent="0.25">
      <c r="A516" s="3">
        <v>25</v>
      </c>
      <c r="B516" s="3" t="s">
        <v>9</v>
      </c>
      <c r="C516" s="4">
        <v>238.49</v>
      </c>
      <c r="D516" s="4">
        <v>26.37</v>
      </c>
      <c r="E516" s="3" t="s">
        <v>14</v>
      </c>
      <c r="F516" s="3">
        <v>175</v>
      </c>
      <c r="G516" s="3" t="s">
        <v>186</v>
      </c>
      <c r="H516" s="4">
        <v>4.08</v>
      </c>
      <c r="I516" s="3">
        <v>6</v>
      </c>
      <c r="J516" s="3" t="s">
        <v>3</v>
      </c>
      <c r="K516" s="3" t="s">
        <v>3</v>
      </c>
      <c r="L516" s="3">
        <v>116</v>
      </c>
      <c r="M516" s="3">
        <v>83</v>
      </c>
      <c r="N516" s="3" t="s">
        <v>17</v>
      </c>
      <c r="O516" s="3" t="str">
        <f>_xlfn.IFS('Data set'!$H516&lt;5.7,"Normal",'Data set'!$H516&lt;=6.4,"Prediabetes",'Data set'!$H516&lt;=7.5,"Diabetes",'Data set'!$H516&gt;=7.5,"Uncontrolled")</f>
        <v>Normal</v>
      </c>
      <c r="P516" s="3" t="str">
        <f>_xlfn.IFS('Data set'!$F516&lt;120,"Low",'Data set'!$F516&lt;=200,"Normal",'Data set'!$F516&lt;=240,"Boarderline",'Data set'!$F516&gt;=241,"High")</f>
        <v>Normal</v>
      </c>
      <c r="Q516" s="3" t="str">
        <f>_xlfn.IFS('Data set'!$D516&lt;=18.5,"Low",'Data set'!$D516&lt;=24.9,"Normal",'Data set'!$D516&lt;=29.9,"High",'Data set'!$D516&gt;29.9,"Very High")</f>
        <v>High</v>
      </c>
    </row>
    <row r="517" spans="1:17" x14ac:dyDescent="0.25">
      <c r="A517" s="5">
        <v>59</v>
      </c>
      <c r="B517" s="5" t="s">
        <v>9</v>
      </c>
      <c r="C517" s="6">
        <v>246.88</v>
      </c>
      <c r="D517" s="6">
        <v>19.46</v>
      </c>
      <c r="E517" s="5" t="s">
        <v>6</v>
      </c>
      <c r="F517" s="5">
        <v>295</v>
      </c>
      <c r="G517" s="5" t="s">
        <v>72</v>
      </c>
      <c r="H517" s="6">
        <v>9.64</v>
      </c>
      <c r="I517" s="5">
        <v>4</v>
      </c>
      <c r="J517" s="5" t="s">
        <v>4</v>
      </c>
      <c r="K517" s="5" t="s">
        <v>4</v>
      </c>
      <c r="L517" s="5">
        <v>120</v>
      </c>
      <c r="M517" s="5">
        <v>85</v>
      </c>
      <c r="N517" s="5" t="s">
        <v>8</v>
      </c>
      <c r="O517" s="5" t="str">
        <f>_xlfn.IFS('Data set'!$H517&lt;5.7,"Normal",'Data set'!$H517&lt;=6.4,"Prediabetes",'Data set'!$H517&lt;=7.5,"Diabetes",'Data set'!$H517&gt;=7.5,"Uncontrolled")</f>
        <v>Uncontrolled</v>
      </c>
      <c r="P517" s="5" t="str">
        <f>_xlfn.IFS('Data set'!$F517&lt;120,"Low",'Data set'!$F517&lt;=200,"Normal",'Data set'!$F517&lt;=240,"Boarderline",'Data set'!$F517&gt;=241,"High")</f>
        <v>High</v>
      </c>
      <c r="Q517" s="5" t="str">
        <f>_xlfn.IFS('Data set'!$D517&lt;=18.5,"Low",'Data set'!$D517&lt;=24.9,"Normal",'Data set'!$D517&lt;=29.9,"High",'Data set'!$D517&gt;29.9,"Very High")</f>
        <v>Normal</v>
      </c>
    </row>
    <row r="518" spans="1:17" x14ac:dyDescent="0.25">
      <c r="A518" s="3">
        <v>47</v>
      </c>
      <c r="B518" s="3" t="s">
        <v>0</v>
      </c>
      <c r="C518" s="4">
        <v>186.93</v>
      </c>
      <c r="D518" s="4">
        <v>22.89</v>
      </c>
      <c r="E518" s="3" t="s">
        <v>10</v>
      </c>
      <c r="F518" s="3">
        <v>227</v>
      </c>
      <c r="G518" s="3" t="s">
        <v>450</v>
      </c>
      <c r="H518" s="4">
        <v>4.5199999999999996</v>
      </c>
      <c r="I518" s="3">
        <v>7</v>
      </c>
      <c r="J518" s="3" t="s">
        <v>3</v>
      </c>
      <c r="K518" s="3" t="s">
        <v>4</v>
      </c>
      <c r="L518" s="3">
        <v>110</v>
      </c>
      <c r="M518" s="3">
        <v>64</v>
      </c>
      <c r="N518" s="3" t="s">
        <v>23</v>
      </c>
      <c r="O518" s="3" t="str">
        <f>_xlfn.IFS('Data set'!$H518&lt;5.7,"Normal",'Data set'!$H518&lt;=6.4,"Prediabetes",'Data set'!$H518&lt;=7.5,"Diabetes",'Data set'!$H518&gt;=7.5,"Uncontrolled")</f>
        <v>Normal</v>
      </c>
      <c r="P518" s="3" t="str">
        <f>_xlfn.IFS('Data set'!$F518&lt;120,"Low",'Data set'!$F518&lt;=200,"Normal",'Data set'!$F518&lt;=240,"Boarderline",'Data set'!$F518&gt;=241,"High")</f>
        <v>Boarderline</v>
      </c>
      <c r="Q518" s="3" t="str">
        <f>_xlfn.IFS('Data set'!$D518&lt;=18.5,"Low",'Data set'!$D518&lt;=24.9,"Normal",'Data set'!$D518&lt;=29.9,"High",'Data set'!$D518&gt;29.9,"Very High")</f>
        <v>Normal</v>
      </c>
    </row>
    <row r="519" spans="1:17" x14ac:dyDescent="0.25">
      <c r="A519" s="5">
        <v>52</v>
      </c>
      <c r="B519" s="5" t="s">
        <v>0</v>
      </c>
      <c r="C519" s="6">
        <v>254.08</v>
      </c>
      <c r="D519" s="6">
        <v>21</v>
      </c>
      <c r="E519" s="5" t="s">
        <v>1</v>
      </c>
      <c r="F519" s="5">
        <v>121</v>
      </c>
      <c r="G519" s="5" t="s">
        <v>451</v>
      </c>
      <c r="H519" s="6">
        <v>5.12</v>
      </c>
      <c r="I519" s="5">
        <v>4</v>
      </c>
      <c r="J519" s="5" t="s">
        <v>4</v>
      </c>
      <c r="K519" s="5" t="s">
        <v>4</v>
      </c>
      <c r="L519" s="5">
        <v>110</v>
      </c>
      <c r="M519" s="5">
        <v>67</v>
      </c>
      <c r="N519" s="5" t="s">
        <v>8</v>
      </c>
      <c r="O519" s="5" t="str">
        <f>_xlfn.IFS('Data set'!$H519&lt;5.7,"Normal",'Data set'!$H519&lt;=6.4,"Prediabetes",'Data set'!$H519&lt;=7.5,"Diabetes",'Data set'!$H519&gt;=7.5,"Uncontrolled")</f>
        <v>Normal</v>
      </c>
      <c r="P519" s="5" t="str">
        <f>_xlfn.IFS('Data set'!$F519&lt;120,"Low",'Data set'!$F519&lt;=200,"Normal",'Data set'!$F519&lt;=240,"Boarderline",'Data set'!$F519&gt;=241,"High")</f>
        <v>Normal</v>
      </c>
      <c r="Q519" s="5" t="str">
        <f>_xlfn.IFS('Data set'!$D519&lt;=18.5,"Low",'Data set'!$D519&lt;=24.9,"Normal",'Data set'!$D519&lt;=29.9,"High",'Data set'!$D519&gt;29.9,"Very High")</f>
        <v>Normal</v>
      </c>
    </row>
    <row r="520" spans="1:17" x14ac:dyDescent="0.25">
      <c r="A520" s="3">
        <v>51</v>
      </c>
      <c r="B520" s="3" t="s">
        <v>0</v>
      </c>
      <c r="C520" s="4">
        <v>135.13999999999999</v>
      </c>
      <c r="D520" s="4">
        <v>36.24</v>
      </c>
      <c r="E520" s="3" t="s">
        <v>6</v>
      </c>
      <c r="F520" s="3">
        <v>185</v>
      </c>
      <c r="G520" s="3" t="s">
        <v>317</v>
      </c>
      <c r="H520" s="4">
        <v>9.84</v>
      </c>
      <c r="I520" s="3">
        <v>0</v>
      </c>
      <c r="J520" s="3" t="s">
        <v>4</v>
      </c>
      <c r="K520" s="3" t="s">
        <v>3</v>
      </c>
      <c r="L520" s="3">
        <v>105</v>
      </c>
      <c r="M520" s="3">
        <v>74</v>
      </c>
      <c r="N520" s="3" t="s">
        <v>8</v>
      </c>
      <c r="O520" s="3" t="str">
        <f>_xlfn.IFS('Data set'!$H520&lt;5.7,"Normal",'Data set'!$H520&lt;=6.4,"Prediabetes",'Data set'!$H520&lt;=7.5,"Diabetes",'Data set'!$H520&gt;=7.5,"Uncontrolled")</f>
        <v>Uncontrolled</v>
      </c>
      <c r="P520" s="3" t="str">
        <f>_xlfn.IFS('Data set'!$F520&lt;120,"Low",'Data set'!$F520&lt;=200,"Normal",'Data set'!$F520&lt;=240,"Boarderline",'Data set'!$F520&gt;=241,"High")</f>
        <v>Normal</v>
      </c>
      <c r="Q520" s="3" t="str">
        <f>_xlfn.IFS('Data set'!$D520&lt;=18.5,"Low",'Data set'!$D520&lt;=24.9,"Normal",'Data set'!$D520&lt;=29.9,"High",'Data set'!$D520&gt;29.9,"Very High")</f>
        <v>Very High</v>
      </c>
    </row>
    <row r="521" spans="1:17" x14ac:dyDescent="0.25">
      <c r="A521" s="5">
        <v>45</v>
      </c>
      <c r="B521" s="5" t="s">
        <v>9</v>
      </c>
      <c r="C521" s="6">
        <v>130.18</v>
      </c>
      <c r="D521" s="6">
        <v>30.37</v>
      </c>
      <c r="E521" s="5" t="s">
        <v>10</v>
      </c>
      <c r="F521" s="5">
        <v>174</v>
      </c>
      <c r="G521" s="5" t="s">
        <v>452</v>
      </c>
      <c r="H521" s="6">
        <v>8.39</v>
      </c>
      <c r="I521" s="5">
        <v>6</v>
      </c>
      <c r="J521" s="5" t="s">
        <v>3</v>
      </c>
      <c r="K521" s="5" t="s">
        <v>4</v>
      </c>
      <c r="L521" s="5">
        <v>133</v>
      </c>
      <c r="M521" s="5">
        <v>89</v>
      </c>
      <c r="N521" s="5" t="s">
        <v>23</v>
      </c>
      <c r="O521" s="5" t="str">
        <f>_xlfn.IFS('Data set'!$H521&lt;5.7,"Normal",'Data set'!$H521&lt;=6.4,"Prediabetes",'Data set'!$H521&lt;=7.5,"Diabetes",'Data set'!$H521&gt;=7.5,"Uncontrolled")</f>
        <v>Uncontrolled</v>
      </c>
      <c r="P521" s="5" t="str">
        <f>_xlfn.IFS('Data set'!$F521&lt;120,"Low",'Data set'!$F521&lt;=200,"Normal",'Data set'!$F521&lt;=240,"Boarderline",'Data set'!$F521&gt;=241,"High")</f>
        <v>Normal</v>
      </c>
      <c r="Q521" s="5" t="str">
        <f>_xlfn.IFS('Data set'!$D521&lt;=18.5,"Low",'Data set'!$D521&lt;=24.9,"Normal",'Data set'!$D521&lt;=29.9,"High",'Data set'!$D521&gt;29.9,"Very High")</f>
        <v>Very High</v>
      </c>
    </row>
    <row r="522" spans="1:17" x14ac:dyDescent="0.25">
      <c r="A522" s="3">
        <v>46</v>
      </c>
      <c r="B522" s="3" t="s">
        <v>0</v>
      </c>
      <c r="C522" s="4">
        <v>218.27</v>
      </c>
      <c r="D522" s="4">
        <v>29.52</v>
      </c>
      <c r="E522" s="3" t="s">
        <v>10</v>
      </c>
      <c r="F522" s="3">
        <v>206</v>
      </c>
      <c r="G522" s="3" t="s">
        <v>453</v>
      </c>
      <c r="H522" s="4">
        <v>8.33</v>
      </c>
      <c r="I522" s="3">
        <v>6</v>
      </c>
      <c r="J522" s="3" t="s">
        <v>3</v>
      </c>
      <c r="K522" s="3" t="s">
        <v>3</v>
      </c>
      <c r="L522" s="3">
        <v>108</v>
      </c>
      <c r="M522" s="3">
        <v>78</v>
      </c>
      <c r="N522" s="3" t="s">
        <v>23</v>
      </c>
      <c r="O522" s="3" t="str">
        <f>_xlfn.IFS('Data set'!$H522&lt;5.7,"Normal",'Data set'!$H522&lt;=6.4,"Prediabetes",'Data set'!$H522&lt;=7.5,"Diabetes",'Data set'!$H522&gt;=7.5,"Uncontrolled")</f>
        <v>Uncontrolled</v>
      </c>
      <c r="P522" s="3" t="str">
        <f>_xlfn.IFS('Data set'!$F522&lt;120,"Low",'Data set'!$F522&lt;=200,"Normal",'Data set'!$F522&lt;=240,"Boarderline",'Data set'!$F522&gt;=241,"High")</f>
        <v>Boarderline</v>
      </c>
      <c r="Q522" s="3" t="str">
        <f>_xlfn.IFS('Data set'!$D522&lt;=18.5,"Low",'Data set'!$D522&lt;=24.9,"Normal",'Data set'!$D522&lt;=29.9,"High",'Data set'!$D522&gt;29.9,"Very High")</f>
        <v>High</v>
      </c>
    </row>
    <row r="523" spans="1:17" x14ac:dyDescent="0.25">
      <c r="A523" s="5">
        <v>49</v>
      </c>
      <c r="B523" s="5" t="s">
        <v>0</v>
      </c>
      <c r="C523" s="6">
        <v>180.67</v>
      </c>
      <c r="D523" s="6">
        <v>23.12</v>
      </c>
      <c r="E523" s="5" t="s">
        <v>14</v>
      </c>
      <c r="F523" s="5">
        <v>100</v>
      </c>
      <c r="G523" s="5" t="s">
        <v>454</v>
      </c>
      <c r="H523" s="6">
        <v>7.01</v>
      </c>
      <c r="I523" s="5">
        <v>4</v>
      </c>
      <c r="J523" s="5" t="s">
        <v>4</v>
      </c>
      <c r="K523" s="5" t="s">
        <v>4</v>
      </c>
      <c r="L523" s="5">
        <v>95</v>
      </c>
      <c r="M523" s="5">
        <v>79</v>
      </c>
      <c r="N523" s="5" t="s">
        <v>23</v>
      </c>
      <c r="O523" s="5" t="str">
        <f>_xlfn.IFS('Data set'!$H523&lt;5.7,"Normal",'Data set'!$H523&lt;=6.4,"Prediabetes",'Data set'!$H523&lt;=7.5,"Diabetes",'Data set'!$H523&gt;=7.5,"Uncontrolled")</f>
        <v>Diabetes</v>
      </c>
      <c r="P523" s="5" t="str">
        <f>_xlfn.IFS('Data set'!$F523&lt;120,"Low",'Data set'!$F523&lt;=200,"Normal",'Data set'!$F523&lt;=240,"Boarderline",'Data set'!$F523&gt;=241,"High")</f>
        <v>Low</v>
      </c>
      <c r="Q523" s="5" t="str">
        <f>_xlfn.IFS('Data set'!$D523&lt;=18.5,"Low",'Data set'!$D523&lt;=24.9,"Normal",'Data set'!$D523&lt;=29.9,"High",'Data set'!$D523&gt;29.9,"Very High")</f>
        <v>Normal</v>
      </c>
    </row>
    <row r="524" spans="1:17" x14ac:dyDescent="0.25">
      <c r="A524" s="3">
        <v>62</v>
      </c>
      <c r="B524" s="3" t="s">
        <v>9</v>
      </c>
      <c r="C524" s="4">
        <v>108.65</v>
      </c>
      <c r="D524" s="4">
        <v>35.44</v>
      </c>
      <c r="E524" s="3" t="s">
        <v>1</v>
      </c>
      <c r="F524" s="3">
        <v>130</v>
      </c>
      <c r="G524" s="3" t="s">
        <v>455</v>
      </c>
      <c r="H524" s="4">
        <v>9.0399999999999991</v>
      </c>
      <c r="I524" s="3">
        <v>7</v>
      </c>
      <c r="J524" s="3" t="s">
        <v>3</v>
      </c>
      <c r="K524" s="3" t="s">
        <v>3</v>
      </c>
      <c r="L524" s="3">
        <v>108</v>
      </c>
      <c r="M524" s="3">
        <v>71</v>
      </c>
      <c r="N524" s="3" t="s">
        <v>21</v>
      </c>
      <c r="O524" s="3" t="str">
        <f>_xlfn.IFS('Data set'!$H524&lt;5.7,"Normal",'Data set'!$H524&lt;=6.4,"Prediabetes",'Data set'!$H524&lt;=7.5,"Diabetes",'Data set'!$H524&gt;=7.5,"Uncontrolled")</f>
        <v>Uncontrolled</v>
      </c>
      <c r="P524" s="3" t="str">
        <f>_xlfn.IFS('Data set'!$F524&lt;120,"Low",'Data set'!$F524&lt;=200,"Normal",'Data set'!$F524&lt;=240,"Boarderline",'Data set'!$F524&gt;=241,"High")</f>
        <v>Normal</v>
      </c>
      <c r="Q524" s="3" t="str">
        <f>_xlfn.IFS('Data set'!$D524&lt;=18.5,"Low",'Data set'!$D524&lt;=24.9,"Normal",'Data set'!$D524&lt;=29.9,"High",'Data set'!$D524&gt;29.9,"Very High")</f>
        <v>Very High</v>
      </c>
    </row>
    <row r="525" spans="1:17" x14ac:dyDescent="0.25">
      <c r="A525" s="5">
        <v>60</v>
      </c>
      <c r="B525" s="5" t="s">
        <v>0</v>
      </c>
      <c r="C525" s="6">
        <v>278.87</v>
      </c>
      <c r="D525" s="6">
        <v>33.659999999999997</v>
      </c>
      <c r="E525" s="5" t="s">
        <v>10</v>
      </c>
      <c r="F525" s="5">
        <v>179</v>
      </c>
      <c r="G525" s="5" t="s">
        <v>456</v>
      </c>
      <c r="H525" s="6">
        <v>7.18</v>
      </c>
      <c r="I525" s="5">
        <v>0</v>
      </c>
      <c r="J525" s="5" t="s">
        <v>3</v>
      </c>
      <c r="K525" s="5" t="s">
        <v>3</v>
      </c>
      <c r="L525" s="5">
        <v>106</v>
      </c>
      <c r="M525" s="5">
        <v>78</v>
      </c>
      <c r="N525" s="5" t="s">
        <v>8</v>
      </c>
      <c r="O525" s="5" t="str">
        <f>_xlfn.IFS('Data set'!$H525&lt;5.7,"Normal",'Data set'!$H525&lt;=6.4,"Prediabetes",'Data set'!$H525&lt;=7.5,"Diabetes",'Data set'!$H525&gt;=7.5,"Uncontrolled")</f>
        <v>Diabetes</v>
      </c>
      <c r="P525" s="5" t="str">
        <f>_xlfn.IFS('Data set'!$F525&lt;120,"Low",'Data set'!$F525&lt;=200,"Normal",'Data set'!$F525&lt;=240,"Boarderline",'Data set'!$F525&gt;=241,"High")</f>
        <v>Normal</v>
      </c>
      <c r="Q525" s="5" t="str">
        <f>_xlfn.IFS('Data set'!$D525&lt;=18.5,"Low",'Data set'!$D525&lt;=24.9,"Normal",'Data set'!$D525&lt;=29.9,"High",'Data set'!$D525&gt;29.9,"Very High")</f>
        <v>Very High</v>
      </c>
    </row>
    <row r="526" spans="1:17" x14ac:dyDescent="0.25">
      <c r="A526" s="3">
        <v>74</v>
      </c>
      <c r="B526" s="3" t="s">
        <v>9</v>
      </c>
      <c r="C526" s="4">
        <v>82.18</v>
      </c>
      <c r="D526" s="4">
        <v>19.3</v>
      </c>
      <c r="E526" s="3" t="s">
        <v>1</v>
      </c>
      <c r="F526" s="3">
        <v>204</v>
      </c>
      <c r="G526" s="3" t="s">
        <v>457</v>
      </c>
      <c r="H526" s="4">
        <v>9.91</v>
      </c>
      <c r="I526" s="3">
        <v>7</v>
      </c>
      <c r="J526" s="3" t="s">
        <v>4</v>
      </c>
      <c r="K526" s="3" t="s">
        <v>3</v>
      </c>
      <c r="L526" s="3">
        <v>96</v>
      </c>
      <c r="M526" s="3">
        <v>77</v>
      </c>
      <c r="N526" s="3" t="s">
        <v>5</v>
      </c>
      <c r="O526" s="3" t="str">
        <f>_xlfn.IFS('Data set'!$H526&lt;5.7,"Normal",'Data set'!$H526&lt;=6.4,"Prediabetes",'Data set'!$H526&lt;=7.5,"Diabetes",'Data set'!$H526&gt;=7.5,"Uncontrolled")</f>
        <v>Uncontrolled</v>
      </c>
      <c r="P526" s="3" t="str">
        <f>_xlfn.IFS('Data set'!$F526&lt;120,"Low",'Data set'!$F526&lt;=200,"Normal",'Data set'!$F526&lt;=240,"Boarderline",'Data set'!$F526&gt;=241,"High")</f>
        <v>Boarderline</v>
      </c>
      <c r="Q526" s="3" t="str">
        <f>_xlfn.IFS('Data set'!$D526&lt;=18.5,"Low",'Data set'!$D526&lt;=24.9,"Normal",'Data set'!$D526&lt;=29.9,"High",'Data set'!$D526&gt;29.9,"Very High")</f>
        <v>Normal</v>
      </c>
    </row>
    <row r="527" spans="1:17" x14ac:dyDescent="0.25">
      <c r="A527" s="5">
        <v>77</v>
      </c>
      <c r="B527" s="5" t="s">
        <v>0</v>
      </c>
      <c r="C527" s="6">
        <v>80.75</v>
      </c>
      <c r="D527" s="6">
        <v>23.2</v>
      </c>
      <c r="E527" s="5" t="s">
        <v>1</v>
      </c>
      <c r="F527" s="5">
        <v>171</v>
      </c>
      <c r="G527" s="5" t="s">
        <v>458</v>
      </c>
      <c r="H527" s="6">
        <v>7.66</v>
      </c>
      <c r="I527" s="5">
        <v>7</v>
      </c>
      <c r="J527" s="5" t="s">
        <v>3</v>
      </c>
      <c r="K527" s="5" t="s">
        <v>3</v>
      </c>
      <c r="L527" s="5">
        <v>111</v>
      </c>
      <c r="M527" s="5">
        <v>73</v>
      </c>
      <c r="N527" s="5" t="s">
        <v>5</v>
      </c>
      <c r="O527" s="5" t="str">
        <f>_xlfn.IFS('Data set'!$H527&lt;5.7,"Normal",'Data set'!$H527&lt;=6.4,"Prediabetes",'Data set'!$H527&lt;=7.5,"Diabetes",'Data set'!$H527&gt;=7.5,"Uncontrolled")</f>
        <v>Uncontrolled</v>
      </c>
      <c r="P527" s="5" t="str">
        <f>_xlfn.IFS('Data set'!$F527&lt;120,"Low",'Data set'!$F527&lt;=200,"Normal",'Data set'!$F527&lt;=240,"Boarderline",'Data set'!$F527&gt;=241,"High")</f>
        <v>Normal</v>
      </c>
      <c r="Q527" s="5" t="str">
        <f>_xlfn.IFS('Data set'!$D527&lt;=18.5,"Low",'Data set'!$D527&lt;=24.9,"Normal",'Data set'!$D527&lt;=29.9,"High",'Data set'!$D527&gt;29.9,"Very High")</f>
        <v>Normal</v>
      </c>
    </row>
    <row r="528" spans="1:17" x14ac:dyDescent="0.25">
      <c r="A528" s="3">
        <v>67</v>
      </c>
      <c r="B528" s="3" t="s">
        <v>0</v>
      </c>
      <c r="C528" s="4">
        <v>142.1</v>
      </c>
      <c r="D528" s="4">
        <v>35.47</v>
      </c>
      <c r="E528" s="3" t="s">
        <v>1</v>
      </c>
      <c r="F528" s="3">
        <v>259</v>
      </c>
      <c r="G528" s="3" t="s">
        <v>403</v>
      </c>
      <c r="H528" s="4">
        <v>9.57</v>
      </c>
      <c r="I528" s="3">
        <v>0</v>
      </c>
      <c r="J528" s="3" t="s">
        <v>4</v>
      </c>
      <c r="K528" s="3" t="s">
        <v>3</v>
      </c>
      <c r="L528" s="3">
        <v>126</v>
      </c>
      <c r="M528" s="3">
        <v>70</v>
      </c>
      <c r="N528" s="3" t="s">
        <v>21</v>
      </c>
      <c r="O528" s="3" t="str">
        <f>_xlfn.IFS('Data set'!$H528&lt;5.7,"Normal",'Data set'!$H528&lt;=6.4,"Prediabetes",'Data set'!$H528&lt;=7.5,"Diabetes",'Data set'!$H528&gt;=7.5,"Uncontrolled")</f>
        <v>Uncontrolled</v>
      </c>
      <c r="P528" s="3" t="str">
        <f>_xlfn.IFS('Data set'!$F528&lt;120,"Low",'Data set'!$F528&lt;=200,"Normal",'Data set'!$F528&lt;=240,"Boarderline",'Data set'!$F528&gt;=241,"High")</f>
        <v>High</v>
      </c>
      <c r="Q528" s="3" t="str">
        <f>_xlfn.IFS('Data set'!$D528&lt;=18.5,"Low",'Data set'!$D528&lt;=24.9,"Normal",'Data set'!$D528&lt;=29.9,"High",'Data set'!$D528&gt;29.9,"Very High")</f>
        <v>Very High</v>
      </c>
    </row>
    <row r="529" spans="1:17" x14ac:dyDescent="0.25">
      <c r="A529" s="5">
        <v>61</v>
      </c>
      <c r="B529" s="5" t="s">
        <v>0</v>
      </c>
      <c r="C529" s="6">
        <v>227.14</v>
      </c>
      <c r="D529" s="6">
        <v>21.99</v>
      </c>
      <c r="E529" s="5" t="s">
        <v>10</v>
      </c>
      <c r="F529" s="5">
        <v>276</v>
      </c>
      <c r="G529" s="5" t="s">
        <v>459</v>
      </c>
      <c r="H529" s="6">
        <v>5.46</v>
      </c>
      <c r="I529" s="5">
        <v>3</v>
      </c>
      <c r="J529" s="5" t="s">
        <v>3</v>
      </c>
      <c r="K529" s="5" t="s">
        <v>3</v>
      </c>
      <c r="L529" s="5">
        <v>102</v>
      </c>
      <c r="M529" s="5">
        <v>90</v>
      </c>
      <c r="N529" s="5" t="s">
        <v>21</v>
      </c>
      <c r="O529" s="5" t="str">
        <f>_xlfn.IFS('Data set'!$H529&lt;5.7,"Normal",'Data set'!$H529&lt;=6.4,"Prediabetes",'Data set'!$H529&lt;=7.5,"Diabetes",'Data set'!$H529&gt;=7.5,"Uncontrolled")</f>
        <v>Normal</v>
      </c>
      <c r="P529" s="5" t="str">
        <f>_xlfn.IFS('Data set'!$F529&lt;120,"Low",'Data set'!$F529&lt;=200,"Normal",'Data set'!$F529&lt;=240,"Boarderline",'Data set'!$F529&gt;=241,"High")</f>
        <v>High</v>
      </c>
      <c r="Q529" s="5" t="str">
        <f>_xlfn.IFS('Data set'!$D529&lt;=18.5,"Low",'Data set'!$D529&lt;=24.9,"Normal",'Data set'!$D529&lt;=29.9,"High",'Data set'!$D529&gt;29.9,"Very High")</f>
        <v>Normal</v>
      </c>
    </row>
    <row r="530" spans="1:17" x14ac:dyDescent="0.25">
      <c r="A530" s="3">
        <v>70</v>
      </c>
      <c r="B530" s="3" t="s">
        <v>0</v>
      </c>
      <c r="C530" s="4">
        <v>197.59</v>
      </c>
      <c r="D530" s="4">
        <v>29</v>
      </c>
      <c r="E530" s="3" t="s">
        <v>14</v>
      </c>
      <c r="F530" s="3">
        <v>187</v>
      </c>
      <c r="G530" s="3" t="s">
        <v>130</v>
      </c>
      <c r="H530" s="4">
        <v>6.61</v>
      </c>
      <c r="I530" s="3">
        <v>6</v>
      </c>
      <c r="J530" s="3" t="s">
        <v>4</v>
      </c>
      <c r="K530" s="3" t="s">
        <v>4</v>
      </c>
      <c r="L530" s="3">
        <v>140</v>
      </c>
      <c r="M530" s="3">
        <v>61</v>
      </c>
      <c r="N530" s="3" t="s">
        <v>21</v>
      </c>
      <c r="O530" s="3" t="str">
        <f>_xlfn.IFS('Data set'!$H530&lt;5.7,"Normal",'Data set'!$H530&lt;=6.4,"Prediabetes",'Data set'!$H530&lt;=7.5,"Diabetes",'Data set'!$H530&gt;=7.5,"Uncontrolled")</f>
        <v>Diabetes</v>
      </c>
      <c r="P530" s="3" t="str">
        <f>_xlfn.IFS('Data set'!$F530&lt;120,"Low",'Data set'!$F530&lt;=200,"Normal",'Data set'!$F530&lt;=240,"Boarderline",'Data set'!$F530&gt;=241,"High")</f>
        <v>Normal</v>
      </c>
      <c r="Q530" s="3" t="str">
        <f>_xlfn.IFS('Data set'!$D530&lt;=18.5,"Low",'Data set'!$D530&lt;=24.9,"Normal",'Data set'!$D530&lt;=29.9,"High",'Data set'!$D530&gt;29.9,"Very High")</f>
        <v>High</v>
      </c>
    </row>
    <row r="531" spans="1:17" x14ac:dyDescent="0.25">
      <c r="A531" s="5">
        <v>34</v>
      </c>
      <c r="B531" s="5" t="s">
        <v>0</v>
      </c>
      <c r="C531" s="6">
        <v>136.35</v>
      </c>
      <c r="D531" s="6">
        <v>24.21</v>
      </c>
      <c r="E531" s="5" t="s">
        <v>6</v>
      </c>
      <c r="F531" s="5">
        <v>149</v>
      </c>
      <c r="G531" s="5" t="s">
        <v>460</v>
      </c>
      <c r="H531" s="6">
        <v>4.53</v>
      </c>
      <c r="I531" s="5">
        <v>2</v>
      </c>
      <c r="J531" s="5" t="s">
        <v>3</v>
      </c>
      <c r="K531" s="5" t="s">
        <v>3</v>
      </c>
      <c r="L531" s="5">
        <v>105</v>
      </c>
      <c r="M531" s="5">
        <v>88</v>
      </c>
      <c r="N531" s="5" t="s">
        <v>12</v>
      </c>
      <c r="O531" s="5" t="str">
        <f>_xlfn.IFS('Data set'!$H531&lt;5.7,"Normal",'Data set'!$H531&lt;=6.4,"Prediabetes",'Data set'!$H531&lt;=7.5,"Diabetes",'Data set'!$H531&gt;=7.5,"Uncontrolled")</f>
        <v>Normal</v>
      </c>
      <c r="P531" s="5" t="str">
        <f>_xlfn.IFS('Data set'!$F531&lt;120,"Low",'Data set'!$F531&lt;=200,"Normal",'Data set'!$F531&lt;=240,"Boarderline",'Data set'!$F531&gt;=241,"High")</f>
        <v>Normal</v>
      </c>
      <c r="Q531" s="5" t="str">
        <f>_xlfn.IFS('Data set'!$D531&lt;=18.5,"Low",'Data set'!$D531&lt;=24.9,"Normal",'Data set'!$D531&lt;=29.9,"High",'Data set'!$D531&gt;29.9,"Very High")</f>
        <v>Normal</v>
      </c>
    </row>
    <row r="532" spans="1:17" x14ac:dyDescent="0.25">
      <c r="A532" s="3">
        <v>28</v>
      </c>
      <c r="B532" s="3" t="s">
        <v>9</v>
      </c>
      <c r="C532" s="4">
        <v>168.5</v>
      </c>
      <c r="D532" s="4">
        <v>26.48</v>
      </c>
      <c r="E532" s="3" t="s">
        <v>10</v>
      </c>
      <c r="F532" s="3">
        <v>103</v>
      </c>
      <c r="G532" s="3" t="s">
        <v>461</v>
      </c>
      <c r="H532" s="4">
        <v>4.8</v>
      </c>
      <c r="I532" s="3">
        <v>5</v>
      </c>
      <c r="J532" s="3" t="s">
        <v>4</v>
      </c>
      <c r="K532" s="3" t="s">
        <v>4</v>
      </c>
      <c r="L532" s="3">
        <v>95</v>
      </c>
      <c r="M532" s="3">
        <v>88</v>
      </c>
      <c r="N532" s="3" t="s">
        <v>17</v>
      </c>
      <c r="O532" s="3" t="str">
        <f>_xlfn.IFS('Data set'!$H532&lt;5.7,"Normal",'Data set'!$H532&lt;=6.4,"Prediabetes",'Data set'!$H532&lt;=7.5,"Diabetes",'Data set'!$H532&gt;=7.5,"Uncontrolled")</f>
        <v>Normal</v>
      </c>
      <c r="P532" s="3" t="str">
        <f>_xlfn.IFS('Data set'!$F532&lt;120,"Low",'Data set'!$F532&lt;=200,"Normal",'Data set'!$F532&lt;=240,"Boarderline",'Data set'!$F532&gt;=241,"High")</f>
        <v>Low</v>
      </c>
      <c r="Q532" s="3" t="str">
        <f>_xlfn.IFS('Data set'!$D532&lt;=18.5,"Low",'Data set'!$D532&lt;=24.9,"Normal",'Data set'!$D532&lt;=29.9,"High",'Data set'!$D532&gt;29.9,"Very High")</f>
        <v>High</v>
      </c>
    </row>
    <row r="533" spans="1:17" x14ac:dyDescent="0.25">
      <c r="A533" s="5">
        <v>19</v>
      </c>
      <c r="B533" s="5" t="s">
        <v>9</v>
      </c>
      <c r="C533" s="6">
        <v>253.7</v>
      </c>
      <c r="D533" s="6">
        <v>25.2</v>
      </c>
      <c r="E533" s="5" t="s">
        <v>1</v>
      </c>
      <c r="F533" s="5">
        <v>295</v>
      </c>
      <c r="G533" s="5" t="s">
        <v>424</v>
      </c>
      <c r="H533" s="6">
        <v>4.57</v>
      </c>
      <c r="I533" s="5">
        <v>3</v>
      </c>
      <c r="J533" s="5" t="s">
        <v>3</v>
      </c>
      <c r="K533" s="5" t="s">
        <v>3</v>
      </c>
      <c r="L533" s="5">
        <v>121</v>
      </c>
      <c r="M533" s="5">
        <v>70</v>
      </c>
      <c r="N533" s="5" t="s">
        <v>17</v>
      </c>
      <c r="O533" s="5" t="str">
        <f>_xlfn.IFS('Data set'!$H533&lt;5.7,"Normal",'Data set'!$H533&lt;=6.4,"Prediabetes",'Data set'!$H533&lt;=7.5,"Diabetes",'Data set'!$H533&gt;=7.5,"Uncontrolled")</f>
        <v>Normal</v>
      </c>
      <c r="P533" s="5" t="str">
        <f>_xlfn.IFS('Data set'!$F533&lt;120,"Low",'Data set'!$F533&lt;=200,"Normal",'Data set'!$F533&lt;=240,"Boarderline",'Data set'!$F533&gt;=241,"High")</f>
        <v>High</v>
      </c>
      <c r="Q533" s="5" t="str">
        <f>_xlfn.IFS('Data set'!$D533&lt;=18.5,"Low",'Data set'!$D533&lt;=24.9,"Normal",'Data set'!$D533&lt;=29.9,"High",'Data set'!$D533&gt;29.9,"Very High")</f>
        <v>High</v>
      </c>
    </row>
    <row r="534" spans="1:17" x14ac:dyDescent="0.25">
      <c r="A534" s="3">
        <v>69</v>
      </c>
      <c r="B534" s="3" t="s">
        <v>0</v>
      </c>
      <c r="C534" s="4">
        <v>176.82</v>
      </c>
      <c r="D534" s="4">
        <v>21.78</v>
      </c>
      <c r="E534" s="3" t="s">
        <v>6</v>
      </c>
      <c r="F534" s="3">
        <v>146</v>
      </c>
      <c r="G534" s="3" t="s">
        <v>181</v>
      </c>
      <c r="H534" s="4">
        <v>9.48</v>
      </c>
      <c r="I534" s="3">
        <v>1</v>
      </c>
      <c r="J534" s="3" t="s">
        <v>3</v>
      </c>
      <c r="K534" s="3" t="s">
        <v>4</v>
      </c>
      <c r="L534" s="3">
        <v>104</v>
      </c>
      <c r="M534" s="3">
        <v>79</v>
      </c>
      <c r="N534" s="3" t="s">
        <v>21</v>
      </c>
      <c r="O534" s="3" t="str">
        <f>_xlfn.IFS('Data set'!$H534&lt;5.7,"Normal",'Data set'!$H534&lt;=6.4,"Prediabetes",'Data set'!$H534&lt;=7.5,"Diabetes",'Data set'!$H534&gt;=7.5,"Uncontrolled")</f>
        <v>Uncontrolled</v>
      </c>
      <c r="P534" s="3" t="str">
        <f>_xlfn.IFS('Data set'!$F534&lt;120,"Low",'Data set'!$F534&lt;=200,"Normal",'Data set'!$F534&lt;=240,"Boarderline",'Data set'!$F534&gt;=241,"High")</f>
        <v>Normal</v>
      </c>
      <c r="Q534" s="3" t="str">
        <f>_xlfn.IFS('Data set'!$D534&lt;=18.5,"Low",'Data set'!$D534&lt;=24.9,"Normal",'Data set'!$D534&lt;=29.9,"High",'Data set'!$D534&gt;29.9,"Very High")</f>
        <v>Normal</v>
      </c>
    </row>
    <row r="535" spans="1:17" x14ac:dyDescent="0.25">
      <c r="A535" s="5">
        <v>72</v>
      </c>
      <c r="B535" s="5" t="s">
        <v>0</v>
      </c>
      <c r="C535" s="6">
        <v>79.099999999999994</v>
      </c>
      <c r="D535" s="6">
        <v>28.77</v>
      </c>
      <c r="E535" s="5" t="s">
        <v>10</v>
      </c>
      <c r="F535" s="5">
        <v>265</v>
      </c>
      <c r="G535" s="5" t="s">
        <v>38</v>
      </c>
      <c r="H535" s="6">
        <v>9.9</v>
      </c>
      <c r="I535" s="5">
        <v>7</v>
      </c>
      <c r="J535" s="5" t="s">
        <v>4</v>
      </c>
      <c r="K535" s="5" t="s">
        <v>3</v>
      </c>
      <c r="L535" s="5">
        <v>122</v>
      </c>
      <c r="M535" s="5">
        <v>68</v>
      </c>
      <c r="N535" s="5" t="s">
        <v>5</v>
      </c>
      <c r="O535" s="5" t="str">
        <f>_xlfn.IFS('Data set'!$H535&lt;5.7,"Normal",'Data set'!$H535&lt;=6.4,"Prediabetes",'Data set'!$H535&lt;=7.5,"Diabetes",'Data set'!$H535&gt;=7.5,"Uncontrolled")</f>
        <v>Uncontrolled</v>
      </c>
      <c r="P535" s="5" t="str">
        <f>_xlfn.IFS('Data set'!$F535&lt;120,"Low",'Data set'!$F535&lt;=200,"Normal",'Data set'!$F535&lt;=240,"Boarderline",'Data set'!$F535&gt;=241,"High")</f>
        <v>High</v>
      </c>
      <c r="Q535" s="5" t="str">
        <f>_xlfn.IFS('Data set'!$D535&lt;=18.5,"Low",'Data set'!$D535&lt;=24.9,"Normal",'Data set'!$D535&lt;=29.9,"High",'Data set'!$D535&gt;29.9,"Very High")</f>
        <v>High</v>
      </c>
    </row>
    <row r="536" spans="1:17" x14ac:dyDescent="0.25">
      <c r="A536" s="3">
        <v>44</v>
      </c>
      <c r="B536" s="3" t="s">
        <v>9</v>
      </c>
      <c r="C536" s="4">
        <v>225.29</v>
      </c>
      <c r="D536" s="4">
        <v>30.33</v>
      </c>
      <c r="E536" s="3" t="s">
        <v>10</v>
      </c>
      <c r="F536" s="3">
        <v>243</v>
      </c>
      <c r="G536" s="3" t="s">
        <v>119</v>
      </c>
      <c r="H536" s="4">
        <v>7.02</v>
      </c>
      <c r="I536" s="3">
        <v>1</v>
      </c>
      <c r="J536" s="3" t="s">
        <v>3</v>
      </c>
      <c r="K536" s="3" t="s">
        <v>3</v>
      </c>
      <c r="L536" s="3">
        <v>111</v>
      </c>
      <c r="M536" s="3">
        <v>77</v>
      </c>
      <c r="N536" s="3" t="s">
        <v>23</v>
      </c>
      <c r="O536" s="3" t="str">
        <f>_xlfn.IFS('Data set'!$H536&lt;5.7,"Normal",'Data set'!$H536&lt;=6.4,"Prediabetes",'Data set'!$H536&lt;=7.5,"Diabetes",'Data set'!$H536&gt;=7.5,"Uncontrolled")</f>
        <v>Diabetes</v>
      </c>
      <c r="P536" s="3" t="str">
        <f>_xlfn.IFS('Data set'!$F536&lt;120,"Low",'Data set'!$F536&lt;=200,"Normal",'Data set'!$F536&lt;=240,"Boarderline",'Data set'!$F536&gt;=241,"High")</f>
        <v>High</v>
      </c>
      <c r="Q536" s="3" t="str">
        <f>_xlfn.IFS('Data set'!$D536&lt;=18.5,"Low",'Data set'!$D536&lt;=24.9,"Normal",'Data set'!$D536&lt;=29.9,"High",'Data set'!$D536&gt;29.9,"Very High")</f>
        <v>Very High</v>
      </c>
    </row>
    <row r="537" spans="1:17" x14ac:dyDescent="0.25">
      <c r="A537" s="5">
        <v>42</v>
      </c>
      <c r="B537" s="5" t="s">
        <v>9</v>
      </c>
      <c r="C537" s="6">
        <v>201.41</v>
      </c>
      <c r="D537" s="6">
        <v>28.21</v>
      </c>
      <c r="E537" s="5" t="s">
        <v>6</v>
      </c>
      <c r="F537" s="5">
        <v>132</v>
      </c>
      <c r="G537" s="5" t="s">
        <v>462</v>
      </c>
      <c r="H537" s="6">
        <v>9.5500000000000007</v>
      </c>
      <c r="I537" s="5">
        <v>7</v>
      </c>
      <c r="J537" s="5" t="s">
        <v>4</v>
      </c>
      <c r="K537" s="5" t="s">
        <v>3</v>
      </c>
      <c r="L537" s="5">
        <v>110</v>
      </c>
      <c r="M537" s="5">
        <v>74</v>
      </c>
      <c r="N537" s="5" t="s">
        <v>23</v>
      </c>
      <c r="O537" s="5" t="str">
        <f>_xlfn.IFS('Data set'!$H537&lt;5.7,"Normal",'Data set'!$H537&lt;=6.4,"Prediabetes",'Data set'!$H537&lt;=7.5,"Diabetes",'Data set'!$H537&gt;=7.5,"Uncontrolled")</f>
        <v>Uncontrolled</v>
      </c>
      <c r="P537" s="5" t="str">
        <f>_xlfn.IFS('Data set'!$F537&lt;120,"Low",'Data set'!$F537&lt;=200,"Normal",'Data set'!$F537&lt;=240,"Boarderline",'Data set'!$F537&gt;=241,"High")</f>
        <v>Normal</v>
      </c>
      <c r="Q537" s="5" t="str">
        <f>_xlfn.IFS('Data set'!$D537&lt;=18.5,"Low",'Data set'!$D537&lt;=24.9,"Normal",'Data set'!$D537&lt;=29.9,"High",'Data set'!$D537&gt;29.9,"Very High")</f>
        <v>High</v>
      </c>
    </row>
    <row r="538" spans="1:17" x14ac:dyDescent="0.25">
      <c r="A538" s="3">
        <v>52</v>
      </c>
      <c r="B538" s="3" t="s">
        <v>9</v>
      </c>
      <c r="C538" s="4">
        <v>230.36</v>
      </c>
      <c r="D538" s="4">
        <v>18.940000000000001</v>
      </c>
      <c r="E538" s="3" t="s">
        <v>14</v>
      </c>
      <c r="F538" s="3">
        <v>223</v>
      </c>
      <c r="G538" s="3" t="s">
        <v>463</v>
      </c>
      <c r="H538" s="4">
        <v>5.78</v>
      </c>
      <c r="I538" s="3">
        <v>4</v>
      </c>
      <c r="J538" s="3" t="s">
        <v>3</v>
      </c>
      <c r="K538" s="3" t="s">
        <v>4</v>
      </c>
      <c r="L538" s="3">
        <v>134</v>
      </c>
      <c r="M538" s="3">
        <v>83</v>
      </c>
      <c r="N538" s="3" t="s">
        <v>8</v>
      </c>
      <c r="O538" s="3" t="str">
        <f>_xlfn.IFS('Data set'!$H538&lt;5.7,"Normal",'Data set'!$H538&lt;=6.4,"Prediabetes",'Data set'!$H538&lt;=7.5,"Diabetes",'Data set'!$H538&gt;=7.5,"Uncontrolled")</f>
        <v>Prediabetes</v>
      </c>
      <c r="P538" s="3" t="str">
        <f>_xlfn.IFS('Data set'!$F538&lt;120,"Low",'Data set'!$F538&lt;=200,"Normal",'Data set'!$F538&lt;=240,"Boarderline",'Data set'!$F538&gt;=241,"High")</f>
        <v>Boarderline</v>
      </c>
      <c r="Q538" s="3" t="str">
        <f>_xlfn.IFS('Data set'!$D538&lt;=18.5,"Low",'Data set'!$D538&lt;=24.9,"Normal",'Data set'!$D538&lt;=29.9,"High",'Data set'!$D538&gt;29.9,"Very High")</f>
        <v>Normal</v>
      </c>
    </row>
    <row r="539" spans="1:17" x14ac:dyDescent="0.25">
      <c r="A539" s="5">
        <v>71</v>
      </c>
      <c r="B539" s="5" t="s">
        <v>0</v>
      </c>
      <c r="C539" s="6">
        <v>108.96</v>
      </c>
      <c r="D539" s="6">
        <v>30</v>
      </c>
      <c r="E539" s="5" t="s">
        <v>6</v>
      </c>
      <c r="F539" s="5">
        <v>128</v>
      </c>
      <c r="G539" s="5" t="s">
        <v>40</v>
      </c>
      <c r="H539" s="6">
        <v>6.96</v>
      </c>
      <c r="I539" s="5">
        <v>5</v>
      </c>
      <c r="J539" s="5" t="s">
        <v>3</v>
      </c>
      <c r="K539" s="5" t="s">
        <v>3</v>
      </c>
      <c r="L539" s="5">
        <v>91</v>
      </c>
      <c r="M539" s="5">
        <v>64</v>
      </c>
      <c r="N539" s="5" t="s">
        <v>5</v>
      </c>
      <c r="O539" s="5" t="str">
        <f>_xlfn.IFS('Data set'!$H539&lt;5.7,"Normal",'Data set'!$H539&lt;=6.4,"Prediabetes",'Data set'!$H539&lt;=7.5,"Diabetes",'Data set'!$H539&gt;=7.5,"Uncontrolled")</f>
        <v>Diabetes</v>
      </c>
      <c r="P539" s="5" t="str">
        <f>_xlfn.IFS('Data set'!$F539&lt;120,"Low",'Data set'!$F539&lt;=200,"Normal",'Data set'!$F539&lt;=240,"Boarderline",'Data set'!$F539&gt;=241,"High")</f>
        <v>Normal</v>
      </c>
      <c r="Q539" s="5" t="str">
        <f>_xlfn.IFS('Data set'!$D539&lt;=18.5,"Low",'Data set'!$D539&lt;=24.9,"Normal",'Data set'!$D539&lt;=29.9,"High",'Data set'!$D539&gt;29.9,"Very High")</f>
        <v>Very High</v>
      </c>
    </row>
    <row r="540" spans="1:17" x14ac:dyDescent="0.25">
      <c r="A540" s="3">
        <v>49</v>
      </c>
      <c r="B540" s="3" t="s">
        <v>0</v>
      </c>
      <c r="C540" s="4">
        <v>121.7</v>
      </c>
      <c r="D540" s="4">
        <v>19.809999999999999</v>
      </c>
      <c r="E540" s="3" t="s">
        <v>14</v>
      </c>
      <c r="F540" s="3">
        <v>102</v>
      </c>
      <c r="G540" s="3" t="s">
        <v>464</v>
      </c>
      <c r="H540" s="4">
        <v>9.26</v>
      </c>
      <c r="I540" s="3">
        <v>3</v>
      </c>
      <c r="J540" s="3" t="s">
        <v>4</v>
      </c>
      <c r="K540" s="3" t="s">
        <v>3</v>
      </c>
      <c r="L540" s="3">
        <v>119</v>
      </c>
      <c r="M540" s="3">
        <v>60</v>
      </c>
      <c r="N540" s="3" t="s">
        <v>23</v>
      </c>
      <c r="O540" s="3" t="str">
        <f>_xlfn.IFS('Data set'!$H540&lt;5.7,"Normal",'Data set'!$H540&lt;=6.4,"Prediabetes",'Data set'!$H540&lt;=7.5,"Diabetes",'Data set'!$H540&gt;=7.5,"Uncontrolled")</f>
        <v>Uncontrolled</v>
      </c>
      <c r="P540" s="3" t="str">
        <f>_xlfn.IFS('Data set'!$F540&lt;120,"Low",'Data set'!$F540&lt;=200,"Normal",'Data set'!$F540&lt;=240,"Boarderline",'Data set'!$F540&gt;=241,"High")</f>
        <v>Low</v>
      </c>
      <c r="Q540" s="3" t="str">
        <f>_xlfn.IFS('Data set'!$D540&lt;=18.5,"Low",'Data set'!$D540&lt;=24.9,"Normal",'Data set'!$D540&lt;=29.9,"High",'Data set'!$D540&gt;29.9,"Very High")</f>
        <v>Normal</v>
      </c>
    </row>
    <row r="541" spans="1:17" x14ac:dyDescent="0.25">
      <c r="A541" s="5">
        <v>24</v>
      </c>
      <c r="B541" s="5" t="s">
        <v>9</v>
      </c>
      <c r="C541" s="6">
        <v>275.54000000000002</v>
      </c>
      <c r="D541" s="6">
        <v>29.32</v>
      </c>
      <c r="E541" s="5" t="s">
        <v>1</v>
      </c>
      <c r="F541" s="5">
        <v>251</v>
      </c>
      <c r="G541" s="5" t="s">
        <v>262</v>
      </c>
      <c r="H541" s="6">
        <v>4.71</v>
      </c>
      <c r="I541" s="5">
        <v>7</v>
      </c>
      <c r="J541" s="5" t="s">
        <v>4</v>
      </c>
      <c r="K541" s="5" t="s">
        <v>4</v>
      </c>
      <c r="L541" s="5">
        <v>94</v>
      </c>
      <c r="M541" s="5">
        <v>82</v>
      </c>
      <c r="N541" s="5" t="s">
        <v>17</v>
      </c>
      <c r="O541" s="5" t="str">
        <f>_xlfn.IFS('Data set'!$H541&lt;5.7,"Normal",'Data set'!$H541&lt;=6.4,"Prediabetes",'Data set'!$H541&lt;=7.5,"Diabetes",'Data set'!$H541&gt;=7.5,"Uncontrolled")</f>
        <v>Normal</v>
      </c>
      <c r="P541" s="5" t="str">
        <f>_xlfn.IFS('Data set'!$F541&lt;120,"Low",'Data set'!$F541&lt;=200,"Normal",'Data set'!$F541&lt;=240,"Boarderline",'Data set'!$F541&gt;=241,"High")</f>
        <v>High</v>
      </c>
      <c r="Q541" s="5" t="str">
        <f>_xlfn.IFS('Data set'!$D541&lt;=18.5,"Low",'Data set'!$D541&lt;=24.9,"Normal",'Data set'!$D541&lt;=29.9,"High",'Data set'!$D541&gt;29.9,"Very High")</f>
        <v>High</v>
      </c>
    </row>
    <row r="542" spans="1:17" x14ac:dyDescent="0.25">
      <c r="A542" s="3">
        <v>23</v>
      </c>
      <c r="B542" s="3" t="s">
        <v>0</v>
      </c>
      <c r="C542" s="4">
        <v>199.34</v>
      </c>
      <c r="D542" s="4">
        <v>22.84</v>
      </c>
      <c r="E542" s="3" t="s">
        <v>6</v>
      </c>
      <c r="F542" s="3">
        <v>207</v>
      </c>
      <c r="G542" s="3" t="s">
        <v>304</v>
      </c>
      <c r="H542" s="4">
        <v>5.62</v>
      </c>
      <c r="I542" s="3">
        <v>7</v>
      </c>
      <c r="J542" s="3" t="s">
        <v>3</v>
      </c>
      <c r="K542" s="3" t="s">
        <v>4</v>
      </c>
      <c r="L542" s="3">
        <v>116</v>
      </c>
      <c r="M542" s="3">
        <v>72</v>
      </c>
      <c r="N542" s="3" t="s">
        <v>17</v>
      </c>
      <c r="O542" s="3" t="str">
        <f>_xlfn.IFS('Data set'!$H542&lt;5.7,"Normal",'Data set'!$H542&lt;=6.4,"Prediabetes",'Data set'!$H542&lt;=7.5,"Diabetes",'Data set'!$H542&gt;=7.5,"Uncontrolled")</f>
        <v>Normal</v>
      </c>
      <c r="P542" s="3" t="str">
        <f>_xlfn.IFS('Data set'!$F542&lt;120,"Low",'Data set'!$F542&lt;=200,"Normal",'Data set'!$F542&lt;=240,"Boarderline",'Data set'!$F542&gt;=241,"High")</f>
        <v>Boarderline</v>
      </c>
      <c r="Q542" s="3" t="str">
        <f>_xlfn.IFS('Data set'!$D542&lt;=18.5,"Low",'Data set'!$D542&lt;=24.9,"Normal",'Data set'!$D542&lt;=29.9,"High",'Data set'!$D542&gt;29.9,"Very High")</f>
        <v>Normal</v>
      </c>
    </row>
    <row r="543" spans="1:17" x14ac:dyDescent="0.25">
      <c r="A543" s="5">
        <v>75</v>
      </c>
      <c r="B543" s="5" t="s">
        <v>9</v>
      </c>
      <c r="C543" s="6">
        <v>281.94</v>
      </c>
      <c r="D543" s="6">
        <v>36.06</v>
      </c>
      <c r="E543" s="5" t="s">
        <v>14</v>
      </c>
      <c r="F543" s="5">
        <v>274</v>
      </c>
      <c r="G543" s="5" t="s">
        <v>465</v>
      </c>
      <c r="H543" s="6">
        <v>4.08</v>
      </c>
      <c r="I543" s="5">
        <v>4</v>
      </c>
      <c r="J543" s="5" t="s">
        <v>3</v>
      </c>
      <c r="K543" s="5" t="s">
        <v>3</v>
      </c>
      <c r="L543" s="5">
        <v>105</v>
      </c>
      <c r="M543" s="5">
        <v>85</v>
      </c>
      <c r="N543" s="5" t="s">
        <v>5</v>
      </c>
      <c r="O543" s="5" t="str">
        <f>_xlfn.IFS('Data set'!$H543&lt;5.7,"Normal",'Data set'!$H543&lt;=6.4,"Prediabetes",'Data set'!$H543&lt;=7.5,"Diabetes",'Data set'!$H543&gt;=7.5,"Uncontrolled")</f>
        <v>Normal</v>
      </c>
      <c r="P543" s="5" t="str">
        <f>_xlfn.IFS('Data set'!$F543&lt;120,"Low",'Data set'!$F543&lt;=200,"Normal",'Data set'!$F543&lt;=240,"Boarderline",'Data set'!$F543&gt;=241,"High")</f>
        <v>High</v>
      </c>
      <c r="Q543" s="5" t="str">
        <f>_xlfn.IFS('Data set'!$D543&lt;=18.5,"Low",'Data set'!$D543&lt;=24.9,"Normal",'Data set'!$D543&lt;=29.9,"High",'Data set'!$D543&gt;29.9,"Very High")</f>
        <v>Very High</v>
      </c>
    </row>
    <row r="544" spans="1:17" x14ac:dyDescent="0.25">
      <c r="A544" s="3">
        <v>29</v>
      </c>
      <c r="B544" s="3" t="s">
        <v>9</v>
      </c>
      <c r="C544" s="4">
        <v>112.47</v>
      </c>
      <c r="D544" s="4">
        <v>39.43</v>
      </c>
      <c r="E544" s="3" t="s">
        <v>10</v>
      </c>
      <c r="F544" s="3">
        <v>189</v>
      </c>
      <c r="G544" s="3" t="s">
        <v>466</v>
      </c>
      <c r="H544" s="4">
        <v>7.48</v>
      </c>
      <c r="I544" s="3">
        <v>4</v>
      </c>
      <c r="J544" s="3" t="s">
        <v>3</v>
      </c>
      <c r="K544" s="3" t="s">
        <v>4</v>
      </c>
      <c r="L544" s="3">
        <v>121</v>
      </c>
      <c r="M544" s="3">
        <v>80</v>
      </c>
      <c r="N544" s="3" t="s">
        <v>17</v>
      </c>
      <c r="O544" s="3" t="str">
        <f>_xlfn.IFS('Data set'!$H544&lt;5.7,"Normal",'Data set'!$H544&lt;=6.4,"Prediabetes",'Data set'!$H544&lt;=7.5,"Diabetes",'Data set'!$H544&gt;=7.5,"Uncontrolled")</f>
        <v>Diabetes</v>
      </c>
      <c r="P544" s="3" t="str">
        <f>_xlfn.IFS('Data set'!$F544&lt;120,"Low",'Data set'!$F544&lt;=200,"Normal",'Data set'!$F544&lt;=240,"Boarderline",'Data set'!$F544&gt;=241,"High")</f>
        <v>Normal</v>
      </c>
      <c r="Q544" s="3" t="str">
        <f>_xlfn.IFS('Data set'!$D544&lt;=18.5,"Low",'Data set'!$D544&lt;=24.9,"Normal",'Data set'!$D544&lt;=29.9,"High",'Data set'!$D544&gt;29.9,"Very High")</f>
        <v>Very High</v>
      </c>
    </row>
    <row r="545" spans="1:17" x14ac:dyDescent="0.25">
      <c r="A545" s="5">
        <v>59</v>
      </c>
      <c r="B545" s="5" t="s">
        <v>0</v>
      </c>
      <c r="C545" s="6">
        <v>199.89</v>
      </c>
      <c r="D545" s="6">
        <v>27.79</v>
      </c>
      <c r="E545" s="5" t="s">
        <v>14</v>
      </c>
      <c r="F545" s="5">
        <v>298</v>
      </c>
      <c r="G545" s="5" t="s">
        <v>372</v>
      </c>
      <c r="H545" s="6">
        <v>8.01</v>
      </c>
      <c r="I545" s="5">
        <v>1</v>
      </c>
      <c r="J545" s="5" t="s">
        <v>4</v>
      </c>
      <c r="K545" s="5" t="s">
        <v>4</v>
      </c>
      <c r="L545" s="5">
        <v>116</v>
      </c>
      <c r="M545" s="5">
        <v>67</v>
      </c>
      <c r="N545" s="5" t="s">
        <v>8</v>
      </c>
      <c r="O545" s="5" t="str">
        <f>_xlfn.IFS('Data set'!$H545&lt;5.7,"Normal",'Data set'!$H545&lt;=6.4,"Prediabetes",'Data set'!$H545&lt;=7.5,"Diabetes",'Data set'!$H545&gt;=7.5,"Uncontrolled")</f>
        <v>Uncontrolled</v>
      </c>
      <c r="P545" s="5" t="str">
        <f>_xlfn.IFS('Data set'!$F545&lt;120,"Low",'Data set'!$F545&lt;=200,"Normal",'Data set'!$F545&lt;=240,"Boarderline",'Data set'!$F545&gt;=241,"High")</f>
        <v>High</v>
      </c>
      <c r="Q545" s="5" t="str">
        <f>_xlfn.IFS('Data set'!$D545&lt;=18.5,"Low",'Data set'!$D545&lt;=24.9,"Normal",'Data set'!$D545&lt;=29.9,"High",'Data set'!$D545&gt;29.9,"Very High")</f>
        <v>High</v>
      </c>
    </row>
    <row r="546" spans="1:17" x14ac:dyDescent="0.25">
      <c r="A546" s="3">
        <v>47</v>
      </c>
      <c r="B546" s="3" t="s">
        <v>0</v>
      </c>
      <c r="C546" s="4">
        <v>223.13</v>
      </c>
      <c r="D546" s="4">
        <v>32.409999999999997</v>
      </c>
      <c r="E546" s="3" t="s">
        <v>1</v>
      </c>
      <c r="F546" s="3">
        <v>173</v>
      </c>
      <c r="G546" s="3" t="s">
        <v>432</v>
      </c>
      <c r="H546" s="4">
        <v>7.56</v>
      </c>
      <c r="I546" s="3">
        <v>1</v>
      </c>
      <c r="J546" s="3" t="s">
        <v>4</v>
      </c>
      <c r="K546" s="3" t="s">
        <v>3</v>
      </c>
      <c r="L546" s="3">
        <v>108</v>
      </c>
      <c r="M546" s="3">
        <v>80</v>
      </c>
      <c r="N546" s="3" t="s">
        <v>23</v>
      </c>
      <c r="O546" s="3" t="str">
        <f>_xlfn.IFS('Data set'!$H546&lt;5.7,"Normal",'Data set'!$H546&lt;=6.4,"Prediabetes",'Data set'!$H546&lt;=7.5,"Diabetes",'Data set'!$H546&gt;=7.5,"Uncontrolled")</f>
        <v>Uncontrolled</v>
      </c>
      <c r="P546" s="3" t="str">
        <f>_xlfn.IFS('Data set'!$F546&lt;120,"Low",'Data set'!$F546&lt;=200,"Normal",'Data set'!$F546&lt;=240,"Boarderline",'Data set'!$F546&gt;=241,"High")</f>
        <v>Normal</v>
      </c>
      <c r="Q546" s="3" t="str">
        <f>_xlfn.IFS('Data set'!$D546&lt;=18.5,"Low",'Data set'!$D546&lt;=24.9,"Normal",'Data set'!$D546&lt;=29.9,"High",'Data set'!$D546&gt;29.9,"Very High")</f>
        <v>Very High</v>
      </c>
    </row>
    <row r="547" spans="1:17" x14ac:dyDescent="0.25">
      <c r="A547" s="5">
        <v>67</v>
      </c>
      <c r="B547" s="5" t="s">
        <v>0</v>
      </c>
      <c r="C547" s="6">
        <v>186.73</v>
      </c>
      <c r="D547" s="6">
        <v>23.68</v>
      </c>
      <c r="E547" s="5" t="s">
        <v>10</v>
      </c>
      <c r="F547" s="5">
        <v>100</v>
      </c>
      <c r="G547" s="5" t="s">
        <v>34</v>
      </c>
      <c r="H547" s="6">
        <v>5.3</v>
      </c>
      <c r="I547" s="5">
        <v>1</v>
      </c>
      <c r="J547" s="5" t="s">
        <v>3</v>
      </c>
      <c r="K547" s="5" t="s">
        <v>4</v>
      </c>
      <c r="L547" s="5">
        <v>127</v>
      </c>
      <c r="M547" s="5">
        <v>85</v>
      </c>
      <c r="N547" s="5" t="s">
        <v>21</v>
      </c>
      <c r="O547" s="5" t="str">
        <f>_xlfn.IFS('Data set'!$H547&lt;5.7,"Normal",'Data set'!$H547&lt;=6.4,"Prediabetes",'Data set'!$H547&lt;=7.5,"Diabetes",'Data set'!$H547&gt;=7.5,"Uncontrolled")</f>
        <v>Normal</v>
      </c>
      <c r="P547" s="5" t="str">
        <f>_xlfn.IFS('Data set'!$F547&lt;120,"Low",'Data set'!$F547&lt;=200,"Normal",'Data set'!$F547&lt;=240,"Boarderline",'Data set'!$F547&gt;=241,"High")</f>
        <v>Low</v>
      </c>
      <c r="Q547" s="5" t="str">
        <f>_xlfn.IFS('Data set'!$D547&lt;=18.5,"Low",'Data set'!$D547&lt;=24.9,"Normal",'Data set'!$D547&lt;=29.9,"High",'Data set'!$D547&gt;29.9,"Very High")</f>
        <v>Normal</v>
      </c>
    </row>
    <row r="548" spans="1:17" x14ac:dyDescent="0.25">
      <c r="A548" s="3">
        <v>56</v>
      </c>
      <c r="B548" s="3" t="s">
        <v>0</v>
      </c>
      <c r="C548" s="4">
        <v>162.4</v>
      </c>
      <c r="D548" s="4">
        <v>37.01</v>
      </c>
      <c r="E548" s="3" t="s">
        <v>10</v>
      </c>
      <c r="F548" s="3">
        <v>210</v>
      </c>
      <c r="G548" s="3" t="s">
        <v>467</v>
      </c>
      <c r="H548" s="4">
        <v>8.18</v>
      </c>
      <c r="I548" s="3">
        <v>3</v>
      </c>
      <c r="J548" s="3" t="s">
        <v>3</v>
      </c>
      <c r="K548" s="3" t="s">
        <v>3</v>
      </c>
      <c r="L548" s="3">
        <v>127</v>
      </c>
      <c r="M548" s="3">
        <v>70</v>
      </c>
      <c r="N548" s="3" t="s">
        <v>8</v>
      </c>
      <c r="O548" s="3" t="str">
        <f>_xlfn.IFS('Data set'!$H548&lt;5.7,"Normal",'Data set'!$H548&lt;=6.4,"Prediabetes",'Data set'!$H548&lt;=7.5,"Diabetes",'Data set'!$H548&gt;=7.5,"Uncontrolled")</f>
        <v>Uncontrolled</v>
      </c>
      <c r="P548" s="3" t="str">
        <f>_xlfn.IFS('Data set'!$F548&lt;120,"Low",'Data set'!$F548&lt;=200,"Normal",'Data set'!$F548&lt;=240,"Boarderline",'Data set'!$F548&gt;=241,"High")</f>
        <v>Boarderline</v>
      </c>
      <c r="Q548" s="3" t="str">
        <f>_xlfn.IFS('Data set'!$D548&lt;=18.5,"Low",'Data set'!$D548&lt;=24.9,"Normal",'Data set'!$D548&lt;=29.9,"High",'Data set'!$D548&gt;29.9,"Very High")</f>
        <v>Very High</v>
      </c>
    </row>
    <row r="549" spans="1:17" x14ac:dyDescent="0.25">
      <c r="A549" s="5">
        <v>55</v>
      </c>
      <c r="B549" s="5" t="s">
        <v>9</v>
      </c>
      <c r="C549" s="6">
        <v>271.45999999999998</v>
      </c>
      <c r="D549" s="6">
        <v>33.07</v>
      </c>
      <c r="E549" s="5" t="s">
        <v>6</v>
      </c>
      <c r="F549" s="5">
        <v>186</v>
      </c>
      <c r="G549" s="5" t="s">
        <v>468</v>
      </c>
      <c r="H549" s="6">
        <v>7.7</v>
      </c>
      <c r="I549" s="5">
        <v>4</v>
      </c>
      <c r="J549" s="5" t="s">
        <v>4</v>
      </c>
      <c r="K549" s="5" t="s">
        <v>4</v>
      </c>
      <c r="L549" s="5">
        <v>92</v>
      </c>
      <c r="M549" s="5">
        <v>64</v>
      </c>
      <c r="N549" s="5" t="s">
        <v>8</v>
      </c>
      <c r="O549" s="5" t="str">
        <f>_xlfn.IFS('Data set'!$H549&lt;5.7,"Normal",'Data set'!$H549&lt;=6.4,"Prediabetes",'Data set'!$H549&lt;=7.5,"Diabetes",'Data set'!$H549&gt;=7.5,"Uncontrolled")</f>
        <v>Uncontrolled</v>
      </c>
      <c r="P549" s="5" t="str">
        <f>_xlfn.IFS('Data set'!$F549&lt;120,"Low",'Data set'!$F549&lt;=200,"Normal",'Data set'!$F549&lt;=240,"Boarderline",'Data set'!$F549&gt;=241,"High")</f>
        <v>Normal</v>
      </c>
      <c r="Q549" s="5" t="str">
        <f>_xlfn.IFS('Data set'!$D549&lt;=18.5,"Low",'Data set'!$D549&lt;=24.9,"Normal",'Data set'!$D549&lt;=29.9,"High",'Data set'!$D549&gt;29.9,"Very High")</f>
        <v>Very High</v>
      </c>
    </row>
    <row r="550" spans="1:17" x14ac:dyDescent="0.25">
      <c r="A550" s="3">
        <v>30</v>
      </c>
      <c r="B550" s="3" t="s">
        <v>0</v>
      </c>
      <c r="C550" s="4">
        <v>70.56</v>
      </c>
      <c r="D550" s="4">
        <v>19.670000000000002</v>
      </c>
      <c r="E550" s="3" t="s">
        <v>10</v>
      </c>
      <c r="F550" s="3">
        <v>148</v>
      </c>
      <c r="G550" s="3" t="s">
        <v>469</v>
      </c>
      <c r="H550" s="4">
        <v>5.05</v>
      </c>
      <c r="I550" s="3">
        <v>2</v>
      </c>
      <c r="J550" s="3" t="s">
        <v>4</v>
      </c>
      <c r="K550" s="3" t="s">
        <v>4</v>
      </c>
      <c r="L550" s="3">
        <v>105</v>
      </c>
      <c r="M550" s="3">
        <v>87</v>
      </c>
      <c r="N550" s="3" t="s">
        <v>17</v>
      </c>
      <c r="O550" s="3" t="str">
        <f>_xlfn.IFS('Data set'!$H550&lt;5.7,"Normal",'Data set'!$H550&lt;=6.4,"Prediabetes",'Data set'!$H550&lt;=7.5,"Diabetes",'Data set'!$H550&gt;=7.5,"Uncontrolled")</f>
        <v>Normal</v>
      </c>
      <c r="P550" s="3" t="str">
        <f>_xlfn.IFS('Data set'!$F550&lt;120,"Low",'Data set'!$F550&lt;=200,"Normal",'Data set'!$F550&lt;=240,"Boarderline",'Data set'!$F550&gt;=241,"High")</f>
        <v>Normal</v>
      </c>
      <c r="Q550" s="3" t="str">
        <f>_xlfn.IFS('Data set'!$D550&lt;=18.5,"Low",'Data set'!$D550&lt;=24.9,"Normal",'Data set'!$D550&lt;=29.9,"High",'Data set'!$D550&gt;29.9,"Very High")</f>
        <v>Normal</v>
      </c>
    </row>
    <row r="551" spans="1:17" x14ac:dyDescent="0.25">
      <c r="A551" s="5">
        <v>30</v>
      </c>
      <c r="B551" s="5" t="s">
        <v>0</v>
      </c>
      <c r="C551" s="6">
        <v>277.38</v>
      </c>
      <c r="D551" s="6">
        <v>29.36</v>
      </c>
      <c r="E551" s="5" t="s">
        <v>6</v>
      </c>
      <c r="F551" s="5">
        <v>166</v>
      </c>
      <c r="G551" s="5" t="s">
        <v>470</v>
      </c>
      <c r="H551" s="6">
        <v>8.65</v>
      </c>
      <c r="I551" s="5">
        <v>5</v>
      </c>
      <c r="J551" s="5" t="s">
        <v>3</v>
      </c>
      <c r="K551" s="5" t="s">
        <v>4</v>
      </c>
      <c r="L551" s="5">
        <v>92</v>
      </c>
      <c r="M551" s="5">
        <v>78</v>
      </c>
      <c r="N551" s="5" t="s">
        <v>17</v>
      </c>
      <c r="O551" s="5" t="str">
        <f>_xlfn.IFS('Data set'!$H551&lt;5.7,"Normal",'Data set'!$H551&lt;=6.4,"Prediabetes",'Data set'!$H551&lt;=7.5,"Diabetes",'Data set'!$H551&gt;=7.5,"Uncontrolled")</f>
        <v>Uncontrolled</v>
      </c>
      <c r="P551" s="5" t="str">
        <f>_xlfn.IFS('Data set'!$F551&lt;120,"Low",'Data set'!$F551&lt;=200,"Normal",'Data set'!$F551&lt;=240,"Boarderline",'Data set'!$F551&gt;=241,"High")</f>
        <v>Normal</v>
      </c>
      <c r="Q551" s="5" t="str">
        <f>_xlfn.IFS('Data set'!$D551&lt;=18.5,"Low",'Data set'!$D551&lt;=24.9,"Normal",'Data set'!$D551&lt;=29.9,"High",'Data set'!$D551&gt;29.9,"Very High")</f>
        <v>High</v>
      </c>
    </row>
    <row r="552" spans="1:17" x14ac:dyDescent="0.25">
      <c r="A552" s="3">
        <v>43</v>
      </c>
      <c r="B552" s="3" t="s">
        <v>9</v>
      </c>
      <c r="C552" s="4">
        <v>273.82</v>
      </c>
      <c r="D552" s="4">
        <v>20.73</v>
      </c>
      <c r="E552" s="3" t="s">
        <v>10</v>
      </c>
      <c r="F552" s="3">
        <v>269</v>
      </c>
      <c r="G552" s="3" t="s">
        <v>471</v>
      </c>
      <c r="H552" s="4">
        <v>9.42</v>
      </c>
      <c r="I552" s="3">
        <v>5</v>
      </c>
      <c r="J552" s="3" t="s">
        <v>4</v>
      </c>
      <c r="K552" s="3" t="s">
        <v>4</v>
      </c>
      <c r="L552" s="3">
        <v>98</v>
      </c>
      <c r="M552" s="3">
        <v>67</v>
      </c>
      <c r="N552" s="3" t="s">
        <v>23</v>
      </c>
      <c r="O552" s="3" t="str">
        <f>_xlfn.IFS('Data set'!$H552&lt;5.7,"Normal",'Data set'!$H552&lt;=6.4,"Prediabetes",'Data set'!$H552&lt;=7.5,"Diabetes",'Data set'!$H552&gt;=7.5,"Uncontrolled")</f>
        <v>Uncontrolled</v>
      </c>
      <c r="P552" s="3" t="str">
        <f>_xlfn.IFS('Data set'!$F552&lt;120,"Low",'Data set'!$F552&lt;=200,"Normal",'Data set'!$F552&lt;=240,"Boarderline",'Data set'!$F552&gt;=241,"High")</f>
        <v>High</v>
      </c>
      <c r="Q552" s="3" t="str">
        <f>_xlfn.IFS('Data set'!$D552&lt;=18.5,"Low",'Data set'!$D552&lt;=24.9,"Normal",'Data set'!$D552&lt;=29.9,"High",'Data set'!$D552&gt;29.9,"Very High")</f>
        <v>Normal</v>
      </c>
    </row>
    <row r="553" spans="1:17" x14ac:dyDescent="0.25">
      <c r="A553" s="5">
        <v>48</v>
      </c>
      <c r="B553" s="5" t="s">
        <v>0</v>
      </c>
      <c r="C553" s="6">
        <v>294.33999999999997</v>
      </c>
      <c r="D553" s="6">
        <v>25.25</v>
      </c>
      <c r="E553" s="5" t="s">
        <v>6</v>
      </c>
      <c r="F553" s="5">
        <v>276</v>
      </c>
      <c r="G553" s="5" t="s">
        <v>472</v>
      </c>
      <c r="H553" s="6">
        <v>7.35</v>
      </c>
      <c r="I553" s="5">
        <v>3</v>
      </c>
      <c r="J553" s="5" t="s">
        <v>4</v>
      </c>
      <c r="K553" s="5" t="s">
        <v>3</v>
      </c>
      <c r="L553" s="5">
        <v>109</v>
      </c>
      <c r="M553" s="5">
        <v>88</v>
      </c>
      <c r="N553" s="5" t="s">
        <v>23</v>
      </c>
      <c r="O553" s="5" t="str">
        <f>_xlfn.IFS('Data set'!$H553&lt;5.7,"Normal",'Data set'!$H553&lt;=6.4,"Prediabetes",'Data set'!$H553&lt;=7.5,"Diabetes",'Data set'!$H553&gt;=7.5,"Uncontrolled")</f>
        <v>Diabetes</v>
      </c>
      <c r="P553" s="5" t="str">
        <f>_xlfn.IFS('Data set'!$F553&lt;120,"Low",'Data set'!$F553&lt;=200,"Normal",'Data set'!$F553&lt;=240,"Boarderline",'Data set'!$F553&gt;=241,"High")</f>
        <v>High</v>
      </c>
      <c r="Q553" s="5" t="str">
        <f>_xlfn.IFS('Data set'!$D553&lt;=18.5,"Low",'Data set'!$D553&lt;=24.9,"Normal",'Data set'!$D553&lt;=29.9,"High",'Data set'!$D553&gt;29.9,"Very High")</f>
        <v>High</v>
      </c>
    </row>
    <row r="554" spans="1:17" x14ac:dyDescent="0.25">
      <c r="A554" s="3">
        <v>54</v>
      </c>
      <c r="B554" s="3" t="s">
        <v>0</v>
      </c>
      <c r="C554" s="4">
        <v>188.46</v>
      </c>
      <c r="D554" s="4">
        <v>35.51</v>
      </c>
      <c r="E554" s="3" t="s">
        <v>14</v>
      </c>
      <c r="F554" s="3">
        <v>259</v>
      </c>
      <c r="G554" s="3" t="s">
        <v>473</v>
      </c>
      <c r="H554" s="4">
        <v>7.84</v>
      </c>
      <c r="I554" s="3">
        <v>5</v>
      </c>
      <c r="J554" s="3" t="s">
        <v>3</v>
      </c>
      <c r="K554" s="3" t="s">
        <v>3</v>
      </c>
      <c r="L554" s="3">
        <v>128</v>
      </c>
      <c r="M554" s="3">
        <v>68</v>
      </c>
      <c r="N554" s="3" t="s">
        <v>8</v>
      </c>
      <c r="O554" s="3" t="str">
        <f>_xlfn.IFS('Data set'!$H554&lt;5.7,"Normal",'Data set'!$H554&lt;=6.4,"Prediabetes",'Data set'!$H554&lt;=7.5,"Diabetes",'Data set'!$H554&gt;=7.5,"Uncontrolled")</f>
        <v>Uncontrolled</v>
      </c>
      <c r="P554" s="3" t="str">
        <f>_xlfn.IFS('Data set'!$F554&lt;120,"Low",'Data set'!$F554&lt;=200,"Normal",'Data set'!$F554&lt;=240,"Boarderline",'Data set'!$F554&gt;=241,"High")</f>
        <v>High</v>
      </c>
      <c r="Q554" s="3" t="str">
        <f>_xlfn.IFS('Data set'!$D554&lt;=18.5,"Low",'Data set'!$D554&lt;=24.9,"Normal",'Data set'!$D554&lt;=29.9,"High",'Data set'!$D554&gt;29.9,"Very High")</f>
        <v>Very High</v>
      </c>
    </row>
    <row r="555" spans="1:17" x14ac:dyDescent="0.25">
      <c r="A555" s="5">
        <v>25</v>
      </c>
      <c r="B555" s="5" t="s">
        <v>0</v>
      </c>
      <c r="C555" s="6">
        <v>154.75</v>
      </c>
      <c r="D555" s="6">
        <v>31.79</v>
      </c>
      <c r="E555" s="5" t="s">
        <v>14</v>
      </c>
      <c r="F555" s="5">
        <v>292</v>
      </c>
      <c r="G555" s="5" t="s">
        <v>474</v>
      </c>
      <c r="H555" s="6">
        <v>8.82</v>
      </c>
      <c r="I555" s="5">
        <v>7</v>
      </c>
      <c r="J555" s="5" t="s">
        <v>4</v>
      </c>
      <c r="K555" s="5" t="s">
        <v>4</v>
      </c>
      <c r="L555" s="5">
        <v>93</v>
      </c>
      <c r="M555" s="5">
        <v>88</v>
      </c>
      <c r="N555" s="5" t="s">
        <v>17</v>
      </c>
      <c r="O555" s="5" t="str">
        <f>_xlfn.IFS('Data set'!$H555&lt;5.7,"Normal",'Data set'!$H555&lt;=6.4,"Prediabetes",'Data set'!$H555&lt;=7.5,"Diabetes",'Data set'!$H555&gt;=7.5,"Uncontrolled")</f>
        <v>Uncontrolled</v>
      </c>
      <c r="P555" s="5" t="str">
        <f>_xlfn.IFS('Data set'!$F555&lt;120,"Low",'Data set'!$F555&lt;=200,"Normal",'Data set'!$F555&lt;=240,"Boarderline",'Data set'!$F555&gt;=241,"High")</f>
        <v>High</v>
      </c>
      <c r="Q555" s="5" t="str">
        <f>_xlfn.IFS('Data set'!$D555&lt;=18.5,"Low",'Data set'!$D555&lt;=24.9,"Normal",'Data set'!$D555&lt;=29.9,"High",'Data set'!$D555&gt;29.9,"Very High")</f>
        <v>Very High</v>
      </c>
    </row>
    <row r="556" spans="1:17" x14ac:dyDescent="0.25">
      <c r="A556" s="3">
        <v>72</v>
      </c>
      <c r="B556" s="3" t="s">
        <v>9</v>
      </c>
      <c r="C556" s="4">
        <v>232.7</v>
      </c>
      <c r="D556" s="4">
        <v>26.61</v>
      </c>
      <c r="E556" s="3" t="s">
        <v>1</v>
      </c>
      <c r="F556" s="3">
        <v>274</v>
      </c>
      <c r="G556" s="3" t="s">
        <v>346</v>
      </c>
      <c r="H556" s="4">
        <v>5.22</v>
      </c>
      <c r="I556" s="3">
        <v>4</v>
      </c>
      <c r="J556" s="3" t="s">
        <v>3</v>
      </c>
      <c r="K556" s="3" t="s">
        <v>4</v>
      </c>
      <c r="L556" s="3">
        <v>132</v>
      </c>
      <c r="M556" s="3">
        <v>85</v>
      </c>
      <c r="N556" s="3" t="s">
        <v>5</v>
      </c>
      <c r="O556" s="3" t="str">
        <f>_xlfn.IFS('Data set'!$H556&lt;5.7,"Normal",'Data set'!$H556&lt;=6.4,"Prediabetes",'Data set'!$H556&lt;=7.5,"Diabetes",'Data set'!$H556&gt;=7.5,"Uncontrolled")</f>
        <v>Normal</v>
      </c>
      <c r="P556" s="3" t="str">
        <f>_xlfn.IFS('Data set'!$F556&lt;120,"Low",'Data set'!$F556&lt;=200,"Normal",'Data set'!$F556&lt;=240,"Boarderline",'Data set'!$F556&gt;=241,"High")</f>
        <v>High</v>
      </c>
      <c r="Q556" s="3" t="str">
        <f>_xlfn.IFS('Data set'!$D556&lt;=18.5,"Low",'Data set'!$D556&lt;=24.9,"Normal",'Data set'!$D556&lt;=29.9,"High",'Data set'!$D556&gt;29.9,"Very High")</f>
        <v>High</v>
      </c>
    </row>
    <row r="557" spans="1:17" x14ac:dyDescent="0.25">
      <c r="A557" s="5">
        <v>50</v>
      </c>
      <c r="B557" s="5" t="s">
        <v>9</v>
      </c>
      <c r="C557" s="6">
        <v>74.17</v>
      </c>
      <c r="D557" s="6">
        <v>18.28</v>
      </c>
      <c r="E557" s="5" t="s">
        <v>14</v>
      </c>
      <c r="F557" s="5">
        <v>300</v>
      </c>
      <c r="G557" s="5" t="s">
        <v>166</v>
      </c>
      <c r="H557" s="6">
        <v>8.1999999999999993</v>
      </c>
      <c r="I557" s="5">
        <v>6</v>
      </c>
      <c r="J557" s="5" t="s">
        <v>4</v>
      </c>
      <c r="K557" s="5" t="s">
        <v>3</v>
      </c>
      <c r="L557" s="5">
        <v>105</v>
      </c>
      <c r="M557" s="5">
        <v>80</v>
      </c>
      <c r="N557" s="5" t="s">
        <v>23</v>
      </c>
      <c r="O557" s="5" t="str">
        <f>_xlfn.IFS('Data set'!$H557&lt;5.7,"Normal",'Data set'!$H557&lt;=6.4,"Prediabetes",'Data set'!$H557&lt;=7.5,"Diabetes",'Data set'!$H557&gt;=7.5,"Uncontrolled")</f>
        <v>Uncontrolled</v>
      </c>
      <c r="P557" s="5" t="str">
        <f>_xlfn.IFS('Data set'!$F557&lt;120,"Low",'Data set'!$F557&lt;=200,"Normal",'Data set'!$F557&lt;=240,"Boarderline",'Data set'!$F557&gt;=241,"High")</f>
        <v>High</v>
      </c>
      <c r="Q557" s="5" t="str">
        <f>_xlfn.IFS('Data set'!$D557&lt;=18.5,"Low",'Data set'!$D557&lt;=24.9,"Normal",'Data set'!$D557&lt;=29.9,"High",'Data set'!$D557&gt;29.9,"Very High")</f>
        <v>Low</v>
      </c>
    </row>
    <row r="558" spans="1:17" x14ac:dyDescent="0.25">
      <c r="A558" s="3">
        <v>36</v>
      </c>
      <c r="B558" s="3" t="s">
        <v>0</v>
      </c>
      <c r="C558" s="4">
        <v>191.57</v>
      </c>
      <c r="D558" s="4">
        <v>25.13</v>
      </c>
      <c r="E558" s="3" t="s">
        <v>14</v>
      </c>
      <c r="F558" s="3">
        <v>248</v>
      </c>
      <c r="G558" s="3" t="s">
        <v>66</v>
      </c>
      <c r="H558" s="4">
        <v>6.99</v>
      </c>
      <c r="I558" s="3">
        <v>1</v>
      </c>
      <c r="J558" s="3" t="s">
        <v>3</v>
      </c>
      <c r="K558" s="3" t="s">
        <v>4</v>
      </c>
      <c r="L558" s="3">
        <v>133</v>
      </c>
      <c r="M558" s="3">
        <v>87</v>
      </c>
      <c r="N558" s="3" t="s">
        <v>12</v>
      </c>
      <c r="O558" s="3" t="str">
        <f>_xlfn.IFS('Data set'!$H558&lt;5.7,"Normal",'Data set'!$H558&lt;=6.4,"Prediabetes",'Data set'!$H558&lt;=7.5,"Diabetes",'Data set'!$H558&gt;=7.5,"Uncontrolled")</f>
        <v>Diabetes</v>
      </c>
      <c r="P558" s="3" t="str">
        <f>_xlfn.IFS('Data set'!$F558&lt;120,"Low",'Data set'!$F558&lt;=200,"Normal",'Data set'!$F558&lt;=240,"Boarderline",'Data set'!$F558&gt;=241,"High")</f>
        <v>High</v>
      </c>
      <c r="Q558" s="3" t="str">
        <f>_xlfn.IFS('Data set'!$D558&lt;=18.5,"Low",'Data set'!$D558&lt;=24.9,"Normal",'Data set'!$D558&lt;=29.9,"High",'Data set'!$D558&gt;29.9,"Very High")</f>
        <v>High</v>
      </c>
    </row>
    <row r="559" spans="1:17" x14ac:dyDescent="0.25">
      <c r="A559" s="5">
        <v>54</v>
      </c>
      <c r="B559" s="5" t="s">
        <v>0</v>
      </c>
      <c r="C559" s="6">
        <v>104.13</v>
      </c>
      <c r="D559" s="6">
        <v>26.33</v>
      </c>
      <c r="E559" s="5" t="s">
        <v>1</v>
      </c>
      <c r="F559" s="5">
        <v>290</v>
      </c>
      <c r="G559" s="5" t="s">
        <v>475</v>
      </c>
      <c r="H559" s="6">
        <v>6.87</v>
      </c>
      <c r="I559" s="5">
        <v>5</v>
      </c>
      <c r="J559" s="5" t="s">
        <v>3</v>
      </c>
      <c r="K559" s="5" t="s">
        <v>4</v>
      </c>
      <c r="L559" s="5">
        <v>123</v>
      </c>
      <c r="M559" s="5">
        <v>62</v>
      </c>
      <c r="N559" s="5" t="s">
        <v>8</v>
      </c>
      <c r="O559" s="5" t="str">
        <f>_xlfn.IFS('Data set'!$H559&lt;5.7,"Normal",'Data set'!$H559&lt;=6.4,"Prediabetes",'Data set'!$H559&lt;=7.5,"Diabetes",'Data set'!$H559&gt;=7.5,"Uncontrolled")</f>
        <v>Diabetes</v>
      </c>
      <c r="P559" s="5" t="str">
        <f>_xlfn.IFS('Data set'!$F559&lt;120,"Low",'Data set'!$F559&lt;=200,"Normal",'Data set'!$F559&lt;=240,"Boarderline",'Data set'!$F559&gt;=241,"High")</f>
        <v>High</v>
      </c>
      <c r="Q559" s="5" t="str">
        <f>_xlfn.IFS('Data set'!$D559&lt;=18.5,"Low",'Data set'!$D559&lt;=24.9,"Normal",'Data set'!$D559&lt;=29.9,"High",'Data set'!$D559&gt;29.9,"Very High")</f>
        <v>High</v>
      </c>
    </row>
    <row r="560" spans="1:17" x14ac:dyDescent="0.25">
      <c r="A560" s="3">
        <v>18</v>
      </c>
      <c r="B560" s="3" t="s">
        <v>0</v>
      </c>
      <c r="C560" s="4">
        <v>120.54</v>
      </c>
      <c r="D560" s="4">
        <v>31.65</v>
      </c>
      <c r="E560" s="3" t="s">
        <v>14</v>
      </c>
      <c r="F560" s="3">
        <v>107</v>
      </c>
      <c r="G560" s="3" t="s">
        <v>476</v>
      </c>
      <c r="H560" s="4">
        <v>7.24</v>
      </c>
      <c r="I560" s="3">
        <v>2</v>
      </c>
      <c r="J560" s="3" t="s">
        <v>4</v>
      </c>
      <c r="K560" s="3" t="s">
        <v>4</v>
      </c>
      <c r="L560" s="3">
        <v>137</v>
      </c>
      <c r="M560" s="3">
        <v>86</v>
      </c>
      <c r="N560" s="3" t="s">
        <v>17</v>
      </c>
      <c r="O560" s="3" t="str">
        <f>_xlfn.IFS('Data set'!$H560&lt;5.7,"Normal",'Data set'!$H560&lt;=6.4,"Prediabetes",'Data set'!$H560&lt;=7.5,"Diabetes",'Data set'!$H560&gt;=7.5,"Uncontrolled")</f>
        <v>Diabetes</v>
      </c>
      <c r="P560" s="3" t="str">
        <f>_xlfn.IFS('Data set'!$F560&lt;120,"Low",'Data set'!$F560&lt;=200,"Normal",'Data set'!$F560&lt;=240,"Boarderline",'Data set'!$F560&gt;=241,"High")</f>
        <v>Low</v>
      </c>
      <c r="Q560" s="3" t="str">
        <f>_xlfn.IFS('Data set'!$D560&lt;=18.5,"Low",'Data set'!$D560&lt;=24.9,"Normal",'Data set'!$D560&lt;=29.9,"High",'Data set'!$D560&gt;29.9,"Very High")</f>
        <v>Very High</v>
      </c>
    </row>
    <row r="561" spans="1:17" x14ac:dyDescent="0.25">
      <c r="A561" s="5">
        <v>75</v>
      </c>
      <c r="B561" s="5" t="s">
        <v>0</v>
      </c>
      <c r="C561" s="6">
        <v>111.68</v>
      </c>
      <c r="D561" s="6">
        <v>22.26</v>
      </c>
      <c r="E561" s="5" t="s">
        <v>1</v>
      </c>
      <c r="F561" s="5">
        <v>291</v>
      </c>
      <c r="G561" s="5" t="s">
        <v>477</v>
      </c>
      <c r="H561" s="6">
        <v>8.01</v>
      </c>
      <c r="I561" s="5">
        <v>5</v>
      </c>
      <c r="J561" s="5" t="s">
        <v>3</v>
      </c>
      <c r="K561" s="5" t="s">
        <v>3</v>
      </c>
      <c r="L561" s="5">
        <v>119</v>
      </c>
      <c r="M561" s="5">
        <v>80</v>
      </c>
      <c r="N561" s="5" t="s">
        <v>5</v>
      </c>
      <c r="O561" s="5" t="str">
        <f>_xlfn.IFS('Data set'!$H561&lt;5.7,"Normal",'Data set'!$H561&lt;=6.4,"Prediabetes",'Data set'!$H561&lt;=7.5,"Diabetes",'Data set'!$H561&gt;=7.5,"Uncontrolled")</f>
        <v>Uncontrolled</v>
      </c>
      <c r="P561" s="5" t="str">
        <f>_xlfn.IFS('Data set'!$F561&lt;120,"Low",'Data set'!$F561&lt;=200,"Normal",'Data set'!$F561&lt;=240,"Boarderline",'Data set'!$F561&gt;=241,"High")</f>
        <v>High</v>
      </c>
      <c r="Q561" s="5" t="str">
        <f>_xlfn.IFS('Data set'!$D561&lt;=18.5,"Low",'Data set'!$D561&lt;=24.9,"Normal",'Data set'!$D561&lt;=29.9,"High",'Data set'!$D561&gt;29.9,"Very High")</f>
        <v>Normal</v>
      </c>
    </row>
    <row r="562" spans="1:17" x14ac:dyDescent="0.25">
      <c r="A562" s="3">
        <v>27</v>
      </c>
      <c r="B562" s="3" t="s">
        <v>9</v>
      </c>
      <c r="C562" s="4">
        <v>286.39</v>
      </c>
      <c r="D562" s="4">
        <v>32.46</v>
      </c>
      <c r="E562" s="3" t="s">
        <v>1</v>
      </c>
      <c r="F562" s="3">
        <v>182</v>
      </c>
      <c r="G562" s="3" t="s">
        <v>426</v>
      </c>
      <c r="H562" s="4">
        <v>7.62</v>
      </c>
      <c r="I562" s="3">
        <v>3</v>
      </c>
      <c r="J562" s="3" t="s">
        <v>3</v>
      </c>
      <c r="K562" s="3" t="s">
        <v>3</v>
      </c>
      <c r="L562" s="3">
        <v>117</v>
      </c>
      <c r="M562" s="3">
        <v>79</v>
      </c>
      <c r="N562" s="3" t="s">
        <v>17</v>
      </c>
      <c r="O562" s="3" t="str">
        <f>_xlfn.IFS('Data set'!$H562&lt;5.7,"Normal",'Data set'!$H562&lt;=6.4,"Prediabetes",'Data set'!$H562&lt;=7.5,"Diabetes",'Data set'!$H562&gt;=7.5,"Uncontrolled")</f>
        <v>Uncontrolled</v>
      </c>
      <c r="P562" s="3" t="str">
        <f>_xlfn.IFS('Data set'!$F562&lt;120,"Low",'Data set'!$F562&lt;=200,"Normal",'Data set'!$F562&lt;=240,"Boarderline",'Data set'!$F562&gt;=241,"High")</f>
        <v>Normal</v>
      </c>
      <c r="Q562" s="3" t="str">
        <f>_xlfn.IFS('Data set'!$D562&lt;=18.5,"Low",'Data set'!$D562&lt;=24.9,"Normal",'Data set'!$D562&lt;=29.9,"High",'Data set'!$D562&gt;29.9,"Very High")</f>
        <v>Very High</v>
      </c>
    </row>
    <row r="563" spans="1:17" x14ac:dyDescent="0.25">
      <c r="A563" s="5">
        <v>50</v>
      </c>
      <c r="B563" s="5" t="s">
        <v>9</v>
      </c>
      <c r="C563" s="6">
        <v>95.46</v>
      </c>
      <c r="D563" s="6">
        <v>18.61</v>
      </c>
      <c r="E563" s="5" t="s">
        <v>6</v>
      </c>
      <c r="F563" s="5">
        <v>293</v>
      </c>
      <c r="G563" s="5" t="s">
        <v>478</v>
      </c>
      <c r="H563" s="6">
        <v>6.43</v>
      </c>
      <c r="I563" s="5">
        <v>2</v>
      </c>
      <c r="J563" s="5" t="s">
        <v>4</v>
      </c>
      <c r="K563" s="5" t="s">
        <v>3</v>
      </c>
      <c r="L563" s="5">
        <v>123</v>
      </c>
      <c r="M563" s="5">
        <v>86</v>
      </c>
      <c r="N563" s="5" t="s">
        <v>23</v>
      </c>
      <c r="O563" s="5" t="str">
        <f>_xlfn.IFS('Data set'!$H563&lt;5.7,"Normal",'Data set'!$H563&lt;=6.4,"Prediabetes",'Data set'!$H563&lt;=7.5,"Diabetes",'Data set'!$H563&gt;=7.5,"Uncontrolled")</f>
        <v>Diabetes</v>
      </c>
      <c r="P563" s="5" t="str">
        <f>_xlfn.IFS('Data set'!$F563&lt;120,"Low",'Data set'!$F563&lt;=200,"Normal",'Data set'!$F563&lt;=240,"Boarderline",'Data set'!$F563&gt;=241,"High")</f>
        <v>High</v>
      </c>
      <c r="Q563" s="5" t="str">
        <f>_xlfn.IFS('Data set'!$D563&lt;=18.5,"Low",'Data set'!$D563&lt;=24.9,"Normal",'Data set'!$D563&lt;=29.9,"High",'Data set'!$D563&gt;29.9,"Very High")</f>
        <v>Normal</v>
      </c>
    </row>
    <row r="564" spans="1:17" x14ac:dyDescent="0.25">
      <c r="A564" s="3">
        <v>41</v>
      </c>
      <c r="B564" s="3" t="s">
        <v>9</v>
      </c>
      <c r="C564" s="4">
        <v>83.45</v>
      </c>
      <c r="D564" s="4">
        <v>37.75</v>
      </c>
      <c r="E564" s="3" t="s">
        <v>14</v>
      </c>
      <c r="F564" s="3">
        <v>260</v>
      </c>
      <c r="G564" s="3" t="s">
        <v>321</v>
      </c>
      <c r="H564" s="4">
        <v>5.45</v>
      </c>
      <c r="I564" s="3">
        <v>5</v>
      </c>
      <c r="J564" s="3" t="s">
        <v>4</v>
      </c>
      <c r="K564" s="3" t="s">
        <v>4</v>
      </c>
      <c r="L564" s="3">
        <v>90</v>
      </c>
      <c r="M564" s="3">
        <v>85</v>
      </c>
      <c r="N564" s="3" t="s">
        <v>23</v>
      </c>
      <c r="O564" s="3" t="str">
        <f>_xlfn.IFS('Data set'!$H564&lt;5.7,"Normal",'Data set'!$H564&lt;=6.4,"Prediabetes",'Data set'!$H564&lt;=7.5,"Diabetes",'Data set'!$H564&gt;=7.5,"Uncontrolled")</f>
        <v>Normal</v>
      </c>
      <c r="P564" s="3" t="str">
        <f>_xlfn.IFS('Data set'!$F564&lt;120,"Low",'Data set'!$F564&lt;=200,"Normal",'Data set'!$F564&lt;=240,"Boarderline",'Data set'!$F564&gt;=241,"High")</f>
        <v>High</v>
      </c>
      <c r="Q564" s="3" t="str">
        <f>_xlfn.IFS('Data set'!$D564&lt;=18.5,"Low",'Data set'!$D564&lt;=24.9,"Normal",'Data set'!$D564&lt;=29.9,"High",'Data set'!$D564&gt;29.9,"Very High")</f>
        <v>Very High</v>
      </c>
    </row>
    <row r="565" spans="1:17" x14ac:dyDescent="0.25">
      <c r="A565" s="5">
        <v>48</v>
      </c>
      <c r="B565" s="5" t="s">
        <v>0</v>
      </c>
      <c r="C565" s="6">
        <v>155.26</v>
      </c>
      <c r="D565" s="6">
        <v>19.95</v>
      </c>
      <c r="E565" s="5" t="s">
        <v>1</v>
      </c>
      <c r="F565" s="5">
        <v>275</v>
      </c>
      <c r="G565" s="5" t="s">
        <v>150</v>
      </c>
      <c r="H565" s="6">
        <v>4.46</v>
      </c>
      <c r="I565" s="5">
        <v>4</v>
      </c>
      <c r="J565" s="5" t="s">
        <v>4</v>
      </c>
      <c r="K565" s="5" t="s">
        <v>4</v>
      </c>
      <c r="L565" s="5">
        <v>117</v>
      </c>
      <c r="M565" s="5">
        <v>72</v>
      </c>
      <c r="N565" s="5" t="s">
        <v>23</v>
      </c>
      <c r="O565" s="5" t="str">
        <f>_xlfn.IFS('Data set'!$H565&lt;5.7,"Normal",'Data set'!$H565&lt;=6.4,"Prediabetes",'Data set'!$H565&lt;=7.5,"Diabetes",'Data set'!$H565&gt;=7.5,"Uncontrolled")</f>
        <v>Normal</v>
      </c>
      <c r="P565" s="5" t="str">
        <f>_xlfn.IFS('Data set'!$F565&lt;120,"Low",'Data set'!$F565&lt;=200,"Normal",'Data set'!$F565&lt;=240,"Boarderline",'Data set'!$F565&gt;=241,"High")</f>
        <v>High</v>
      </c>
      <c r="Q565" s="5" t="str">
        <f>_xlfn.IFS('Data set'!$D565&lt;=18.5,"Low",'Data set'!$D565&lt;=24.9,"Normal",'Data set'!$D565&lt;=29.9,"High",'Data set'!$D565&gt;29.9,"Very High")</f>
        <v>Normal</v>
      </c>
    </row>
    <row r="566" spans="1:17" x14ac:dyDescent="0.25">
      <c r="A566" s="3">
        <v>74</v>
      </c>
      <c r="B566" s="3" t="s">
        <v>9</v>
      </c>
      <c r="C566" s="4">
        <v>284.88</v>
      </c>
      <c r="D566" s="4">
        <v>26.27</v>
      </c>
      <c r="E566" s="3" t="s">
        <v>1</v>
      </c>
      <c r="F566" s="3">
        <v>296</v>
      </c>
      <c r="G566" s="3" t="s">
        <v>479</v>
      </c>
      <c r="H566" s="4">
        <v>4.76</v>
      </c>
      <c r="I566" s="3">
        <v>7</v>
      </c>
      <c r="J566" s="3" t="s">
        <v>3</v>
      </c>
      <c r="K566" s="3" t="s">
        <v>4</v>
      </c>
      <c r="L566" s="3">
        <v>95</v>
      </c>
      <c r="M566" s="3">
        <v>87</v>
      </c>
      <c r="N566" s="3" t="s">
        <v>5</v>
      </c>
      <c r="O566" s="3" t="str">
        <f>_xlfn.IFS('Data set'!$H566&lt;5.7,"Normal",'Data set'!$H566&lt;=6.4,"Prediabetes",'Data set'!$H566&lt;=7.5,"Diabetes",'Data set'!$H566&gt;=7.5,"Uncontrolled")</f>
        <v>Normal</v>
      </c>
      <c r="P566" s="3" t="str">
        <f>_xlfn.IFS('Data set'!$F566&lt;120,"Low",'Data set'!$F566&lt;=200,"Normal",'Data set'!$F566&lt;=240,"Boarderline",'Data set'!$F566&gt;=241,"High")</f>
        <v>High</v>
      </c>
      <c r="Q566" s="3" t="str">
        <f>_xlfn.IFS('Data set'!$D566&lt;=18.5,"Low",'Data set'!$D566&lt;=24.9,"Normal",'Data set'!$D566&lt;=29.9,"High",'Data set'!$D566&gt;29.9,"Very High")</f>
        <v>High</v>
      </c>
    </row>
    <row r="567" spans="1:17" x14ac:dyDescent="0.25">
      <c r="A567" s="5">
        <v>28</v>
      </c>
      <c r="B567" s="5" t="s">
        <v>9</v>
      </c>
      <c r="C567" s="6">
        <v>109.75</v>
      </c>
      <c r="D567" s="6">
        <v>38.53</v>
      </c>
      <c r="E567" s="5" t="s">
        <v>14</v>
      </c>
      <c r="F567" s="5">
        <v>173</v>
      </c>
      <c r="G567" s="5" t="s">
        <v>480</v>
      </c>
      <c r="H567" s="6">
        <v>9.76</v>
      </c>
      <c r="I567" s="5">
        <v>4</v>
      </c>
      <c r="J567" s="5" t="s">
        <v>4</v>
      </c>
      <c r="K567" s="5" t="s">
        <v>3</v>
      </c>
      <c r="L567" s="5">
        <v>139</v>
      </c>
      <c r="M567" s="5">
        <v>66</v>
      </c>
      <c r="N567" s="5" t="s">
        <v>17</v>
      </c>
      <c r="O567" s="5" t="str">
        <f>_xlfn.IFS('Data set'!$H567&lt;5.7,"Normal",'Data set'!$H567&lt;=6.4,"Prediabetes",'Data set'!$H567&lt;=7.5,"Diabetes",'Data set'!$H567&gt;=7.5,"Uncontrolled")</f>
        <v>Uncontrolled</v>
      </c>
      <c r="P567" s="5" t="str">
        <f>_xlfn.IFS('Data set'!$F567&lt;120,"Low",'Data set'!$F567&lt;=200,"Normal",'Data set'!$F567&lt;=240,"Boarderline",'Data set'!$F567&gt;=241,"High")</f>
        <v>Normal</v>
      </c>
      <c r="Q567" s="5" t="str">
        <f>_xlfn.IFS('Data set'!$D567&lt;=18.5,"Low",'Data set'!$D567&lt;=24.9,"Normal",'Data set'!$D567&lt;=29.9,"High",'Data set'!$D567&gt;29.9,"Very High")</f>
        <v>Very High</v>
      </c>
    </row>
    <row r="568" spans="1:17" x14ac:dyDescent="0.25">
      <c r="A568" s="3">
        <v>18</v>
      </c>
      <c r="B568" s="3" t="s">
        <v>9</v>
      </c>
      <c r="C568" s="4">
        <v>131.31</v>
      </c>
      <c r="D568" s="4">
        <v>36.32</v>
      </c>
      <c r="E568" s="3" t="s">
        <v>1</v>
      </c>
      <c r="F568" s="3">
        <v>175</v>
      </c>
      <c r="G568" s="3" t="s">
        <v>443</v>
      </c>
      <c r="H568" s="4">
        <v>7.35</v>
      </c>
      <c r="I568" s="3">
        <v>6</v>
      </c>
      <c r="J568" s="3" t="s">
        <v>4</v>
      </c>
      <c r="K568" s="3" t="s">
        <v>3</v>
      </c>
      <c r="L568" s="3">
        <v>95</v>
      </c>
      <c r="M568" s="3">
        <v>83</v>
      </c>
      <c r="N568" s="3" t="s">
        <v>17</v>
      </c>
      <c r="O568" s="3" t="str">
        <f>_xlfn.IFS('Data set'!$H568&lt;5.7,"Normal",'Data set'!$H568&lt;=6.4,"Prediabetes",'Data set'!$H568&lt;=7.5,"Diabetes",'Data set'!$H568&gt;=7.5,"Uncontrolled")</f>
        <v>Diabetes</v>
      </c>
      <c r="P568" s="3" t="str">
        <f>_xlfn.IFS('Data set'!$F568&lt;120,"Low",'Data set'!$F568&lt;=200,"Normal",'Data set'!$F568&lt;=240,"Boarderline",'Data set'!$F568&gt;=241,"High")</f>
        <v>Normal</v>
      </c>
      <c r="Q568" s="3" t="str">
        <f>_xlfn.IFS('Data set'!$D568&lt;=18.5,"Low",'Data set'!$D568&lt;=24.9,"Normal",'Data set'!$D568&lt;=29.9,"High",'Data set'!$D568&gt;29.9,"Very High")</f>
        <v>Very High</v>
      </c>
    </row>
    <row r="569" spans="1:17" x14ac:dyDescent="0.25">
      <c r="A569" s="5">
        <v>48</v>
      </c>
      <c r="B569" s="5" t="s">
        <v>0</v>
      </c>
      <c r="C569" s="6">
        <v>217.82</v>
      </c>
      <c r="D569" s="6">
        <v>38.08</v>
      </c>
      <c r="E569" s="5" t="s">
        <v>6</v>
      </c>
      <c r="F569" s="5">
        <v>240</v>
      </c>
      <c r="G569" s="5" t="s">
        <v>140</v>
      </c>
      <c r="H569" s="6">
        <v>8.7100000000000009</v>
      </c>
      <c r="I569" s="5">
        <v>4</v>
      </c>
      <c r="J569" s="5" t="s">
        <v>3</v>
      </c>
      <c r="K569" s="5" t="s">
        <v>3</v>
      </c>
      <c r="L569" s="5">
        <v>93</v>
      </c>
      <c r="M569" s="5">
        <v>73</v>
      </c>
      <c r="N569" s="5" t="s">
        <v>23</v>
      </c>
      <c r="O569" s="5" t="str">
        <f>_xlfn.IFS('Data set'!$H569&lt;5.7,"Normal",'Data set'!$H569&lt;=6.4,"Prediabetes",'Data set'!$H569&lt;=7.5,"Diabetes",'Data set'!$H569&gt;=7.5,"Uncontrolled")</f>
        <v>Uncontrolled</v>
      </c>
      <c r="P569" s="5" t="str">
        <f>_xlfn.IFS('Data set'!$F569&lt;120,"Low",'Data set'!$F569&lt;=200,"Normal",'Data set'!$F569&lt;=240,"Boarderline",'Data set'!$F569&gt;=241,"High")</f>
        <v>Boarderline</v>
      </c>
      <c r="Q569" s="5" t="str">
        <f>_xlfn.IFS('Data set'!$D569&lt;=18.5,"Low",'Data set'!$D569&lt;=24.9,"Normal",'Data set'!$D569&lt;=29.9,"High",'Data set'!$D569&gt;29.9,"Very High")</f>
        <v>Very High</v>
      </c>
    </row>
    <row r="570" spans="1:17" x14ac:dyDescent="0.25">
      <c r="A570" s="3">
        <v>68</v>
      </c>
      <c r="B570" s="3" t="s">
        <v>0</v>
      </c>
      <c r="C570" s="4">
        <v>97.76</v>
      </c>
      <c r="D570" s="4">
        <v>28.17</v>
      </c>
      <c r="E570" s="3" t="s">
        <v>10</v>
      </c>
      <c r="F570" s="3">
        <v>183</v>
      </c>
      <c r="G570" s="3" t="s">
        <v>481</v>
      </c>
      <c r="H570" s="4">
        <v>5.86</v>
      </c>
      <c r="I570" s="3">
        <v>6</v>
      </c>
      <c r="J570" s="3" t="s">
        <v>4</v>
      </c>
      <c r="K570" s="3" t="s">
        <v>3</v>
      </c>
      <c r="L570" s="3">
        <v>110</v>
      </c>
      <c r="M570" s="3">
        <v>61</v>
      </c>
      <c r="N570" s="3" t="s">
        <v>21</v>
      </c>
      <c r="O570" s="3" t="str">
        <f>_xlfn.IFS('Data set'!$H570&lt;5.7,"Normal",'Data set'!$H570&lt;=6.4,"Prediabetes",'Data set'!$H570&lt;=7.5,"Diabetes",'Data set'!$H570&gt;=7.5,"Uncontrolled")</f>
        <v>Prediabetes</v>
      </c>
      <c r="P570" s="3" t="str">
        <f>_xlfn.IFS('Data set'!$F570&lt;120,"Low",'Data set'!$F570&lt;=200,"Normal",'Data set'!$F570&lt;=240,"Boarderline",'Data set'!$F570&gt;=241,"High")</f>
        <v>Normal</v>
      </c>
      <c r="Q570" s="3" t="str">
        <f>_xlfn.IFS('Data set'!$D570&lt;=18.5,"Low",'Data set'!$D570&lt;=24.9,"Normal",'Data set'!$D570&lt;=29.9,"High",'Data set'!$D570&gt;29.9,"Very High")</f>
        <v>High</v>
      </c>
    </row>
    <row r="571" spans="1:17" x14ac:dyDescent="0.25">
      <c r="A571" s="5">
        <v>32</v>
      </c>
      <c r="B571" s="5" t="s">
        <v>0</v>
      </c>
      <c r="C571" s="6">
        <v>217.5</v>
      </c>
      <c r="D571" s="6">
        <v>38.39</v>
      </c>
      <c r="E571" s="5" t="s">
        <v>6</v>
      </c>
      <c r="F571" s="5">
        <v>154</v>
      </c>
      <c r="G571" s="5" t="s">
        <v>482</v>
      </c>
      <c r="H571" s="6">
        <v>5.51</v>
      </c>
      <c r="I571" s="5">
        <v>0</v>
      </c>
      <c r="J571" s="5" t="s">
        <v>3</v>
      </c>
      <c r="K571" s="5" t="s">
        <v>3</v>
      </c>
      <c r="L571" s="5">
        <v>132</v>
      </c>
      <c r="M571" s="5">
        <v>79</v>
      </c>
      <c r="N571" s="5" t="s">
        <v>12</v>
      </c>
      <c r="O571" s="5" t="str">
        <f>_xlfn.IFS('Data set'!$H571&lt;5.7,"Normal",'Data set'!$H571&lt;=6.4,"Prediabetes",'Data set'!$H571&lt;=7.5,"Diabetes",'Data set'!$H571&gt;=7.5,"Uncontrolled")</f>
        <v>Normal</v>
      </c>
      <c r="P571" s="5" t="str">
        <f>_xlfn.IFS('Data set'!$F571&lt;120,"Low",'Data set'!$F571&lt;=200,"Normal",'Data set'!$F571&lt;=240,"Boarderline",'Data set'!$F571&gt;=241,"High")</f>
        <v>Normal</v>
      </c>
      <c r="Q571" s="5" t="str">
        <f>_xlfn.IFS('Data set'!$D571&lt;=18.5,"Low",'Data set'!$D571&lt;=24.9,"Normal",'Data set'!$D571&lt;=29.9,"High",'Data set'!$D571&gt;29.9,"Very High")</f>
        <v>Very High</v>
      </c>
    </row>
    <row r="572" spans="1:17" x14ac:dyDescent="0.25">
      <c r="A572" s="3">
        <v>53</v>
      </c>
      <c r="B572" s="3" t="s">
        <v>9</v>
      </c>
      <c r="C572" s="4">
        <v>193.1</v>
      </c>
      <c r="D572" s="4">
        <v>22.93</v>
      </c>
      <c r="E572" s="3" t="s">
        <v>6</v>
      </c>
      <c r="F572" s="3">
        <v>120</v>
      </c>
      <c r="G572" s="3" t="s">
        <v>483</v>
      </c>
      <c r="H572" s="4">
        <v>6.23</v>
      </c>
      <c r="I572" s="3">
        <v>7</v>
      </c>
      <c r="J572" s="3" t="s">
        <v>3</v>
      </c>
      <c r="K572" s="3" t="s">
        <v>3</v>
      </c>
      <c r="L572" s="3">
        <v>126</v>
      </c>
      <c r="M572" s="3">
        <v>68</v>
      </c>
      <c r="N572" s="3" t="s">
        <v>8</v>
      </c>
      <c r="O572" s="3" t="str">
        <f>_xlfn.IFS('Data set'!$H572&lt;5.7,"Normal",'Data set'!$H572&lt;=6.4,"Prediabetes",'Data set'!$H572&lt;=7.5,"Diabetes",'Data set'!$H572&gt;=7.5,"Uncontrolled")</f>
        <v>Prediabetes</v>
      </c>
      <c r="P572" s="3" t="str">
        <f>_xlfn.IFS('Data set'!$F572&lt;120,"Low",'Data set'!$F572&lt;=200,"Normal",'Data set'!$F572&lt;=240,"Boarderline",'Data set'!$F572&gt;=241,"High")</f>
        <v>Normal</v>
      </c>
      <c r="Q572" s="3" t="str">
        <f>_xlfn.IFS('Data set'!$D572&lt;=18.5,"Low",'Data set'!$D572&lt;=24.9,"Normal",'Data set'!$D572&lt;=29.9,"High",'Data set'!$D572&gt;29.9,"Very High")</f>
        <v>Normal</v>
      </c>
    </row>
    <row r="573" spans="1:17" x14ac:dyDescent="0.25">
      <c r="A573" s="5">
        <v>52</v>
      </c>
      <c r="B573" s="5" t="s">
        <v>0</v>
      </c>
      <c r="C573" s="6">
        <v>260.56</v>
      </c>
      <c r="D573" s="6">
        <v>29.56</v>
      </c>
      <c r="E573" s="5" t="s">
        <v>6</v>
      </c>
      <c r="F573" s="5">
        <v>127</v>
      </c>
      <c r="G573" s="5" t="s">
        <v>484</v>
      </c>
      <c r="H573" s="6">
        <v>8.48</v>
      </c>
      <c r="I573" s="5">
        <v>3</v>
      </c>
      <c r="J573" s="5" t="s">
        <v>3</v>
      </c>
      <c r="K573" s="5" t="s">
        <v>4</v>
      </c>
      <c r="L573" s="5">
        <v>139</v>
      </c>
      <c r="M573" s="5">
        <v>80</v>
      </c>
      <c r="N573" s="5" t="s">
        <v>8</v>
      </c>
      <c r="O573" s="5" t="str">
        <f>_xlfn.IFS('Data set'!$H573&lt;5.7,"Normal",'Data set'!$H573&lt;=6.4,"Prediabetes",'Data set'!$H573&lt;=7.5,"Diabetes",'Data set'!$H573&gt;=7.5,"Uncontrolled")</f>
        <v>Uncontrolled</v>
      </c>
      <c r="P573" s="5" t="str">
        <f>_xlfn.IFS('Data set'!$F573&lt;120,"Low",'Data set'!$F573&lt;=200,"Normal",'Data set'!$F573&lt;=240,"Boarderline",'Data set'!$F573&gt;=241,"High")</f>
        <v>Normal</v>
      </c>
      <c r="Q573" s="5" t="str">
        <f>_xlfn.IFS('Data set'!$D573&lt;=18.5,"Low",'Data set'!$D573&lt;=24.9,"Normal",'Data set'!$D573&lt;=29.9,"High",'Data set'!$D573&gt;29.9,"Very High")</f>
        <v>High</v>
      </c>
    </row>
    <row r="574" spans="1:17" x14ac:dyDescent="0.25">
      <c r="A574" s="3">
        <v>56</v>
      </c>
      <c r="B574" s="3" t="s">
        <v>9</v>
      </c>
      <c r="C574" s="4">
        <v>200.27</v>
      </c>
      <c r="D574" s="4">
        <v>26.96</v>
      </c>
      <c r="E574" s="3" t="s">
        <v>10</v>
      </c>
      <c r="F574" s="3">
        <v>218</v>
      </c>
      <c r="G574" s="3" t="s">
        <v>485</v>
      </c>
      <c r="H574" s="4">
        <v>6.15</v>
      </c>
      <c r="I574" s="3">
        <v>7</v>
      </c>
      <c r="J574" s="3" t="s">
        <v>4</v>
      </c>
      <c r="K574" s="3" t="s">
        <v>3</v>
      </c>
      <c r="L574" s="3">
        <v>124</v>
      </c>
      <c r="M574" s="3">
        <v>82</v>
      </c>
      <c r="N574" s="3" t="s">
        <v>8</v>
      </c>
      <c r="O574" s="3" t="str">
        <f>_xlfn.IFS('Data set'!$H574&lt;5.7,"Normal",'Data set'!$H574&lt;=6.4,"Prediabetes",'Data set'!$H574&lt;=7.5,"Diabetes",'Data set'!$H574&gt;=7.5,"Uncontrolled")</f>
        <v>Prediabetes</v>
      </c>
      <c r="P574" s="3" t="str">
        <f>_xlfn.IFS('Data set'!$F574&lt;120,"Low",'Data set'!$F574&lt;=200,"Normal",'Data set'!$F574&lt;=240,"Boarderline",'Data set'!$F574&gt;=241,"High")</f>
        <v>Boarderline</v>
      </c>
      <c r="Q574" s="3" t="str">
        <f>_xlfn.IFS('Data set'!$D574&lt;=18.5,"Low",'Data set'!$D574&lt;=24.9,"Normal",'Data set'!$D574&lt;=29.9,"High",'Data set'!$D574&gt;29.9,"Very High")</f>
        <v>High</v>
      </c>
    </row>
    <row r="575" spans="1:17" x14ac:dyDescent="0.25">
      <c r="A575" s="5">
        <v>49</v>
      </c>
      <c r="B575" s="5" t="s">
        <v>0</v>
      </c>
      <c r="C575" s="6">
        <v>260.02999999999997</v>
      </c>
      <c r="D575" s="6">
        <v>29.37</v>
      </c>
      <c r="E575" s="5" t="s">
        <v>14</v>
      </c>
      <c r="F575" s="5">
        <v>224</v>
      </c>
      <c r="G575" s="5" t="s">
        <v>54</v>
      </c>
      <c r="H575" s="6">
        <v>8.25</v>
      </c>
      <c r="I575" s="5">
        <v>5</v>
      </c>
      <c r="J575" s="5" t="s">
        <v>4</v>
      </c>
      <c r="K575" s="5" t="s">
        <v>3</v>
      </c>
      <c r="L575" s="5">
        <v>112</v>
      </c>
      <c r="M575" s="5">
        <v>89</v>
      </c>
      <c r="N575" s="5" t="s">
        <v>23</v>
      </c>
      <c r="O575" s="5" t="str">
        <f>_xlfn.IFS('Data set'!$H575&lt;5.7,"Normal",'Data set'!$H575&lt;=6.4,"Prediabetes",'Data set'!$H575&lt;=7.5,"Diabetes",'Data set'!$H575&gt;=7.5,"Uncontrolled")</f>
        <v>Uncontrolled</v>
      </c>
      <c r="P575" s="5" t="str">
        <f>_xlfn.IFS('Data set'!$F575&lt;120,"Low",'Data set'!$F575&lt;=200,"Normal",'Data set'!$F575&lt;=240,"Boarderline",'Data set'!$F575&gt;=241,"High")</f>
        <v>Boarderline</v>
      </c>
      <c r="Q575" s="5" t="str">
        <f>_xlfn.IFS('Data set'!$D575&lt;=18.5,"Low",'Data set'!$D575&lt;=24.9,"Normal",'Data set'!$D575&lt;=29.9,"High",'Data set'!$D575&gt;29.9,"Very High")</f>
        <v>High</v>
      </c>
    </row>
    <row r="576" spans="1:17" x14ac:dyDescent="0.25">
      <c r="A576" s="3">
        <v>44</v>
      </c>
      <c r="B576" s="3" t="s">
        <v>9</v>
      </c>
      <c r="C576" s="4">
        <v>238.64</v>
      </c>
      <c r="D576" s="4">
        <v>24.01</v>
      </c>
      <c r="E576" s="3" t="s">
        <v>1</v>
      </c>
      <c r="F576" s="3">
        <v>296</v>
      </c>
      <c r="G576" s="3" t="s">
        <v>486</v>
      </c>
      <c r="H576" s="4">
        <v>4.7300000000000004</v>
      </c>
      <c r="I576" s="3">
        <v>7</v>
      </c>
      <c r="J576" s="3" t="s">
        <v>3</v>
      </c>
      <c r="K576" s="3" t="s">
        <v>3</v>
      </c>
      <c r="L576" s="3">
        <v>90</v>
      </c>
      <c r="M576" s="3">
        <v>71</v>
      </c>
      <c r="N576" s="3" t="s">
        <v>23</v>
      </c>
      <c r="O576" s="3" t="str">
        <f>_xlfn.IFS('Data set'!$H576&lt;5.7,"Normal",'Data set'!$H576&lt;=6.4,"Prediabetes",'Data set'!$H576&lt;=7.5,"Diabetes",'Data set'!$H576&gt;=7.5,"Uncontrolled")</f>
        <v>Normal</v>
      </c>
      <c r="P576" s="3" t="str">
        <f>_xlfn.IFS('Data set'!$F576&lt;120,"Low",'Data set'!$F576&lt;=200,"Normal",'Data set'!$F576&lt;=240,"Boarderline",'Data set'!$F576&gt;=241,"High")</f>
        <v>High</v>
      </c>
      <c r="Q576" s="3" t="str">
        <f>_xlfn.IFS('Data set'!$D576&lt;=18.5,"Low",'Data set'!$D576&lt;=24.9,"Normal",'Data set'!$D576&lt;=29.9,"High",'Data set'!$D576&gt;29.9,"Very High")</f>
        <v>Normal</v>
      </c>
    </row>
    <row r="577" spans="1:17" x14ac:dyDescent="0.25">
      <c r="A577" s="5">
        <v>64</v>
      </c>
      <c r="B577" s="5" t="s">
        <v>0</v>
      </c>
      <c r="C577" s="6">
        <v>83.6</v>
      </c>
      <c r="D577" s="6">
        <v>35.72</v>
      </c>
      <c r="E577" s="5" t="s">
        <v>14</v>
      </c>
      <c r="F577" s="5">
        <v>262</v>
      </c>
      <c r="G577" s="5" t="s">
        <v>487</v>
      </c>
      <c r="H577" s="6">
        <v>9.99</v>
      </c>
      <c r="I577" s="5">
        <v>3</v>
      </c>
      <c r="J577" s="5" t="s">
        <v>4</v>
      </c>
      <c r="K577" s="5" t="s">
        <v>4</v>
      </c>
      <c r="L577" s="5">
        <v>119</v>
      </c>
      <c r="M577" s="5">
        <v>86</v>
      </c>
      <c r="N577" s="5" t="s">
        <v>21</v>
      </c>
      <c r="O577" s="5" t="str">
        <f>_xlfn.IFS('Data set'!$H577&lt;5.7,"Normal",'Data set'!$H577&lt;=6.4,"Prediabetes",'Data set'!$H577&lt;=7.5,"Diabetes",'Data set'!$H577&gt;=7.5,"Uncontrolled")</f>
        <v>Uncontrolled</v>
      </c>
      <c r="P577" s="5" t="str">
        <f>_xlfn.IFS('Data set'!$F577&lt;120,"Low",'Data set'!$F577&lt;=200,"Normal",'Data set'!$F577&lt;=240,"Boarderline",'Data set'!$F577&gt;=241,"High")</f>
        <v>High</v>
      </c>
      <c r="Q577" s="5" t="str">
        <f>_xlfn.IFS('Data set'!$D577&lt;=18.5,"Low",'Data set'!$D577&lt;=24.9,"Normal",'Data set'!$D577&lt;=29.9,"High",'Data set'!$D577&gt;29.9,"Very High")</f>
        <v>Very High</v>
      </c>
    </row>
    <row r="578" spans="1:17" x14ac:dyDescent="0.25">
      <c r="A578" s="3">
        <v>58</v>
      </c>
      <c r="B578" s="3" t="s">
        <v>0</v>
      </c>
      <c r="C578" s="4">
        <v>153.4</v>
      </c>
      <c r="D578" s="4">
        <v>35.090000000000003</v>
      </c>
      <c r="E578" s="3" t="s">
        <v>10</v>
      </c>
      <c r="F578" s="3">
        <v>267</v>
      </c>
      <c r="G578" s="3" t="s">
        <v>287</v>
      </c>
      <c r="H578" s="4">
        <v>4.95</v>
      </c>
      <c r="I578" s="3">
        <v>3</v>
      </c>
      <c r="J578" s="3" t="s">
        <v>3</v>
      </c>
      <c r="K578" s="3" t="s">
        <v>3</v>
      </c>
      <c r="L578" s="3">
        <v>103</v>
      </c>
      <c r="M578" s="3">
        <v>85</v>
      </c>
      <c r="N578" s="3" t="s">
        <v>8</v>
      </c>
      <c r="O578" s="3" t="str">
        <f>_xlfn.IFS('Data set'!$H578&lt;5.7,"Normal",'Data set'!$H578&lt;=6.4,"Prediabetes",'Data set'!$H578&lt;=7.5,"Diabetes",'Data set'!$H578&gt;=7.5,"Uncontrolled")</f>
        <v>Normal</v>
      </c>
      <c r="P578" s="3" t="str">
        <f>_xlfn.IFS('Data set'!$F578&lt;120,"Low",'Data set'!$F578&lt;=200,"Normal",'Data set'!$F578&lt;=240,"Boarderline",'Data set'!$F578&gt;=241,"High")</f>
        <v>High</v>
      </c>
      <c r="Q578" s="3" t="str">
        <f>_xlfn.IFS('Data set'!$D578&lt;=18.5,"Low",'Data set'!$D578&lt;=24.9,"Normal",'Data set'!$D578&lt;=29.9,"High",'Data set'!$D578&gt;29.9,"Very High")</f>
        <v>Very High</v>
      </c>
    </row>
    <row r="579" spans="1:17" x14ac:dyDescent="0.25">
      <c r="A579" s="5">
        <v>66</v>
      </c>
      <c r="B579" s="5" t="s">
        <v>0</v>
      </c>
      <c r="C579" s="6">
        <v>175.65</v>
      </c>
      <c r="D579" s="6">
        <v>26.05</v>
      </c>
      <c r="E579" s="5" t="s">
        <v>14</v>
      </c>
      <c r="F579" s="5">
        <v>127</v>
      </c>
      <c r="G579" s="5" t="s">
        <v>488</v>
      </c>
      <c r="H579" s="6">
        <v>6.85</v>
      </c>
      <c r="I579" s="5">
        <v>1</v>
      </c>
      <c r="J579" s="5" t="s">
        <v>3</v>
      </c>
      <c r="K579" s="5" t="s">
        <v>3</v>
      </c>
      <c r="L579" s="5">
        <v>120</v>
      </c>
      <c r="M579" s="5">
        <v>65</v>
      </c>
      <c r="N579" s="5" t="s">
        <v>21</v>
      </c>
      <c r="O579" s="5" t="str">
        <f>_xlfn.IFS('Data set'!$H579&lt;5.7,"Normal",'Data set'!$H579&lt;=6.4,"Prediabetes",'Data set'!$H579&lt;=7.5,"Diabetes",'Data set'!$H579&gt;=7.5,"Uncontrolled")</f>
        <v>Diabetes</v>
      </c>
      <c r="P579" s="5" t="str">
        <f>_xlfn.IFS('Data set'!$F579&lt;120,"Low",'Data set'!$F579&lt;=200,"Normal",'Data set'!$F579&lt;=240,"Boarderline",'Data set'!$F579&gt;=241,"High")</f>
        <v>Normal</v>
      </c>
      <c r="Q579" s="5" t="str">
        <f>_xlfn.IFS('Data set'!$D579&lt;=18.5,"Low",'Data set'!$D579&lt;=24.9,"Normal",'Data set'!$D579&lt;=29.9,"High",'Data set'!$D579&gt;29.9,"Very High")</f>
        <v>High</v>
      </c>
    </row>
    <row r="580" spans="1:17" x14ac:dyDescent="0.25">
      <c r="A580" s="3">
        <v>70</v>
      </c>
      <c r="B580" s="3" t="s">
        <v>9</v>
      </c>
      <c r="C580" s="4">
        <v>244.32</v>
      </c>
      <c r="D580" s="4">
        <v>30.63</v>
      </c>
      <c r="E580" s="3" t="s">
        <v>6</v>
      </c>
      <c r="F580" s="3">
        <v>141</v>
      </c>
      <c r="G580" s="3" t="s">
        <v>489</v>
      </c>
      <c r="H580" s="4">
        <v>6.49</v>
      </c>
      <c r="I580" s="3">
        <v>4</v>
      </c>
      <c r="J580" s="3" t="s">
        <v>4</v>
      </c>
      <c r="K580" s="3" t="s">
        <v>4</v>
      </c>
      <c r="L580" s="3">
        <v>92</v>
      </c>
      <c r="M580" s="3">
        <v>77</v>
      </c>
      <c r="N580" s="3" t="s">
        <v>21</v>
      </c>
      <c r="O580" s="3" t="str">
        <f>_xlfn.IFS('Data set'!$H580&lt;5.7,"Normal",'Data set'!$H580&lt;=6.4,"Prediabetes",'Data set'!$H580&lt;=7.5,"Diabetes",'Data set'!$H580&gt;=7.5,"Uncontrolled")</f>
        <v>Diabetes</v>
      </c>
      <c r="P580" s="3" t="str">
        <f>_xlfn.IFS('Data set'!$F580&lt;120,"Low",'Data set'!$F580&lt;=200,"Normal",'Data set'!$F580&lt;=240,"Boarderline",'Data set'!$F580&gt;=241,"High")</f>
        <v>Normal</v>
      </c>
      <c r="Q580" s="3" t="str">
        <f>_xlfn.IFS('Data set'!$D580&lt;=18.5,"Low",'Data set'!$D580&lt;=24.9,"Normal",'Data set'!$D580&lt;=29.9,"High",'Data set'!$D580&gt;29.9,"Very High")</f>
        <v>Very High</v>
      </c>
    </row>
    <row r="581" spans="1:17" x14ac:dyDescent="0.25">
      <c r="A581" s="5">
        <v>36</v>
      </c>
      <c r="B581" s="5" t="s">
        <v>9</v>
      </c>
      <c r="C581" s="6">
        <v>189.45</v>
      </c>
      <c r="D581" s="6">
        <v>27.48</v>
      </c>
      <c r="E581" s="5" t="s">
        <v>1</v>
      </c>
      <c r="F581" s="5">
        <v>281</v>
      </c>
      <c r="G581" s="5" t="s">
        <v>77</v>
      </c>
      <c r="H581" s="6">
        <v>9.42</v>
      </c>
      <c r="I581" s="5">
        <v>5</v>
      </c>
      <c r="J581" s="5" t="s">
        <v>4</v>
      </c>
      <c r="K581" s="5" t="s">
        <v>3</v>
      </c>
      <c r="L581" s="5">
        <v>111</v>
      </c>
      <c r="M581" s="5">
        <v>74</v>
      </c>
      <c r="N581" s="5" t="s">
        <v>12</v>
      </c>
      <c r="O581" s="5" t="str">
        <f>_xlfn.IFS('Data set'!$H581&lt;5.7,"Normal",'Data set'!$H581&lt;=6.4,"Prediabetes",'Data set'!$H581&lt;=7.5,"Diabetes",'Data set'!$H581&gt;=7.5,"Uncontrolled")</f>
        <v>Uncontrolled</v>
      </c>
      <c r="P581" s="5" t="str">
        <f>_xlfn.IFS('Data set'!$F581&lt;120,"Low",'Data set'!$F581&lt;=200,"Normal",'Data set'!$F581&lt;=240,"Boarderline",'Data set'!$F581&gt;=241,"High")</f>
        <v>High</v>
      </c>
      <c r="Q581" s="5" t="str">
        <f>_xlfn.IFS('Data set'!$D581&lt;=18.5,"Low",'Data set'!$D581&lt;=24.9,"Normal",'Data set'!$D581&lt;=29.9,"High",'Data set'!$D581&gt;29.9,"Very High")</f>
        <v>High</v>
      </c>
    </row>
    <row r="582" spans="1:17" x14ac:dyDescent="0.25">
      <c r="A582" s="3">
        <v>52</v>
      </c>
      <c r="B582" s="3" t="s">
        <v>0</v>
      </c>
      <c r="C582" s="4">
        <v>70.7</v>
      </c>
      <c r="D582" s="4">
        <v>20.49</v>
      </c>
      <c r="E582" s="3" t="s">
        <v>14</v>
      </c>
      <c r="F582" s="3">
        <v>115</v>
      </c>
      <c r="G582" s="3" t="s">
        <v>251</v>
      </c>
      <c r="H582" s="4">
        <v>8.3000000000000007</v>
      </c>
      <c r="I582" s="3">
        <v>2</v>
      </c>
      <c r="J582" s="3" t="s">
        <v>3</v>
      </c>
      <c r="K582" s="3" t="s">
        <v>3</v>
      </c>
      <c r="L582" s="3">
        <v>114</v>
      </c>
      <c r="M582" s="3">
        <v>61</v>
      </c>
      <c r="N582" s="3" t="s">
        <v>8</v>
      </c>
      <c r="O582" s="3" t="str">
        <f>_xlfn.IFS('Data set'!$H582&lt;5.7,"Normal",'Data set'!$H582&lt;=6.4,"Prediabetes",'Data set'!$H582&lt;=7.5,"Diabetes",'Data set'!$H582&gt;=7.5,"Uncontrolled")</f>
        <v>Uncontrolled</v>
      </c>
      <c r="P582" s="3" t="str">
        <f>_xlfn.IFS('Data set'!$F582&lt;120,"Low",'Data set'!$F582&lt;=200,"Normal",'Data set'!$F582&lt;=240,"Boarderline",'Data set'!$F582&gt;=241,"High")</f>
        <v>Low</v>
      </c>
      <c r="Q582" s="3" t="str">
        <f>_xlfn.IFS('Data set'!$D582&lt;=18.5,"Low",'Data set'!$D582&lt;=24.9,"Normal",'Data set'!$D582&lt;=29.9,"High",'Data set'!$D582&gt;29.9,"Very High")</f>
        <v>Normal</v>
      </c>
    </row>
    <row r="583" spans="1:17" x14ac:dyDescent="0.25">
      <c r="A583" s="5">
        <v>53</v>
      </c>
      <c r="B583" s="5" t="s">
        <v>0</v>
      </c>
      <c r="C583" s="6">
        <v>219.29</v>
      </c>
      <c r="D583" s="6">
        <v>22.97</v>
      </c>
      <c r="E583" s="5" t="s">
        <v>14</v>
      </c>
      <c r="F583" s="5">
        <v>180</v>
      </c>
      <c r="G583" s="5" t="s">
        <v>490</v>
      </c>
      <c r="H583" s="6">
        <v>9.59</v>
      </c>
      <c r="I583" s="5">
        <v>7</v>
      </c>
      <c r="J583" s="5" t="s">
        <v>3</v>
      </c>
      <c r="K583" s="5" t="s">
        <v>4</v>
      </c>
      <c r="L583" s="5">
        <v>134</v>
      </c>
      <c r="M583" s="5">
        <v>70</v>
      </c>
      <c r="N583" s="5" t="s">
        <v>8</v>
      </c>
      <c r="O583" s="5" t="str">
        <f>_xlfn.IFS('Data set'!$H583&lt;5.7,"Normal",'Data set'!$H583&lt;=6.4,"Prediabetes",'Data set'!$H583&lt;=7.5,"Diabetes",'Data set'!$H583&gt;=7.5,"Uncontrolled")</f>
        <v>Uncontrolled</v>
      </c>
      <c r="P583" s="5" t="str">
        <f>_xlfn.IFS('Data set'!$F583&lt;120,"Low",'Data set'!$F583&lt;=200,"Normal",'Data set'!$F583&lt;=240,"Boarderline",'Data set'!$F583&gt;=241,"High")</f>
        <v>Normal</v>
      </c>
      <c r="Q583" s="5" t="str">
        <f>_xlfn.IFS('Data set'!$D583&lt;=18.5,"Low",'Data set'!$D583&lt;=24.9,"Normal",'Data set'!$D583&lt;=29.9,"High",'Data set'!$D583&gt;29.9,"Very High")</f>
        <v>Normal</v>
      </c>
    </row>
    <row r="584" spans="1:17" x14ac:dyDescent="0.25">
      <c r="A584" s="3">
        <v>41</v>
      </c>
      <c r="B584" s="3" t="s">
        <v>0</v>
      </c>
      <c r="C584" s="4">
        <v>297.89999999999998</v>
      </c>
      <c r="D584" s="4">
        <v>33.9</v>
      </c>
      <c r="E584" s="3" t="s">
        <v>14</v>
      </c>
      <c r="F584" s="3">
        <v>215</v>
      </c>
      <c r="G584" s="3" t="s">
        <v>167</v>
      </c>
      <c r="H584" s="4">
        <v>4.03</v>
      </c>
      <c r="I584" s="3">
        <v>6</v>
      </c>
      <c r="J584" s="3" t="s">
        <v>4</v>
      </c>
      <c r="K584" s="3" t="s">
        <v>3</v>
      </c>
      <c r="L584" s="3">
        <v>102</v>
      </c>
      <c r="M584" s="3">
        <v>89</v>
      </c>
      <c r="N584" s="3" t="s">
        <v>23</v>
      </c>
      <c r="O584" s="3" t="str">
        <f>_xlfn.IFS('Data set'!$H584&lt;5.7,"Normal",'Data set'!$H584&lt;=6.4,"Prediabetes",'Data set'!$H584&lt;=7.5,"Diabetes",'Data set'!$H584&gt;=7.5,"Uncontrolled")</f>
        <v>Normal</v>
      </c>
      <c r="P584" s="3" t="str">
        <f>_xlfn.IFS('Data set'!$F584&lt;120,"Low",'Data set'!$F584&lt;=200,"Normal",'Data set'!$F584&lt;=240,"Boarderline",'Data set'!$F584&gt;=241,"High")</f>
        <v>Boarderline</v>
      </c>
      <c r="Q584" s="3" t="str">
        <f>_xlfn.IFS('Data set'!$D584&lt;=18.5,"Low",'Data set'!$D584&lt;=24.9,"Normal",'Data set'!$D584&lt;=29.9,"High",'Data set'!$D584&gt;29.9,"Very High")</f>
        <v>Very High</v>
      </c>
    </row>
    <row r="585" spans="1:17" x14ac:dyDescent="0.25">
      <c r="A585" s="5">
        <v>55</v>
      </c>
      <c r="B585" s="5" t="s">
        <v>9</v>
      </c>
      <c r="C585" s="6">
        <v>157</v>
      </c>
      <c r="D585" s="6">
        <v>25.32</v>
      </c>
      <c r="E585" s="5" t="s">
        <v>6</v>
      </c>
      <c r="F585" s="5">
        <v>204</v>
      </c>
      <c r="G585" s="5" t="s">
        <v>491</v>
      </c>
      <c r="H585" s="6">
        <v>9.43</v>
      </c>
      <c r="I585" s="5">
        <v>1</v>
      </c>
      <c r="J585" s="5" t="s">
        <v>3</v>
      </c>
      <c r="K585" s="5" t="s">
        <v>4</v>
      </c>
      <c r="L585" s="5">
        <v>122</v>
      </c>
      <c r="M585" s="5">
        <v>66</v>
      </c>
      <c r="N585" s="5" t="s">
        <v>8</v>
      </c>
      <c r="O585" s="5" t="str">
        <f>_xlfn.IFS('Data set'!$H585&lt;5.7,"Normal",'Data set'!$H585&lt;=6.4,"Prediabetes",'Data set'!$H585&lt;=7.5,"Diabetes",'Data set'!$H585&gt;=7.5,"Uncontrolled")</f>
        <v>Uncontrolled</v>
      </c>
      <c r="P585" s="5" t="str">
        <f>_xlfn.IFS('Data set'!$F585&lt;120,"Low",'Data set'!$F585&lt;=200,"Normal",'Data set'!$F585&lt;=240,"Boarderline",'Data set'!$F585&gt;=241,"High")</f>
        <v>Boarderline</v>
      </c>
      <c r="Q585" s="5" t="str">
        <f>_xlfn.IFS('Data set'!$D585&lt;=18.5,"Low",'Data set'!$D585&lt;=24.9,"Normal",'Data set'!$D585&lt;=29.9,"High",'Data set'!$D585&gt;29.9,"Very High")</f>
        <v>High</v>
      </c>
    </row>
    <row r="586" spans="1:17" x14ac:dyDescent="0.25">
      <c r="A586" s="3">
        <v>72</v>
      </c>
      <c r="B586" s="3" t="s">
        <v>0</v>
      </c>
      <c r="C586" s="4">
        <v>150.12</v>
      </c>
      <c r="D586" s="4">
        <v>24.59</v>
      </c>
      <c r="E586" s="3" t="s">
        <v>14</v>
      </c>
      <c r="F586" s="3">
        <v>246</v>
      </c>
      <c r="G586" s="3" t="s">
        <v>492</v>
      </c>
      <c r="H586" s="4">
        <v>7.87</v>
      </c>
      <c r="I586" s="3">
        <v>4</v>
      </c>
      <c r="J586" s="3" t="s">
        <v>4</v>
      </c>
      <c r="K586" s="3" t="s">
        <v>3</v>
      </c>
      <c r="L586" s="3">
        <v>97</v>
      </c>
      <c r="M586" s="3">
        <v>64</v>
      </c>
      <c r="N586" s="3" t="s">
        <v>5</v>
      </c>
      <c r="O586" s="3" t="str">
        <f>_xlfn.IFS('Data set'!$H586&lt;5.7,"Normal",'Data set'!$H586&lt;=6.4,"Prediabetes",'Data set'!$H586&lt;=7.5,"Diabetes",'Data set'!$H586&gt;=7.5,"Uncontrolled")</f>
        <v>Uncontrolled</v>
      </c>
      <c r="P586" s="3" t="str">
        <f>_xlfn.IFS('Data set'!$F586&lt;120,"Low",'Data set'!$F586&lt;=200,"Normal",'Data set'!$F586&lt;=240,"Boarderline",'Data set'!$F586&gt;=241,"High")</f>
        <v>High</v>
      </c>
      <c r="Q586" s="3" t="str">
        <f>_xlfn.IFS('Data set'!$D586&lt;=18.5,"Low",'Data set'!$D586&lt;=24.9,"Normal",'Data set'!$D586&lt;=29.9,"High",'Data set'!$D586&gt;29.9,"Very High")</f>
        <v>Normal</v>
      </c>
    </row>
    <row r="587" spans="1:17" x14ac:dyDescent="0.25">
      <c r="A587" s="5">
        <v>76</v>
      </c>
      <c r="B587" s="5" t="s">
        <v>0</v>
      </c>
      <c r="C587" s="6">
        <v>75.069999999999993</v>
      </c>
      <c r="D587" s="6">
        <v>23.54</v>
      </c>
      <c r="E587" s="5" t="s">
        <v>14</v>
      </c>
      <c r="F587" s="5">
        <v>229</v>
      </c>
      <c r="G587" s="5" t="s">
        <v>493</v>
      </c>
      <c r="H587" s="6">
        <v>4.16</v>
      </c>
      <c r="I587" s="5">
        <v>2</v>
      </c>
      <c r="J587" s="5" t="s">
        <v>3</v>
      </c>
      <c r="K587" s="5" t="s">
        <v>3</v>
      </c>
      <c r="L587" s="5">
        <v>126</v>
      </c>
      <c r="M587" s="5">
        <v>66</v>
      </c>
      <c r="N587" s="5" t="s">
        <v>5</v>
      </c>
      <c r="O587" s="5" t="str">
        <f>_xlfn.IFS('Data set'!$H587&lt;5.7,"Normal",'Data set'!$H587&lt;=6.4,"Prediabetes",'Data set'!$H587&lt;=7.5,"Diabetes",'Data set'!$H587&gt;=7.5,"Uncontrolled")</f>
        <v>Normal</v>
      </c>
      <c r="P587" s="5" t="str">
        <f>_xlfn.IFS('Data set'!$F587&lt;120,"Low",'Data set'!$F587&lt;=200,"Normal",'Data set'!$F587&lt;=240,"Boarderline",'Data set'!$F587&gt;=241,"High")</f>
        <v>Boarderline</v>
      </c>
      <c r="Q587" s="5" t="str">
        <f>_xlfn.IFS('Data set'!$D587&lt;=18.5,"Low",'Data set'!$D587&lt;=24.9,"Normal",'Data set'!$D587&lt;=29.9,"High",'Data set'!$D587&gt;29.9,"Very High")</f>
        <v>Normal</v>
      </c>
    </row>
    <row r="588" spans="1:17" x14ac:dyDescent="0.25">
      <c r="A588" s="3">
        <v>69</v>
      </c>
      <c r="B588" s="3" t="s">
        <v>9</v>
      </c>
      <c r="C588" s="4">
        <v>176.85</v>
      </c>
      <c r="D588" s="4">
        <v>32.909999999999997</v>
      </c>
      <c r="E588" s="3" t="s">
        <v>6</v>
      </c>
      <c r="F588" s="3">
        <v>231</v>
      </c>
      <c r="G588" s="3" t="s">
        <v>494</v>
      </c>
      <c r="H588" s="4">
        <v>7.95</v>
      </c>
      <c r="I588" s="3">
        <v>1</v>
      </c>
      <c r="J588" s="3" t="s">
        <v>4</v>
      </c>
      <c r="K588" s="3" t="s">
        <v>3</v>
      </c>
      <c r="L588" s="3">
        <v>102</v>
      </c>
      <c r="M588" s="3">
        <v>65</v>
      </c>
      <c r="N588" s="3" t="s">
        <v>21</v>
      </c>
      <c r="O588" s="3" t="str">
        <f>_xlfn.IFS('Data set'!$H588&lt;5.7,"Normal",'Data set'!$H588&lt;=6.4,"Prediabetes",'Data set'!$H588&lt;=7.5,"Diabetes",'Data set'!$H588&gt;=7.5,"Uncontrolled")</f>
        <v>Uncontrolled</v>
      </c>
      <c r="P588" s="3" t="str">
        <f>_xlfn.IFS('Data set'!$F588&lt;120,"Low",'Data set'!$F588&lt;=200,"Normal",'Data set'!$F588&lt;=240,"Boarderline",'Data set'!$F588&gt;=241,"High")</f>
        <v>Boarderline</v>
      </c>
      <c r="Q588" s="3" t="str">
        <f>_xlfn.IFS('Data set'!$D588&lt;=18.5,"Low",'Data set'!$D588&lt;=24.9,"Normal",'Data set'!$D588&lt;=29.9,"High",'Data set'!$D588&gt;29.9,"Very High")</f>
        <v>Very High</v>
      </c>
    </row>
    <row r="589" spans="1:17" x14ac:dyDescent="0.25">
      <c r="A589" s="5">
        <v>27</v>
      </c>
      <c r="B589" s="5" t="s">
        <v>0</v>
      </c>
      <c r="C589" s="6">
        <v>106.55</v>
      </c>
      <c r="D589" s="6">
        <v>31.33</v>
      </c>
      <c r="E589" s="5" t="s">
        <v>1</v>
      </c>
      <c r="F589" s="5">
        <v>292</v>
      </c>
      <c r="G589" s="5" t="s">
        <v>495</v>
      </c>
      <c r="H589" s="6">
        <v>6.85</v>
      </c>
      <c r="I589" s="5">
        <v>0</v>
      </c>
      <c r="J589" s="5" t="s">
        <v>3</v>
      </c>
      <c r="K589" s="5" t="s">
        <v>3</v>
      </c>
      <c r="L589" s="5">
        <v>126</v>
      </c>
      <c r="M589" s="5">
        <v>61</v>
      </c>
      <c r="N589" s="5" t="s">
        <v>17</v>
      </c>
      <c r="O589" s="5" t="str">
        <f>_xlfn.IFS('Data set'!$H589&lt;5.7,"Normal",'Data set'!$H589&lt;=6.4,"Prediabetes",'Data set'!$H589&lt;=7.5,"Diabetes",'Data set'!$H589&gt;=7.5,"Uncontrolled")</f>
        <v>Diabetes</v>
      </c>
      <c r="P589" s="5" t="str">
        <f>_xlfn.IFS('Data set'!$F589&lt;120,"Low",'Data set'!$F589&lt;=200,"Normal",'Data set'!$F589&lt;=240,"Boarderline",'Data set'!$F589&gt;=241,"High")</f>
        <v>High</v>
      </c>
      <c r="Q589" s="5" t="str">
        <f>_xlfn.IFS('Data set'!$D589&lt;=18.5,"Low",'Data set'!$D589&lt;=24.9,"Normal",'Data set'!$D589&lt;=29.9,"High",'Data set'!$D589&gt;29.9,"Very High")</f>
        <v>Very High</v>
      </c>
    </row>
    <row r="590" spans="1:17" x14ac:dyDescent="0.25">
      <c r="A590" s="3">
        <v>65</v>
      </c>
      <c r="B590" s="3" t="s">
        <v>9</v>
      </c>
      <c r="C590" s="4">
        <v>228.35</v>
      </c>
      <c r="D590" s="4">
        <v>30.47</v>
      </c>
      <c r="E590" s="3" t="s">
        <v>6</v>
      </c>
      <c r="F590" s="3">
        <v>116</v>
      </c>
      <c r="G590" s="3" t="s">
        <v>496</v>
      </c>
      <c r="H590" s="4">
        <v>8.7799999999999994</v>
      </c>
      <c r="I590" s="3">
        <v>6</v>
      </c>
      <c r="J590" s="3" t="s">
        <v>4</v>
      </c>
      <c r="K590" s="3" t="s">
        <v>3</v>
      </c>
      <c r="L590" s="3">
        <v>113</v>
      </c>
      <c r="M590" s="3">
        <v>69</v>
      </c>
      <c r="N590" s="3" t="s">
        <v>21</v>
      </c>
      <c r="O590" s="3" t="str">
        <f>_xlfn.IFS('Data set'!$H590&lt;5.7,"Normal",'Data set'!$H590&lt;=6.4,"Prediabetes",'Data set'!$H590&lt;=7.5,"Diabetes",'Data set'!$H590&gt;=7.5,"Uncontrolled")</f>
        <v>Uncontrolled</v>
      </c>
      <c r="P590" s="3" t="str">
        <f>_xlfn.IFS('Data set'!$F590&lt;120,"Low",'Data set'!$F590&lt;=200,"Normal",'Data set'!$F590&lt;=240,"Boarderline",'Data set'!$F590&gt;=241,"High")</f>
        <v>Low</v>
      </c>
      <c r="Q590" s="3" t="str">
        <f>_xlfn.IFS('Data set'!$D590&lt;=18.5,"Low",'Data set'!$D590&lt;=24.9,"Normal",'Data set'!$D590&lt;=29.9,"High",'Data set'!$D590&gt;29.9,"Very High")</f>
        <v>Very High</v>
      </c>
    </row>
    <row r="591" spans="1:17" x14ac:dyDescent="0.25">
      <c r="A591" s="5">
        <v>29</v>
      </c>
      <c r="B591" s="5" t="s">
        <v>9</v>
      </c>
      <c r="C591" s="6">
        <v>227.67</v>
      </c>
      <c r="D591" s="6">
        <v>39.770000000000003</v>
      </c>
      <c r="E591" s="5" t="s">
        <v>14</v>
      </c>
      <c r="F591" s="5">
        <v>145</v>
      </c>
      <c r="G591" s="5" t="s">
        <v>497</v>
      </c>
      <c r="H591" s="6">
        <v>8.74</v>
      </c>
      <c r="I591" s="5">
        <v>7</v>
      </c>
      <c r="J591" s="5" t="s">
        <v>4</v>
      </c>
      <c r="K591" s="5" t="s">
        <v>3</v>
      </c>
      <c r="L591" s="5">
        <v>138</v>
      </c>
      <c r="M591" s="5">
        <v>90</v>
      </c>
      <c r="N591" s="5" t="s">
        <v>17</v>
      </c>
      <c r="O591" s="5" t="str">
        <f>_xlfn.IFS('Data set'!$H591&lt;5.7,"Normal",'Data set'!$H591&lt;=6.4,"Prediabetes",'Data set'!$H591&lt;=7.5,"Diabetes",'Data set'!$H591&gt;=7.5,"Uncontrolled")</f>
        <v>Uncontrolled</v>
      </c>
      <c r="P591" s="5" t="str">
        <f>_xlfn.IFS('Data set'!$F591&lt;120,"Low",'Data set'!$F591&lt;=200,"Normal",'Data set'!$F591&lt;=240,"Boarderline",'Data set'!$F591&gt;=241,"High")</f>
        <v>Normal</v>
      </c>
      <c r="Q591" s="5" t="str">
        <f>_xlfn.IFS('Data set'!$D591&lt;=18.5,"Low",'Data set'!$D591&lt;=24.9,"Normal",'Data set'!$D591&lt;=29.9,"High",'Data set'!$D591&gt;29.9,"Very High")</f>
        <v>Very High</v>
      </c>
    </row>
    <row r="592" spans="1:17" x14ac:dyDescent="0.25">
      <c r="A592" s="3">
        <v>79</v>
      </c>
      <c r="B592" s="3" t="s">
        <v>9</v>
      </c>
      <c r="C592" s="4">
        <v>258.08</v>
      </c>
      <c r="D592" s="4">
        <v>24.51</v>
      </c>
      <c r="E592" s="3" t="s">
        <v>10</v>
      </c>
      <c r="F592" s="3">
        <v>188</v>
      </c>
      <c r="G592" s="3" t="s">
        <v>275</v>
      </c>
      <c r="H592" s="4">
        <v>4.1399999999999997</v>
      </c>
      <c r="I592" s="3">
        <v>1</v>
      </c>
      <c r="J592" s="3" t="s">
        <v>3</v>
      </c>
      <c r="K592" s="3" t="s">
        <v>3</v>
      </c>
      <c r="L592" s="3">
        <v>110</v>
      </c>
      <c r="M592" s="3">
        <v>60</v>
      </c>
      <c r="N592" s="3" t="s">
        <v>5</v>
      </c>
      <c r="O592" s="3" t="str">
        <f>_xlfn.IFS('Data set'!$H592&lt;5.7,"Normal",'Data set'!$H592&lt;=6.4,"Prediabetes",'Data set'!$H592&lt;=7.5,"Diabetes",'Data set'!$H592&gt;=7.5,"Uncontrolled")</f>
        <v>Normal</v>
      </c>
      <c r="P592" s="3" t="str">
        <f>_xlfn.IFS('Data set'!$F592&lt;120,"Low",'Data set'!$F592&lt;=200,"Normal",'Data set'!$F592&lt;=240,"Boarderline",'Data set'!$F592&gt;=241,"High")</f>
        <v>Normal</v>
      </c>
      <c r="Q592" s="3" t="str">
        <f>_xlfn.IFS('Data set'!$D592&lt;=18.5,"Low",'Data set'!$D592&lt;=24.9,"Normal",'Data set'!$D592&lt;=29.9,"High",'Data set'!$D592&gt;29.9,"Very High")</f>
        <v>Normal</v>
      </c>
    </row>
    <row r="593" spans="1:17" x14ac:dyDescent="0.25">
      <c r="A593" s="5">
        <v>75</v>
      </c>
      <c r="B593" s="5" t="s">
        <v>0</v>
      </c>
      <c r="C593" s="6">
        <v>139.43</v>
      </c>
      <c r="D593" s="6">
        <v>19.5</v>
      </c>
      <c r="E593" s="5" t="s">
        <v>6</v>
      </c>
      <c r="F593" s="5">
        <v>219</v>
      </c>
      <c r="G593" s="5" t="s">
        <v>498</v>
      </c>
      <c r="H593" s="6">
        <v>7.26</v>
      </c>
      <c r="I593" s="5">
        <v>7</v>
      </c>
      <c r="J593" s="5" t="s">
        <v>3</v>
      </c>
      <c r="K593" s="5" t="s">
        <v>3</v>
      </c>
      <c r="L593" s="5">
        <v>102</v>
      </c>
      <c r="M593" s="5">
        <v>72</v>
      </c>
      <c r="N593" s="5" t="s">
        <v>5</v>
      </c>
      <c r="O593" s="5" t="str">
        <f>_xlfn.IFS('Data set'!$H593&lt;5.7,"Normal",'Data set'!$H593&lt;=6.4,"Prediabetes",'Data set'!$H593&lt;=7.5,"Diabetes",'Data set'!$H593&gt;=7.5,"Uncontrolled")</f>
        <v>Diabetes</v>
      </c>
      <c r="P593" s="5" t="str">
        <f>_xlfn.IFS('Data set'!$F593&lt;120,"Low",'Data set'!$F593&lt;=200,"Normal",'Data set'!$F593&lt;=240,"Boarderline",'Data set'!$F593&gt;=241,"High")</f>
        <v>Boarderline</v>
      </c>
      <c r="Q593" s="5" t="str">
        <f>_xlfn.IFS('Data set'!$D593&lt;=18.5,"Low",'Data set'!$D593&lt;=24.9,"Normal",'Data set'!$D593&lt;=29.9,"High",'Data set'!$D593&gt;29.9,"Very High")</f>
        <v>Normal</v>
      </c>
    </row>
    <row r="594" spans="1:17" x14ac:dyDescent="0.25">
      <c r="A594" s="3">
        <v>25</v>
      </c>
      <c r="B594" s="3" t="s">
        <v>0</v>
      </c>
      <c r="C594" s="4">
        <v>297.67</v>
      </c>
      <c r="D594" s="4">
        <v>32.659999999999997</v>
      </c>
      <c r="E594" s="3" t="s">
        <v>6</v>
      </c>
      <c r="F594" s="3">
        <v>223</v>
      </c>
      <c r="G594" s="3" t="s">
        <v>499</v>
      </c>
      <c r="H594" s="4">
        <v>9.23</v>
      </c>
      <c r="I594" s="3">
        <v>0</v>
      </c>
      <c r="J594" s="3" t="s">
        <v>4</v>
      </c>
      <c r="K594" s="3" t="s">
        <v>3</v>
      </c>
      <c r="L594" s="3">
        <v>118</v>
      </c>
      <c r="M594" s="3">
        <v>84</v>
      </c>
      <c r="N594" s="3" t="s">
        <v>17</v>
      </c>
      <c r="O594" s="3" t="str">
        <f>_xlfn.IFS('Data set'!$H594&lt;5.7,"Normal",'Data set'!$H594&lt;=6.4,"Prediabetes",'Data set'!$H594&lt;=7.5,"Diabetes",'Data set'!$H594&gt;=7.5,"Uncontrolled")</f>
        <v>Uncontrolled</v>
      </c>
      <c r="P594" s="3" t="str">
        <f>_xlfn.IFS('Data set'!$F594&lt;120,"Low",'Data set'!$F594&lt;=200,"Normal",'Data set'!$F594&lt;=240,"Boarderline",'Data set'!$F594&gt;=241,"High")</f>
        <v>Boarderline</v>
      </c>
      <c r="Q594" s="3" t="str">
        <f>_xlfn.IFS('Data set'!$D594&lt;=18.5,"Low",'Data set'!$D594&lt;=24.9,"Normal",'Data set'!$D594&lt;=29.9,"High",'Data set'!$D594&gt;29.9,"Very High")</f>
        <v>Very High</v>
      </c>
    </row>
    <row r="595" spans="1:17" x14ac:dyDescent="0.25">
      <c r="A595" s="5">
        <v>76</v>
      </c>
      <c r="B595" s="5" t="s">
        <v>9</v>
      </c>
      <c r="C595" s="6">
        <v>99.1</v>
      </c>
      <c r="D595" s="6">
        <v>25.57</v>
      </c>
      <c r="E595" s="5" t="s">
        <v>1</v>
      </c>
      <c r="F595" s="5">
        <v>127</v>
      </c>
      <c r="G595" s="5" t="s">
        <v>156</v>
      </c>
      <c r="H595" s="6">
        <v>9.51</v>
      </c>
      <c r="I595" s="5">
        <v>1</v>
      </c>
      <c r="J595" s="5" t="s">
        <v>4</v>
      </c>
      <c r="K595" s="5" t="s">
        <v>4</v>
      </c>
      <c r="L595" s="5">
        <v>131</v>
      </c>
      <c r="M595" s="5">
        <v>63</v>
      </c>
      <c r="N595" s="5" t="s">
        <v>5</v>
      </c>
      <c r="O595" s="5" t="str">
        <f>_xlfn.IFS('Data set'!$H595&lt;5.7,"Normal",'Data set'!$H595&lt;=6.4,"Prediabetes",'Data set'!$H595&lt;=7.5,"Diabetes",'Data set'!$H595&gt;=7.5,"Uncontrolled")</f>
        <v>Uncontrolled</v>
      </c>
      <c r="P595" s="5" t="str">
        <f>_xlfn.IFS('Data set'!$F595&lt;120,"Low",'Data set'!$F595&lt;=200,"Normal",'Data set'!$F595&lt;=240,"Boarderline",'Data set'!$F595&gt;=241,"High")</f>
        <v>Normal</v>
      </c>
      <c r="Q595" s="5" t="str">
        <f>_xlfn.IFS('Data set'!$D595&lt;=18.5,"Low",'Data set'!$D595&lt;=24.9,"Normal",'Data set'!$D595&lt;=29.9,"High",'Data set'!$D595&gt;29.9,"Very High")</f>
        <v>High</v>
      </c>
    </row>
    <row r="596" spans="1:17" x14ac:dyDescent="0.25">
      <c r="A596" s="3">
        <v>57</v>
      </c>
      <c r="B596" s="3" t="s">
        <v>9</v>
      </c>
      <c r="C596" s="4">
        <v>242.58</v>
      </c>
      <c r="D596" s="4">
        <v>20.420000000000002</v>
      </c>
      <c r="E596" s="3" t="s">
        <v>14</v>
      </c>
      <c r="F596" s="3">
        <v>186</v>
      </c>
      <c r="G596" s="3" t="s">
        <v>201</v>
      </c>
      <c r="H596" s="4">
        <v>4.17</v>
      </c>
      <c r="I596" s="3">
        <v>0</v>
      </c>
      <c r="J596" s="3" t="s">
        <v>4</v>
      </c>
      <c r="K596" s="3" t="s">
        <v>3</v>
      </c>
      <c r="L596" s="3">
        <v>92</v>
      </c>
      <c r="M596" s="3">
        <v>85</v>
      </c>
      <c r="N596" s="3" t="s">
        <v>8</v>
      </c>
      <c r="O596" s="3" t="str">
        <f>_xlfn.IFS('Data set'!$H596&lt;5.7,"Normal",'Data set'!$H596&lt;=6.4,"Prediabetes",'Data set'!$H596&lt;=7.5,"Diabetes",'Data set'!$H596&gt;=7.5,"Uncontrolled")</f>
        <v>Normal</v>
      </c>
      <c r="P596" s="3" t="str">
        <f>_xlfn.IFS('Data set'!$F596&lt;120,"Low",'Data set'!$F596&lt;=200,"Normal",'Data set'!$F596&lt;=240,"Boarderline",'Data set'!$F596&gt;=241,"High")</f>
        <v>Normal</v>
      </c>
      <c r="Q596" s="3" t="str">
        <f>_xlfn.IFS('Data set'!$D596&lt;=18.5,"Low",'Data set'!$D596&lt;=24.9,"Normal",'Data set'!$D596&lt;=29.9,"High",'Data set'!$D596&gt;29.9,"Very High")</f>
        <v>Normal</v>
      </c>
    </row>
    <row r="597" spans="1:17" x14ac:dyDescent="0.25">
      <c r="A597" s="5">
        <v>46</v>
      </c>
      <c r="B597" s="5" t="s">
        <v>9</v>
      </c>
      <c r="C597" s="6">
        <v>171.5</v>
      </c>
      <c r="D597" s="6">
        <v>39.49</v>
      </c>
      <c r="E597" s="5" t="s">
        <v>14</v>
      </c>
      <c r="F597" s="5">
        <v>241</v>
      </c>
      <c r="G597" s="5" t="s">
        <v>500</v>
      </c>
      <c r="H597" s="6">
        <v>9.7200000000000006</v>
      </c>
      <c r="I597" s="5">
        <v>4</v>
      </c>
      <c r="J597" s="5" t="s">
        <v>3</v>
      </c>
      <c r="K597" s="5" t="s">
        <v>3</v>
      </c>
      <c r="L597" s="5">
        <v>123</v>
      </c>
      <c r="M597" s="5">
        <v>82</v>
      </c>
      <c r="N597" s="5" t="s">
        <v>23</v>
      </c>
      <c r="O597" s="5" t="str">
        <f>_xlfn.IFS('Data set'!$H597&lt;5.7,"Normal",'Data set'!$H597&lt;=6.4,"Prediabetes",'Data set'!$H597&lt;=7.5,"Diabetes",'Data set'!$H597&gt;=7.5,"Uncontrolled")</f>
        <v>Uncontrolled</v>
      </c>
      <c r="P597" s="5" t="str">
        <f>_xlfn.IFS('Data set'!$F597&lt;120,"Low",'Data set'!$F597&lt;=200,"Normal",'Data set'!$F597&lt;=240,"Boarderline",'Data set'!$F597&gt;=241,"High")</f>
        <v>High</v>
      </c>
      <c r="Q597" s="5" t="str">
        <f>_xlfn.IFS('Data set'!$D597&lt;=18.5,"Low",'Data set'!$D597&lt;=24.9,"Normal",'Data set'!$D597&lt;=29.9,"High",'Data set'!$D597&gt;29.9,"Very High")</f>
        <v>Very High</v>
      </c>
    </row>
    <row r="598" spans="1:17" x14ac:dyDescent="0.25">
      <c r="A598" s="3">
        <v>43</v>
      </c>
      <c r="B598" s="3" t="s">
        <v>9</v>
      </c>
      <c r="C598" s="4">
        <v>103.21</v>
      </c>
      <c r="D598" s="4">
        <v>19.66</v>
      </c>
      <c r="E598" s="3" t="s">
        <v>1</v>
      </c>
      <c r="F598" s="3">
        <v>128</v>
      </c>
      <c r="G598" s="3" t="s">
        <v>501</v>
      </c>
      <c r="H598" s="4">
        <v>7.67</v>
      </c>
      <c r="I598" s="3">
        <v>4</v>
      </c>
      <c r="J598" s="3" t="s">
        <v>4</v>
      </c>
      <c r="K598" s="3" t="s">
        <v>4</v>
      </c>
      <c r="L598" s="3">
        <v>106</v>
      </c>
      <c r="M598" s="3">
        <v>62</v>
      </c>
      <c r="N598" s="3" t="s">
        <v>23</v>
      </c>
      <c r="O598" s="3" t="str">
        <f>_xlfn.IFS('Data set'!$H598&lt;5.7,"Normal",'Data set'!$H598&lt;=6.4,"Prediabetes",'Data set'!$H598&lt;=7.5,"Diabetes",'Data set'!$H598&gt;=7.5,"Uncontrolled")</f>
        <v>Uncontrolled</v>
      </c>
      <c r="P598" s="3" t="str">
        <f>_xlfn.IFS('Data set'!$F598&lt;120,"Low",'Data set'!$F598&lt;=200,"Normal",'Data set'!$F598&lt;=240,"Boarderline",'Data set'!$F598&gt;=241,"High")</f>
        <v>Normal</v>
      </c>
      <c r="Q598" s="3" t="str">
        <f>_xlfn.IFS('Data set'!$D598&lt;=18.5,"Low",'Data set'!$D598&lt;=24.9,"Normal",'Data set'!$D598&lt;=29.9,"High",'Data set'!$D598&gt;29.9,"Very High")</f>
        <v>Normal</v>
      </c>
    </row>
    <row r="599" spans="1:17" x14ac:dyDescent="0.25">
      <c r="A599" s="5">
        <v>64</v>
      </c>
      <c r="B599" s="5" t="s">
        <v>9</v>
      </c>
      <c r="C599" s="6">
        <v>133.02000000000001</v>
      </c>
      <c r="D599" s="6">
        <v>23.02</v>
      </c>
      <c r="E599" s="5" t="s">
        <v>14</v>
      </c>
      <c r="F599" s="5">
        <v>161</v>
      </c>
      <c r="G599" s="5" t="s">
        <v>236</v>
      </c>
      <c r="H599" s="6">
        <v>6.71</v>
      </c>
      <c r="I599" s="5">
        <v>2</v>
      </c>
      <c r="J599" s="5" t="s">
        <v>4</v>
      </c>
      <c r="K599" s="5" t="s">
        <v>4</v>
      </c>
      <c r="L599" s="5">
        <v>137</v>
      </c>
      <c r="M599" s="5">
        <v>75</v>
      </c>
      <c r="N599" s="5" t="s">
        <v>21</v>
      </c>
      <c r="O599" s="5" t="str">
        <f>_xlfn.IFS('Data set'!$H599&lt;5.7,"Normal",'Data set'!$H599&lt;=6.4,"Prediabetes",'Data set'!$H599&lt;=7.5,"Diabetes",'Data set'!$H599&gt;=7.5,"Uncontrolled")</f>
        <v>Diabetes</v>
      </c>
      <c r="P599" s="5" t="str">
        <f>_xlfn.IFS('Data set'!$F599&lt;120,"Low",'Data set'!$F599&lt;=200,"Normal",'Data set'!$F599&lt;=240,"Boarderline",'Data set'!$F599&gt;=241,"High")</f>
        <v>Normal</v>
      </c>
      <c r="Q599" s="5" t="str">
        <f>_xlfn.IFS('Data set'!$D599&lt;=18.5,"Low",'Data set'!$D599&lt;=24.9,"Normal",'Data set'!$D599&lt;=29.9,"High",'Data set'!$D599&gt;29.9,"Very High")</f>
        <v>Normal</v>
      </c>
    </row>
    <row r="600" spans="1:17" x14ac:dyDescent="0.25">
      <c r="A600" s="3">
        <v>80</v>
      </c>
      <c r="B600" s="3" t="s">
        <v>9</v>
      </c>
      <c r="C600" s="4">
        <v>87.66</v>
      </c>
      <c r="D600" s="4">
        <v>29.69</v>
      </c>
      <c r="E600" s="3" t="s">
        <v>6</v>
      </c>
      <c r="F600" s="3">
        <v>244</v>
      </c>
      <c r="G600" s="3" t="s">
        <v>502</v>
      </c>
      <c r="H600" s="4">
        <v>6.59</v>
      </c>
      <c r="I600" s="3">
        <v>2</v>
      </c>
      <c r="J600" s="3" t="s">
        <v>3</v>
      </c>
      <c r="K600" s="3" t="s">
        <v>4</v>
      </c>
      <c r="L600" s="3">
        <v>120</v>
      </c>
      <c r="M600" s="3">
        <v>78</v>
      </c>
      <c r="N600" s="3" t="s">
        <v>5</v>
      </c>
      <c r="O600" s="3" t="str">
        <f>_xlfn.IFS('Data set'!$H600&lt;5.7,"Normal",'Data set'!$H600&lt;=6.4,"Prediabetes",'Data set'!$H600&lt;=7.5,"Diabetes",'Data set'!$H600&gt;=7.5,"Uncontrolled")</f>
        <v>Diabetes</v>
      </c>
      <c r="P600" s="3" t="str">
        <f>_xlfn.IFS('Data set'!$F600&lt;120,"Low",'Data set'!$F600&lt;=200,"Normal",'Data set'!$F600&lt;=240,"Boarderline",'Data set'!$F600&gt;=241,"High")</f>
        <v>High</v>
      </c>
      <c r="Q600" s="3" t="str">
        <f>_xlfn.IFS('Data set'!$D600&lt;=18.5,"Low",'Data set'!$D600&lt;=24.9,"Normal",'Data set'!$D600&lt;=29.9,"High",'Data set'!$D600&gt;29.9,"Very High")</f>
        <v>High</v>
      </c>
    </row>
    <row r="601" spans="1:17" x14ac:dyDescent="0.25">
      <c r="A601" s="5">
        <v>30</v>
      </c>
      <c r="B601" s="5" t="s">
        <v>9</v>
      </c>
      <c r="C601" s="6">
        <v>219.1</v>
      </c>
      <c r="D601" s="6">
        <v>18.440000000000001</v>
      </c>
      <c r="E601" s="5" t="s">
        <v>6</v>
      </c>
      <c r="F601" s="5">
        <v>247</v>
      </c>
      <c r="G601" s="5" t="s">
        <v>503</v>
      </c>
      <c r="H601" s="6">
        <v>8.31</v>
      </c>
      <c r="I601" s="5">
        <v>0</v>
      </c>
      <c r="J601" s="5" t="s">
        <v>4</v>
      </c>
      <c r="K601" s="5" t="s">
        <v>3</v>
      </c>
      <c r="L601" s="5">
        <v>109</v>
      </c>
      <c r="M601" s="5">
        <v>72</v>
      </c>
      <c r="N601" s="5" t="s">
        <v>17</v>
      </c>
      <c r="O601" s="5" t="str">
        <f>_xlfn.IFS('Data set'!$H601&lt;5.7,"Normal",'Data set'!$H601&lt;=6.4,"Prediabetes",'Data set'!$H601&lt;=7.5,"Diabetes",'Data set'!$H601&gt;=7.5,"Uncontrolled")</f>
        <v>Uncontrolled</v>
      </c>
      <c r="P601" s="5" t="str">
        <f>_xlfn.IFS('Data set'!$F601&lt;120,"Low",'Data set'!$F601&lt;=200,"Normal",'Data set'!$F601&lt;=240,"Boarderline",'Data set'!$F601&gt;=241,"High")</f>
        <v>High</v>
      </c>
      <c r="Q601" s="5" t="str">
        <f>_xlfn.IFS('Data set'!$D601&lt;=18.5,"Low",'Data set'!$D601&lt;=24.9,"Normal",'Data set'!$D601&lt;=29.9,"High",'Data set'!$D601&gt;29.9,"Very High")</f>
        <v>Low</v>
      </c>
    </row>
    <row r="602" spans="1:17" x14ac:dyDescent="0.25">
      <c r="A602" s="3">
        <v>26</v>
      </c>
      <c r="B602" s="3" t="s">
        <v>9</v>
      </c>
      <c r="C602" s="4">
        <v>187.29</v>
      </c>
      <c r="D602" s="4">
        <v>29.03</v>
      </c>
      <c r="E602" s="3" t="s">
        <v>14</v>
      </c>
      <c r="F602" s="3">
        <v>276</v>
      </c>
      <c r="G602" s="3" t="s">
        <v>504</v>
      </c>
      <c r="H602" s="4">
        <v>4.47</v>
      </c>
      <c r="I602" s="3">
        <v>1</v>
      </c>
      <c r="J602" s="3" t="s">
        <v>4</v>
      </c>
      <c r="K602" s="3" t="s">
        <v>3</v>
      </c>
      <c r="L602" s="3">
        <v>126</v>
      </c>
      <c r="M602" s="3">
        <v>65</v>
      </c>
      <c r="N602" s="3" t="s">
        <v>17</v>
      </c>
      <c r="O602" s="3" t="str">
        <f>_xlfn.IFS('Data set'!$H602&lt;5.7,"Normal",'Data set'!$H602&lt;=6.4,"Prediabetes",'Data set'!$H602&lt;=7.5,"Diabetes",'Data set'!$H602&gt;=7.5,"Uncontrolled")</f>
        <v>Normal</v>
      </c>
      <c r="P602" s="3" t="str">
        <f>_xlfn.IFS('Data set'!$F602&lt;120,"Low",'Data set'!$F602&lt;=200,"Normal",'Data set'!$F602&lt;=240,"Boarderline",'Data set'!$F602&gt;=241,"High")</f>
        <v>High</v>
      </c>
      <c r="Q602" s="3" t="str">
        <f>_xlfn.IFS('Data set'!$D602&lt;=18.5,"Low",'Data set'!$D602&lt;=24.9,"Normal",'Data set'!$D602&lt;=29.9,"High",'Data set'!$D602&gt;29.9,"Very High")</f>
        <v>High</v>
      </c>
    </row>
    <row r="603" spans="1:17" x14ac:dyDescent="0.25">
      <c r="A603" s="5">
        <v>76</v>
      </c>
      <c r="B603" s="5" t="s">
        <v>0</v>
      </c>
      <c r="C603" s="6">
        <v>172.75</v>
      </c>
      <c r="D603" s="6">
        <v>39.4</v>
      </c>
      <c r="E603" s="5" t="s">
        <v>14</v>
      </c>
      <c r="F603" s="5">
        <v>125</v>
      </c>
      <c r="G603" s="5" t="s">
        <v>505</v>
      </c>
      <c r="H603" s="6">
        <v>7.29</v>
      </c>
      <c r="I603" s="5">
        <v>7</v>
      </c>
      <c r="J603" s="5" t="s">
        <v>3</v>
      </c>
      <c r="K603" s="5" t="s">
        <v>3</v>
      </c>
      <c r="L603" s="5">
        <v>91</v>
      </c>
      <c r="M603" s="5">
        <v>65</v>
      </c>
      <c r="N603" s="5" t="s">
        <v>5</v>
      </c>
      <c r="O603" s="5" t="str">
        <f>_xlfn.IFS('Data set'!$H603&lt;5.7,"Normal",'Data set'!$H603&lt;=6.4,"Prediabetes",'Data set'!$H603&lt;=7.5,"Diabetes",'Data set'!$H603&gt;=7.5,"Uncontrolled")</f>
        <v>Diabetes</v>
      </c>
      <c r="P603" s="5" t="str">
        <f>_xlfn.IFS('Data set'!$F603&lt;120,"Low",'Data set'!$F603&lt;=200,"Normal",'Data set'!$F603&lt;=240,"Boarderline",'Data set'!$F603&gt;=241,"High")</f>
        <v>Normal</v>
      </c>
      <c r="Q603" s="5" t="str">
        <f>_xlfn.IFS('Data set'!$D603&lt;=18.5,"Low",'Data set'!$D603&lt;=24.9,"Normal",'Data set'!$D603&lt;=29.9,"High",'Data set'!$D603&gt;29.9,"Very High")</f>
        <v>Very High</v>
      </c>
    </row>
    <row r="604" spans="1:17" x14ac:dyDescent="0.25">
      <c r="A604" s="3">
        <v>20</v>
      </c>
      <c r="B604" s="3" t="s">
        <v>0</v>
      </c>
      <c r="C604" s="4">
        <v>81.489999999999995</v>
      </c>
      <c r="D604" s="4">
        <v>38.64</v>
      </c>
      <c r="E604" s="3" t="s">
        <v>1</v>
      </c>
      <c r="F604" s="3">
        <v>149</v>
      </c>
      <c r="G604" s="3" t="s">
        <v>506</v>
      </c>
      <c r="H604" s="4">
        <v>5.41</v>
      </c>
      <c r="I604" s="3">
        <v>7</v>
      </c>
      <c r="J604" s="3" t="s">
        <v>4</v>
      </c>
      <c r="K604" s="3" t="s">
        <v>4</v>
      </c>
      <c r="L604" s="3">
        <v>136</v>
      </c>
      <c r="M604" s="3">
        <v>74</v>
      </c>
      <c r="N604" s="3" t="s">
        <v>17</v>
      </c>
      <c r="O604" s="3" t="str">
        <f>_xlfn.IFS('Data set'!$H604&lt;5.7,"Normal",'Data set'!$H604&lt;=6.4,"Prediabetes",'Data set'!$H604&lt;=7.5,"Diabetes",'Data set'!$H604&gt;=7.5,"Uncontrolled")</f>
        <v>Normal</v>
      </c>
      <c r="P604" s="3" t="str">
        <f>_xlfn.IFS('Data set'!$F604&lt;120,"Low",'Data set'!$F604&lt;=200,"Normal",'Data set'!$F604&lt;=240,"Boarderline",'Data set'!$F604&gt;=241,"High")</f>
        <v>Normal</v>
      </c>
      <c r="Q604" s="3" t="str">
        <f>_xlfn.IFS('Data set'!$D604&lt;=18.5,"Low",'Data set'!$D604&lt;=24.9,"Normal",'Data set'!$D604&lt;=29.9,"High",'Data set'!$D604&gt;29.9,"Very High")</f>
        <v>Very High</v>
      </c>
    </row>
    <row r="605" spans="1:17" x14ac:dyDescent="0.25">
      <c r="A605" s="5">
        <v>26</v>
      </c>
      <c r="B605" s="5" t="s">
        <v>9</v>
      </c>
      <c r="C605" s="6">
        <v>267.62</v>
      </c>
      <c r="D605" s="6">
        <v>34.18</v>
      </c>
      <c r="E605" s="5" t="s">
        <v>14</v>
      </c>
      <c r="F605" s="5">
        <v>121</v>
      </c>
      <c r="G605" s="5" t="s">
        <v>287</v>
      </c>
      <c r="H605" s="6">
        <v>8.08</v>
      </c>
      <c r="I605" s="5">
        <v>4</v>
      </c>
      <c r="J605" s="5" t="s">
        <v>3</v>
      </c>
      <c r="K605" s="5" t="s">
        <v>3</v>
      </c>
      <c r="L605" s="5">
        <v>103</v>
      </c>
      <c r="M605" s="5">
        <v>85</v>
      </c>
      <c r="N605" s="5" t="s">
        <v>17</v>
      </c>
      <c r="O605" s="5" t="str">
        <f>_xlfn.IFS('Data set'!$H605&lt;5.7,"Normal",'Data set'!$H605&lt;=6.4,"Prediabetes",'Data set'!$H605&lt;=7.5,"Diabetes",'Data set'!$H605&gt;=7.5,"Uncontrolled")</f>
        <v>Uncontrolled</v>
      </c>
      <c r="P605" s="5" t="str">
        <f>_xlfn.IFS('Data set'!$F605&lt;120,"Low",'Data set'!$F605&lt;=200,"Normal",'Data set'!$F605&lt;=240,"Boarderline",'Data set'!$F605&gt;=241,"High")</f>
        <v>Normal</v>
      </c>
      <c r="Q605" s="5" t="str">
        <f>_xlfn.IFS('Data set'!$D605&lt;=18.5,"Low",'Data set'!$D605&lt;=24.9,"Normal",'Data set'!$D605&lt;=29.9,"High",'Data set'!$D605&gt;29.9,"Very High")</f>
        <v>Very High</v>
      </c>
    </row>
    <row r="606" spans="1:17" x14ac:dyDescent="0.25">
      <c r="A606" s="3">
        <v>53</v>
      </c>
      <c r="B606" s="3" t="s">
        <v>0</v>
      </c>
      <c r="C606" s="4">
        <v>116.68</v>
      </c>
      <c r="D606" s="4">
        <v>39.42</v>
      </c>
      <c r="E606" s="3" t="s">
        <v>10</v>
      </c>
      <c r="F606" s="3">
        <v>220</v>
      </c>
      <c r="G606" s="3" t="s">
        <v>507</v>
      </c>
      <c r="H606" s="4">
        <v>4.99</v>
      </c>
      <c r="I606" s="3">
        <v>6</v>
      </c>
      <c r="J606" s="3" t="s">
        <v>3</v>
      </c>
      <c r="K606" s="3" t="s">
        <v>3</v>
      </c>
      <c r="L606" s="3">
        <v>130</v>
      </c>
      <c r="M606" s="3">
        <v>67</v>
      </c>
      <c r="N606" s="3" t="s">
        <v>8</v>
      </c>
      <c r="O606" s="3" t="str">
        <f>_xlfn.IFS('Data set'!$H606&lt;5.7,"Normal",'Data set'!$H606&lt;=6.4,"Prediabetes",'Data set'!$H606&lt;=7.5,"Diabetes",'Data set'!$H606&gt;=7.5,"Uncontrolled")</f>
        <v>Normal</v>
      </c>
      <c r="P606" s="3" t="str">
        <f>_xlfn.IFS('Data set'!$F606&lt;120,"Low",'Data set'!$F606&lt;=200,"Normal",'Data set'!$F606&lt;=240,"Boarderline",'Data set'!$F606&gt;=241,"High")</f>
        <v>Boarderline</v>
      </c>
      <c r="Q606" s="3" t="str">
        <f>_xlfn.IFS('Data set'!$D606&lt;=18.5,"Low",'Data set'!$D606&lt;=24.9,"Normal",'Data set'!$D606&lt;=29.9,"High",'Data set'!$D606&gt;29.9,"Very High")</f>
        <v>Very High</v>
      </c>
    </row>
    <row r="607" spans="1:17" x14ac:dyDescent="0.25">
      <c r="A607" s="5">
        <v>68</v>
      </c>
      <c r="B607" s="5" t="s">
        <v>9</v>
      </c>
      <c r="C607" s="6">
        <v>239.02</v>
      </c>
      <c r="D607" s="6">
        <v>25.02</v>
      </c>
      <c r="E607" s="5" t="s">
        <v>1</v>
      </c>
      <c r="F607" s="5">
        <v>244</v>
      </c>
      <c r="G607" s="5" t="s">
        <v>508</v>
      </c>
      <c r="H607" s="6">
        <v>8.32</v>
      </c>
      <c r="I607" s="5">
        <v>0</v>
      </c>
      <c r="J607" s="5" t="s">
        <v>3</v>
      </c>
      <c r="K607" s="5" t="s">
        <v>4</v>
      </c>
      <c r="L607" s="5">
        <v>101</v>
      </c>
      <c r="M607" s="5">
        <v>72</v>
      </c>
      <c r="N607" s="5" t="s">
        <v>21</v>
      </c>
      <c r="O607" s="5" t="str">
        <f>_xlfn.IFS('Data set'!$H607&lt;5.7,"Normal",'Data set'!$H607&lt;=6.4,"Prediabetes",'Data set'!$H607&lt;=7.5,"Diabetes",'Data set'!$H607&gt;=7.5,"Uncontrolled")</f>
        <v>Uncontrolled</v>
      </c>
      <c r="P607" s="5" t="str">
        <f>_xlfn.IFS('Data set'!$F607&lt;120,"Low",'Data set'!$F607&lt;=200,"Normal",'Data set'!$F607&lt;=240,"Boarderline",'Data set'!$F607&gt;=241,"High")</f>
        <v>High</v>
      </c>
      <c r="Q607" s="5" t="str">
        <f>_xlfn.IFS('Data set'!$D607&lt;=18.5,"Low",'Data set'!$D607&lt;=24.9,"Normal",'Data set'!$D607&lt;=29.9,"High",'Data set'!$D607&gt;29.9,"Very High")</f>
        <v>High</v>
      </c>
    </row>
    <row r="608" spans="1:17" x14ac:dyDescent="0.25">
      <c r="A608" s="3">
        <v>64</v>
      </c>
      <c r="B608" s="3" t="s">
        <v>9</v>
      </c>
      <c r="C608" s="4">
        <v>257.37</v>
      </c>
      <c r="D608" s="4">
        <v>34.24</v>
      </c>
      <c r="E608" s="3" t="s">
        <v>10</v>
      </c>
      <c r="F608" s="3">
        <v>291</v>
      </c>
      <c r="G608" s="3" t="s">
        <v>509</v>
      </c>
      <c r="H608" s="4">
        <v>6.88</v>
      </c>
      <c r="I608" s="3">
        <v>3</v>
      </c>
      <c r="J608" s="3" t="s">
        <v>3</v>
      </c>
      <c r="K608" s="3" t="s">
        <v>4</v>
      </c>
      <c r="L608" s="3">
        <v>135</v>
      </c>
      <c r="M608" s="3">
        <v>66</v>
      </c>
      <c r="N608" s="3" t="s">
        <v>21</v>
      </c>
      <c r="O608" s="3" t="str">
        <f>_xlfn.IFS('Data set'!$H608&lt;5.7,"Normal",'Data set'!$H608&lt;=6.4,"Prediabetes",'Data set'!$H608&lt;=7.5,"Diabetes",'Data set'!$H608&gt;=7.5,"Uncontrolled")</f>
        <v>Diabetes</v>
      </c>
      <c r="P608" s="3" t="str">
        <f>_xlfn.IFS('Data set'!$F608&lt;120,"Low",'Data set'!$F608&lt;=200,"Normal",'Data set'!$F608&lt;=240,"Boarderline",'Data set'!$F608&gt;=241,"High")</f>
        <v>High</v>
      </c>
      <c r="Q608" s="3" t="str">
        <f>_xlfn.IFS('Data set'!$D608&lt;=18.5,"Low",'Data set'!$D608&lt;=24.9,"Normal",'Data set'!$D608&lt;=29.9,"High",'Data set'!$D608&gt;29.9,"Very High")</f>
        <v>Very High</v>
      </c>
    </row>
    <row r="609" spans="1:17" x14ac:dyDescent="0.25">
      <c r="A609" s="5">
        <v>66</v>
      </c>
      <c r="B609" s="5" t="s">
        <v>9</v>
      </c>
      <c r="C609" s="6">
        <v>228.2</v>
      </c>
      <c r="D609" s="6">
        <v>34.24</v>
      </c>
      <c r="E609" s="5" t="s">
        <v>1</v>
      </c>
      <c r="F609" s="5">
        <v>239</v>
      </c>
      <c r="G609" s="5" t="s">
        <v>251</v>
      </c>
      <c r="H609" s="6">
        <v>4.66</v>
      </c>
      <c r="I609" s="5">
        <v>3</v>
      </c>
      <c r="J609" s="5" t="s">
        <v>3</v>
      </c>
      <c r="K609" s="5" t="s">
        <v>4</v>
      </c>
      <c r="L609" s="5">
        <v>114</v>
      </c>
      <c r="M609" s="5">
        <v>61</v>
      </c>
      <c r="N609" s="5" t="s">
        <v>21</v>
      </c>
      <c r="O609" s="5" t="str">
        <f>_xlfn.IFS('Data set'!$H609&lt;5.7,"Normal",'Data set'!$H609&lt;=6.4,"Prediabetes",'Data set'!$H609&lt;=7.5,"Diabetes",'Data set'!$H609&gt;=7.5,"Uncontrolled")</f>
        <v>Normal</v>
      </c>
      <c r="P609" s="5" t="str">
        <f>_xlfn.IFS('Data set'!$F609&lt;120,"Low",'Data set'!$F609&lt;=200,"Normal",'Data set'!$F609&lt;=240,"Boarderline",'Data set'!$F609&gt;=241,"High")</f>
        <v>Boarderline</v>
      </c>
      <c r="Q609" s="5" t="str">
        <f>_xlfn.IFS('Data set'!$D609&lt;=18.5,"Low",'Data set'!$D609&lt;=24.9,"Normal",'Data set'!$D609&lt;=29.9,"High",'Data set'!$D609&gt;29.9,"Very High")</f>
        <v>Very High</v>
      </c>
    </row>
    <row r="610" spans="1:17" x14ac:dyDescent="0.25">
      <c r="A610" s="3">
        <v>46</v>
      </c>
      <c r="B610" s="3" t="s">
        <v>0</v>
      </c>
      <c r="C610" s="4">
        <v>187.28</v>
      </c>
      <c r="D610" s="4">
        <v>28.91</v>
      </c>
      <c r="E610" s="3" t="s">
        <v>1</v>
      </c>
      <c r="F610" s="3">
        <v>169</v>
      </c>
      <c r="G610" s="3" t="s">
        <v>510</v>
      </c>
      <c r="H610" s="4">
        <v>9.3699999999999992</v>
      </c>
      <c r="I610" s="3">
        <v>4</v>
      </c>
      <c r="J610" s="3" t="s">
        <v>4</v>
      </c>
      <c r="K610" s="3" t="s">
        <v>4</v>
      </c>
      <c r="L610" s="3">
        <v>103</v>
      </c>
      <c r="M610" s="3">
        <v>74</v>
      </c>
      <c r="N610" s="3" t="s">
        <v>23</v>
      </c>
      <c r="O610" s="3" t="str">
        <f>_xlfn.IFS('Data set'!$H610&lt;5.7,"Normal",'Data set'!$H610&lt;=6.4,"Prediabetes",'Data set'!$H610&lt;=7.5,"Diabetes",'Data set'!$H610&gt;=7.5,"Uncontrolled")</f>
        <v>Uncontrolled</v>
      </c>
      <c r="P610" s="3" t="str">
        <f>_xlfn.IFS('Data set'!$F610&lt;120,"Low",'Data set'!$F610&lt;=200,"Normal",'Data set'!$F610&lt;=240,"Boarderline",'Data set'!$F610&gt;=241,"High")</f>
        <v>Normal</v>
      </c>
      <c r="Q610" s="3" t="str">
        <f>_xlfn.IFS('Data set'!$D610&lt;=18.5,"Low",'Data set'!$D610&lt;=24.9,"Normal",'Data set'!$D610&lt;=29.9,"High",'Data set'!$D610&gt;29.9,"Very High")</f>
        <v>High</v>
      </c>
    </row>
    <row r="611" spans="1:17" x14ac:dyDescent="0.25">
      <c r="A611" s="5">
        <v>28</v>
      </c>
      <c r="B611" s="5" t="s">
        <v>9</v>
      </c>
      <c r="C611" s="6">
        <v>157.72</v>
      </c>
      <c r="D611" s="6">
        <v>28.5</v>
      </c>
      <c r="E611" s="5" t="s">
        <v>6</v>
      </c>
      <c r="F611" s="5">
        <v>195</v>
      </c>
      <c r="G611" s="5" t="s">
        <v>511</v>
      </c>
      <c r="H611" s="6">
        <v>6.17</v>
      </c>
      <c r="I611" s="5">
        <v>1</v>
      </c>
      <c r="J611" s="5" t="s">
        <v>3</v>
      </c>
      <c r="K611" s="5" t="s">
        <v>4</v>
      </c>
      <c r="L611" s="5">
        <v>116</v>
      </c>
      <c r="M611" s="5">
        <v>62</v>
      </c>
      <c r="N611" s="5" t="s">
        <v>17</v>
      </c>
      <c r="O611" s="5" t="str">
        <f>_xlfn.IFS('Data set'!$H611&lt;5.7,"Normal",'Data set'!$H611&lt;=6.4,"Prediabetes",'Data set'!$H611&lt;=7.5,"Diabetes",'Data set'!$H611&gt;=7.5,"Uncontrolled")</f>
        <v>Prediabetes</v>
      </c>
      <c r="P611" s="5" t="str">
        <f>_xlfn.IFS('Data set'!$F611&lt;120,"Low",'Data set'!$F611&lt;=200,"Normal",'Data set'!$F611&lt;=240,"Boarderline",'Data set'!$F611&gt;=241,"High")</f>
        <v>Normal</v>
      </c>
      <c r="Q611" s="5" t="str">
        <f>_xlfn.IFS('Data set'!$D611&lt;=18.5,"Low",'Data set'!$D611&lt;=24.9,"Normal",'Data set'!$D611&lt;=29.9,"High",'Data set'!$D611&gt;29.9,"Very High")</f>
        <v>High</v>
      </c>
    </row>
    <row r="612" spans="1:17" x14ac:dyDescent="0.25">
      <c r="A612" s="3">
        <v>64</v>
      </c>
      <c r="B612" s="3" t="s">
        <v>0</v>
      </c>
      <c r="C612" s="4">
        <v>126.28</v>
      </c>
      <c r="D612" s="4">
        <v>25.45</v>
      </c>
      <c r="E612" s="3" t="s">
        <v>1</v>
      </c>
      <c r="F612" s="3">
        <v>287</v>
      </c>
      <c r="G612" s="3" t="s">
        <v>236</v>
      </c>
      <c r="H612" s="4">
        <v>9.11</v>
      </c>
      <c r="I612" s="3">
        <v>0</v>
      </c>
      <c r="J612" s="3" t="s">
        <v>4</v>
      </c>
      <c r="K612" s="3" t="s">
        <v>4</v>
      </c>
      <c r="L612" s="3">
        <v>137</v>
      </c>
      <c r="M612" s="3">
        <v>75</v>
      </c>
      <c r="N612" s="3" t="s">
        <v>21</v>
      </c>
      <c r="O612" s="3" t="str">
        <f>_xlfn.IFS('Data set'!$H612&lt;5.7,"Normal",'Data set'!$H612&lt;=6.4,"Prediabetes",'Data set'!$H612&lt;=7.5,"Diabetes",'Data set'!$H612&gt;=7.5,"Uncontrolled")</f>
        <v>Uncontrolled</v>
      </c>
      <c r="P612" s="3" t="str">
        <f>_xlfn.IFS('Data set'!$F612&lt;120,"Low",'Data set'!$F612&lt;=200,"Normal",'Data set'!$F612&lt;=240,"Boarderline",'Data set'!$F612&gt;=241,"High")</f>
        <v>High</v>
      </c>
      <c r="Q612" s="3" t="str">
        <f>_xlfn.IFS('Data set'!$D612&lt;=18.5,"Low",'Data set'!$D612&lt;=24.9,"Normal",'Data set'!$D612&lt;=29.9,"High",'Data set'!$D612&gt;29.9,"Very High")</f>
        <v>High</v>
      </c>
    </row>
    <row r="613" spans="1:17" x14ac:dyDescent="0.25">
      <c r="A613" s="5">
        <v>19</v>
      </c>
      <c r="B613" s="5" t="s">
        <v>9</v>
      </c>
      <c r="C613" s="6">
        <v>113.59</v>
      </c>
      <c r="D613" s="6">
        <v>38.04</v>
      </c>
      <c r="E613" s="5" t="s">
        <v>14</v>
      </c>
      <c r="F613" s="5">
        <v>261</v>
      </c>
      <c r="G613" s="5" t="s">
        <v>512</v>
      </c>
      <c r="H613" s="6">
        <v>9.06</v>
      </c>
      <c r="I613" s="5">
        <v>6</v>
      </c>
      <c r="J613" s="5" t="s">
        <v>4</v>
      </c>
      <c r="K613" s="5" t="s">
        <v>4</v>
      </c>
      <c r="L613" s="5">
        <v>108</v>
      </c>
      <c r="M613" s="5">
        <v>85</v>
      </c>
      <c r="N613" s="5" t="s">
        <v>17</v>
      </c>
      <c r="O613" s="5" t="str">
        <f>_xlfn.IFS('Data set'!$H613&lt;5.7,"Normal",'Data set'!$H613&lt;=6.4,"Prediabetes",'Data set'!$H613&lt;=7.5,"Diabetes",'Data set'!$H613&gt;=7.5,"Uncontrolled")</f>
        <v>Uncontrolled</v>
      </c>
      <c r="P613" s="5" t="str">
        <f>_xlfn.IFS('Data set'!$F613&lt;120,"Low",'Data set'!$F613&lt;=200,"Normal",'Data set'!$F613&lt;=240,"Boarderline",'Data set'!$F613&gt;=241,"High")</f>
        <v>High</v>
      </c>
      <c r="Q613" s="5" t="str">
        <f>_xlfn.IFS('Data set'!$D613&lt;=18.5,"Low",'Data set'!$D613&lt;=24.9,"Normal",'Data set'!$D613&lt;=29.9,"High",'Data set'!$D613&gt;29.9,"Very High")</f>
        <v>Very High</v>
      </c>
    </row>
    <row r="614" spans="1:17" x14ac:dyDescent="0.25">
      <c r="A614" s="3">
        <v>62</v>
      </c>
      <c r="B614" s="3" t="s">
        <v>9</v>
      </c>
      <c r="C614" s="4">
        <v>145.38999999999999</v>
      </c>
      <c r="D614" s="4">
        <v>35.89</v>
      </c>
      <c r="E614" s="3" t="s">
        <v>6</v>
      </c>
      <c r="F614" s="3">
        <v>251</v>
      </c>
      <c r="G614" s="3" t="s">
        <v>513</v>
      </c>
      <c r="H614" s="4">
        <v>6.89</v>
      </c>
      <c r="I614" s="3">
        <v>7</v>
      </c>
      <c r="J614" s="3" t="s">
        <v>4</v>
      </c>
      <c r="K614" s="3" t="s">
        <v>3</v>
      </c>
      <c r="L614" s="3">
        <v>121</v>
      </c>
      <c r="M614" s="3">
        <v>65</v>
      </c>
      <c r="N614" s="3" t="s">
        <v>21</v>
      </c>
      <c r="O614" s="3" t="str">
        <f>_xlfn.IFS('Data set'!$H614&lt;5.7,"Normal",'Data set'!$H614&lt;=6.4,"Prediabetes",'Data set'!$H614&lt;=7.5,"Diabetes",'Data set'!$H614&gt;=7.5,"Uncontrolled")</f>
        <v>Diabetes</v>
      </c>
      <c r="P614" s="3" t="str">
        <f>_xlfn.IFS('Data set'!$F614&lt;120,"Low",'Data set'!$F614&lt;=200,"Normal",'Data set'!$F614&lt;=240,"Boarderline",'Data set'!$F614&gt;=241,"High")</f>
        <v>High</v>
      </c>
      <c r="Q614" s="3" t="str">
        <f>_xlfn.IFS('Data set'!$D614&lt;=18.5,"Low",'Data set'!$D614&lt;=24.9,"Normal",'Data set'!$D614&lt;=29.9,"High",'Data set'!$D614&gt;29.9,"Very High")</f>
        <v>Very High</v>
      </c>
    </row>
    <row r="615" spans="1:17" x14ac:dyDescent="0.25">
      <c r="A615" s="5">
        <v>25</v>
      </c>
      <c r="B615" s="5" t="s">
        <v>9</v>
      </c>
      <c r="C615" s="6">
        <v>153.51</v>
      </c>
      <c r="D615" s="6">
        <v>28.65</v>
      </c>
      <c r="E615" s="5" t="s">
        <v>10</v>
      </c>
      <c r="F615" s="5">
        <v>104</v>
      </c>
      <c r="G615" s="5" t="s">
        <v>514</v>
      </c>
      <c r="H615" s="6">
        <v>9.4</v>
      </c>
      <c r="I615" s="5">
        <v>5</v>
      </c>
      <c r="J615" s="5" t="s">
        <v>3</v>
      </c>
      <c r="K615" s="5" t="s">
        <v>4</v>
      </c>
      <c r="L615" s="5">
        <v>135</v>
      </c>
      <c r="M615" s="5">
        <v>83</v>
      </c>
      <c r="N615" s="5" t="s">
        <v>17</v>
      </c>
      <c r="O615" s="5" t="str">
        <f>_xlfn.IFS('Data set'!$H615&lt;5.7,"Normal",'Data set'!$H615&lt;=6.4,"Prediabetes",'Data set'!$H615&lt;=7.5,"Diabetes",'Data set'!$H615&gt;=7.5,"Uncontrolled")</f>
        <v>Uncontrolled</v>
      </c>
      <c r="P615" s="5" t="str">
        <f>_xlfn.IFS('Data set'!$F615&lt;120,"Low",'Data set'!$F615&lt;=200,"Normal",'Data set'!$F615&lt;=240,"Boarderline",'Data set'!$F615&gt;=241,"High")</f>
        <v>Low</v>
      </c>
      <c r="Q615" s="5" t="str">
        <f>_xlfn.IFS('Data set'!$D615&lt;=18.5,"Low",'Data set'!$D615&lt;=24.9,"Normal",'Data set'!$D615&lt;=29.9,"High",'Data set'!$D615&gt;29.9,"Very High")</f>
        <v>High</v>
      </c>
    </row>
    <row r="616" spans="1:17" x14ac:dyDescent="0.25">
      <c r="A616" s="3">
        <v>60</v>
      </c>
      <c r="B616" s="3" t="s">
        <v>0</v>
      </c>
      <c r="C616" s="4">
        <v>139.96</v>
      </c>
      <c r="D616" s="4">
        <v>21.33</v>
      </c>
      <c r="E616" s="3" t="s">
        <v>1</v>
      </c>
      <c r="F616" s="3">
        <v>253</v>
      </c>
      <c r="G616" s="3" t="s">
        <v>184</v>
      </c>
      <c r="H616" s="4">
        <v>8.51</v>
      </c>
      <c r="I616" s="3">
        <v>4</v>
      </c>
      <c r="J616" s="3" t="s">
        <v>3</v>
      </c>
      <c r="K616" s="3" t="s">
        <v>4</v>
      </c>
      <c r="L616" s="3">
        <v>106</v>
      </c>
      <c r="M616" s="3">
        <v>68</v>
      </c>
      <c r="N616" s="3" t="s">
        <v>8</v>
      </c>
      <c r="O616" s="3" t="str">
        <f>_xlfn.IFS('Data set'!$H616&lt;5.7,"Normal",'Data set'!$H616&lt;=6.4,"Prediabetes",'Data set'!$H616&lt;=7.5,"Diabetes",'Data set'!$H616&gt;=7.5,"Uncontrolled")</f>
        <v>Uncontrolled</v>
      </c>
      <c r="P616" s="3" t="str">
        <f>_xlfn.IFS('Data set'!$F616&lt;120,"Low",'Data set'!$F616&lt;=200,"Normal",'Data set'!$F616&lt;=240,"Boarderline",'Data set'!$F616&gt;=241,"High")</f>
        <v>High</v>
      </c>
      <c r="Q616" s="3" t="str">
        <f>_xlfn.IFS('Data set'!$D616&lt;=18.5,"Low",'Data set'!$D616&lt;=24.9,"Normal",'Data set'!$D616&lt;=29.9,"High",'Data set'!$D616&gt;29.9,"Very High")</f>
        <v>Normal</v>
      </c>
    </row>
    <row r="617" spans="1:17" x14ac:dyDescent="0.25">
      <c r="A617" s="5">
        <v>59</v>
      </c>
      <c r="B617" s="5" t="s">
        <v>9</v>
      </c>
      <c r="C617" s="6">
        <v>138.09</v>
      </c>
      <c r="D617" s="6">
        <v>30.25</v>
      </c>
      <c r="E617" s="5" t="s">
        <v>10</v>
      </c>
      <c r="F617" s="5">
        <v>110</v>
      </c>
      <c r="G617" s="5" t="s">
        <v>515</v>
      </c>
      <c r="H617" s="6">
        <v>4.5999999999999996</v>
      </c>
      <c r="I617" s="5">
        <v>6</v>
      </c>
      <c r="J617" s="5" t="s">
        <v>4</v>
      </c>
      <c r="K617" s="5" t="s">
        <v>4</v>
      </c>
      <c r="L617" s="5">
        <v>136</v>
      </c>
      <c r="M617" s="5">
        <v>68</v>
      </c>
      <c r="N617" s="5" t="s">
        <v>8</v>
      </c>
      <c r="O617" s="5" t="str">
        <f>_xlfn.IFS('Data set'!$H617&lt;5.7,"Normal",'Data set'!$H617&lt;=6.4,"Prediabetes",'Data set'!$H617&lt;=7.5,"Diabetes",'Data set'!$H617&gt;=7.5,"Uncontrolled")</f>
        <v>Normal</v>
      </c>
      <c r="P617" s="5" t="str">
        <f>_xlfn.IFS('Data set'!$F617&lt;120,"Low",'Data set'!$F617&lt;=200,"Normal",'Data set'!$F617&lt;=240,"Boarderline",'Data set'!$F617&gt;=241,"High")</f>
        <v>Low</v>
      </c>
      <c r="Q617" s="5" t="str">
        <f>_xlfn.IFS('Data set'!$D617&lt;=18.5,"Low",'Data set'!$D617&lt;=24.9,"Normal",'Data set'!$D617&lt;=29.9,"High",'Data set'!$D617&gt;29.9,"Very High")</f>
        <v>Very High</v>
      </c>
    </row>
    <row r="618" spans="1:17" x14ac:dyDescent="0.25">
      <c r="A618" s="3">
        <v>47</v>
      </c>
      <c r="B618" s="3" t="s">
        <v>0</v>
      </c>
      <c r="C618" s="4">
        <v>74.66</v>
      </c>
      <c r="D618" s="4">
        <v>38.590000000000003</v>
      </c>
      <c r="E618" s="3" t="s">
        <v>14</v>
      </c>
      <c r="F618" s="3">
        <v>101</v>
      </c>
      <c r="G618" s="3" t="s">
        <v>516</v>
      </c>
      <c r="H618" s="4">
        <v>4.84</v>
      </c>
      <c r="I618" s="3">
        <v>5</v>
      </c>
      <c r="J618" s="3" t="s">
        <v>3</v>
      </c>
      <c r="K618" s="3" t="s">
        <v>3</v>
      </c>
      <c r="L618" s="3">
        <v>113</v>
      </c>
      <c r="M618" s="3">
        <v>86</v>
      </c>
      <c r="N618" s="3" t="s">
        <v>23</v>
      </c>
      <c r="O618" s="3" t="str">
        <f>_xlfn.IFS('Data set'!$H618&lt;5.7,"Normal",'Data set'!$H618&lt;=6.4,"Prediabetes",'Data set'!$H618&lt;=7.5,"Diabetes",'Data set'!$H618&gt;=7.5,"Uncontrolled")</f>
        <v>Normal</v>
      </c>
      <c r="P618" s="3" t="str">
        <f>_xlfn.IFS('Data set'!$F618&lt;120,"Low",'Data set'!$F618&lt;=200,"Normal",'Data set'!$F618&lt;=240,"Boarderline",'Data set'!$F618&gt;=241,"High")</f>
        <v>Low</v>
      </c>
      <c r="Q618" s="3" t="str">
        <f>_xlfn.IFS('Data set'!$D618&lt;=18.5,"Low",'Data set'!$D618&lt;=24.9,"Normal",'Data set'!$D618&lt;=29.9,"High",'Data set'!$D618&gt;29.9,"Very High")</f>
        <v>Very High</v>
      </c>
    </row>
    <row r="619" spans="1:17" x14ac:dyDescent="0.25">
      <c r="A619" s="5">
        <v>18</v>
      </c>
      <c r="B619" s="5" t="s">
        <v>9</v>
      </c>
      <c r="C619" s="6">
        <v>299.36</v>
      </c>
      <c r="D619" s="6">
        <v>38.75</v>
      </c>
      <c r="E619" s="5" t="s">
        <v>10</v>
      </c>
      <c r="F619" s="5">
        <v>298</v>
      </c>
      <c r="G619" s="5" t="s">
        <v>517</v>
      </c>
      <c r="H619" s="6">
        <v>7.34</v>
      </c>
      <c r="I619" s="5">
        <v>7</v>
      </c>
      <c r="J619" s="5" t="s">
        <v>4</v>
      </c>
      <c r="K619" s="5" t="s">
        <v>4</v>
      </c>
      <c r="L619" s="5">
        <v>106</v>
      </c>
      <c r="M619" s="5">
        <v>82</v>
      </c>
      <c r="N619" s="5" t="s">
        <v>17</v>
      </c>
      <c r="O619" s="5" t="str">
        <f>_xlfn.IFS('Data set'!$H619&lt;5.7,"Normal",'Data set'!$H619&lt;=6.4,"Prediabetes",'Data set'!$H619&lt;=7.5,"Diabetes",'Data set'!$H619&gt;=7.5,"Uncontrolled")</f>
        <v>Diabetes</v>
      </c>
      <c r="P619" s="5" t="str">
        <f>_xlfn.IFS('Data set'!$F619&lt;120,"Low",'Data set'!$F619&lt;=200,"Normal",'Data set'!$F619&lt;=240,"Boarderline",'Data set'!$F619&gt;=241,"High")</f>
        <v>High</v>
      </c>
      <c r="Q619" s="5" t="str">
        <f>_xlfn.IFS('Data set'!$D619&lt;=18.5,"Low",'Data set'!$D619&lt;=24.9,"Normal",'Data set'!$D619&lt;=29.9,"High",'Data set'!$D619&gt;29.9,"Very High")</f>
        <v>Very High</v>
      </c>
    </row>
    <row r="620" spans="1:17" x14ac:dyDescent="0.25">
      <c r="A620" s="3">
        <v>35</v>
      </c>
      <c r="B620" s="3" t="s">
        <v>0</v>
      </c>
      <c r="C620" s="4">
        <v>249.34</v>
      </c>
      <c r="D620" s="4">
        <v>23.57</v>
      </c>
      <c r="E620" s="3" t="s">
        <v>10</v>
      </c>
      <c r="F620" s="3">
        <v>218</v>
      </c>
      <c r="G620" s="3" t="s">
        <v>518</v>
      </c>
      <c r="H620" s="4">
        <v>4.3600000000000003</v>
      </c>
      <c r="I620" s="3">
        <v>6</v>
      </c>
      <c r="J620" s="3" t="s">
        <v>4</v>
      </c>
      <c r="K620" s="3" t="s">
        <v>3</v>
      </c>
      <c r="L620" s="3">
        <v>124</v>
      </c>
      <c r="M620" s="3">
        <v>85</v>
      </c>
      <c r="N620" s="3" t="s">
        <v>12</v>
      </c>
      <c r="O620" s="3" t="str">
        <f>_xlfn.IFS('Data set'!$H620&lt;5.7,"Normal",'Data set'!$H620&lt;=6.4,"Prediabetes",'Data set'!$H620&lt;=7.5,"Diabetes",'Data set'!$H620&gt;=7.5,"Uncontrolled")</f>
        <v>Normal</v>
      </c>
      <c r="P620" s="3" t="str">
        <f>_xlfn.IFS('Data set'!$F620&lt;120,"Low",'Data set'!$F620&lt;=200,"Normal",'Data set'!$F620&lt;=240,"Boarderline",'Data set'!$F620&gt;=241,"High")</f>
        <v>Boarderline</v>
      </c>
      <c r="Q620" s="3" t="str">
        <f>_xlfn.IFS('Data set'!$D620&lt;=18.5,"Low",'Data set'!$D620&lt;=24.9,"Normal",'Data set'!$D620&lt;=29.9,"High",'Data set'!$D620&gt;29.9,"Very High")</f>
        <v>Normal</v>
      </c>
    </row>
    <row r="621" spans="1:17" x14ac:dyDescent="0.25">
      <c r="A621" s="5">
        <v>73</v>
      </c>
      <c r="B621" s="5" t="s">
        <v>0</v>
      </c>
      <c r="C621" s="6">
        <v>280.52999999999997</v>
      </c>
      <c r="D621" s="6">
        <v>29.42</v>
      </c>
      <c r="E621" s="5" t="s">
        <v>6</v>
      </c>
      <c r="F621" s="5">
        <v>117</v>
      </c>
      <c r="G621" s="5" t="s">
        <v>519</v>
      </c>
      <c r="H621" s="6">
        <v>8.11</v>
      </c>
      <c r="I621" s="5">
        <v>2</v>
      </c>
      <c r="J621" s="5" t="s">
        <v>3</v>
      </c>
      <c r="K621" s="5" t="s">
        <v>4</v>
      </c>
      <c r="L621" s="5">
        <v>105</v>
      </c>
      <c r="M621" s="5">
        <v>78</v>
      </c>
      <c r="N621" s="5" t="s">
        <v>5</v>
      </c>
      <c r="O621" s="5" t="str">
        <f>_xlfn.IFS('Data set'!$H621&lt;5.7,"Normal",'Data set'!$H621&lt;=6.4,"Prediabetes",'Data set'!$H621&lt;=7.5,"Diabetes",'Data set'!$H621&gt;=7.5,"Uncontrolled")</f>
        <v>Uncontrolled</v>
      </c>
      <c r="P621" s="5" t="str">
        <f>_xlfn.IFS('Data set'!$F621&lt;120,"Low",'Data set'!$F621&lt;=200,"Normal",'Data set'!$F621&lt;=240,"Boarderline",'Data set'!$F621&gt;=241,"High")</f>
        <v>Low</v>
      </c>
      <c r="Q621" s="5" t="str">
        <f>_xlfn.IFS('Data set'!$D621&lt;=18.5,"Low",'Data set'!$D621&lt;=24.9,"Normal",'Data set'!$D621&lt;=29.9,"High",'Data set'!$D621&gt;29.9,"Very High")</f>
        <v>High</v>
      </c>
    </row>
    <row r="622" spans="1:17" x14ac:dyDescent="0.25">
      <c r="A622" s="3">
        <v>31</v>
      </c>
      <c r="B622" s="3" t="s">
        <v>0</v>
      </c>
      <c r="C622" s="4">
        <v>196.18</v>
      </c>
      <c r="D622" s="4">
        <v>20.02</v>
      </c>
      <c r="E622" s="3" t="s">
        <v>14</v>
      </c>
      <c r="F622" s="3">
        <v>230</v>
      </c>
      <c r="G622" s="3" t="s">
        <v>520</v>
      </c>
      <c r="H622" s="4">
        <v>4.9400000000000004</v>
      </c>
      <c r="I622" s="3">
        <v>2</v>
      </c>
      <c r="J622" s="3" t="s">
        <v>3</v>
      </c>
      <c r="K622" s="3" t="s">
        <v>3</v>
      </c>
      <c r="L622" s="3">
        <v>91</v>
      </c>
      <c r="M622" s="3">
        <v>61</v>
      </c>
      <c r="N622" s="3" t="s">
        <v>12</v>
      </c>
      <c r="O622" s="3" t="str">
        <f>_xlfn.IFS('Data set'!$H622&lt;5.7,"Normal",'Data set'!$H622&lt;=6.4,"Prediabetes",'Data set'!$H622&lt;=7.5,"Diabetes",'Data set'!$H622&gt;=7.5,"Uncontrolled")</f>
        <v>Normal</v>
      </c>
      <c r="P622" s="3" t="str">
        <f>_xlfn.IFS('Data set'!$F622&lt;120,"Low",'Data set'!$F622&lt;=200,"Normal",'Data set'!$F622&lt;=240,"Boarderline",'Data set'!$F622&gt;=241,"High")</f>
        <v>Boarderline</v>
      </c>
      <c r="Q622" s="3" t="str">
        <f>_xlfn.IFS('Data set'!$D622&lt;=18.5,"Low",'Data set'!$D622&lt;=24.9,"Normal",'Data set'!$D622&lt;=29.9,"High",'Data set'!$D622&gt;29.9,"Very High")</f>
        <v>Normal</v>
      </c>
    </row>
    <row r="623" spans="1:17" x14ac:dyDescent="0.25">
      <c r="A623" s="5">
        <v>70</v>
      </c>
      <c r="B623" s="5" t="s">
        <v>0</v>
      </c>
      <c r="C623" s="6">
        <v>103.77</v>
      </c>
      <c r="D623" s="6">
        <v>25.57</v>
      </c>
      <c r="E623" s="5" t="s">
        <v>10</v>
      </c>
      <c r="F623" s="5">
        <v>162</v>
      </c>
      <c r="G623" s="5" t="s">
        <v>521</v>
      </c>
      <c r="H623" s="6">
        <v>7.54</v>
      </c>
      <c r="I623" s="5">
        <v>3</v>
      </c>
      <c r="J623" s="5" t="s">
        <v>4</v>
      </c>
      <c r="K623" s="5" t="s">
        <v>3</v>
      </c>
      <c r="L623" s="5">
        <v>112</v>
      </c>
      <c r="M623" s="5">
        <v>66</v>
      </c>
      <c r="N623" s="5" t="s">
        <v>21</v>
      </c>
      <c r="O623" s="5" t="str">
        <f>_xlfn.IFS('Data set'!$H623&lt;5.7,"Normal",'Data set'!$H623&lt;=6.4,"Prediabetes",'Data set'!$H623&lt;=7.5,"Diabetes",'Data set'!$H623&gt;=7.5,"Uncontrolled")</f>
        <v>Uncontrolled</v>
      </c>
      <c r="P623" s="5" t="str">
        <f>_xlfn.IFS('Data set'!$F623&lt;120,"Low",'Data set'!$F623&lt;=200,"Normal",'Data set'!$F623&lt;=240,"Boarderline",'Data set'!$F623&gt;=241,"High")</f>
        <v>Normal</v>
      </c>
      <c r="Q623" s="5" t="str">
        <f>_xlfn.IFS('Data set'!$D623&lt;=18.5,"Low",'Data set'!$D623&lt;=24.9,"Normal",'Data set'!$D623&lt;=29.9,"High",'Data set'!$D623&gt;29.9,"Very High")</f>
        <v>High</v>
      </c>
    </row>
    <row r="624" spans="1:17" x14ac:dyDescent="0.25">
      <c r="A624" s="3">
        <v>38</v>
      </c>
      <c r="B624" s="3" t="s">
        <v>0</v>
      </c>
      <c r="C624" s="4">
        <v>285.63</v>
      </c>
      <c r="D624" s="4">
        <v>28.97</v>
      </c>
      <c r="E624" s="3" t="s">
        <v>1</v>
      </c>
      <c r="F624" s="3">
        <v>104</v>
      </c>
      <c r="G624" s="3" t="s">
        <v>212</v>
      </c>
      <c r="H624" s="4">
        <v>8.2899999999999991</v>
      </c>
      <c r="I624" s="3">
        <v>4</v>
      </c>
      <c r="J624" s="3" t="s">
        <v>3</v>
      </c>
      <c r="K624" s="3" t="s">
        <v>4</v>
      </c>
      <c r="L624" s="3">
        <v>136</v>
      </c>
      <c r="M624" s="3">
        <v>86</v>
      </c>
      <c r="N624" s="3" t="s">
        <v>12</v>
      </c>
      <c r="O624" s="3" t="str">
        <f>_xlfn.IFS('Data set'!$H624&lt;5.7,"Normal",'Data set'!$H624&lt;=6.4,"Prediabetes",'Data set'!$H624&lt;=7.5,"Diabetes",'Data set'!$H624&gt;=7.5,"Uncontrolled")</f>
        <v>Uncontrolled</v>
      </c>
      <c r="P624" s="3" t="str">
        <f>_xlfn.IFS('Data set'!$F624&lt;120,"Low",'Data set'!$F624&lt;=200,"Normal",'Data set'!$F624&lt;=240,"Boarderline",'Data set'!$F624&gt;=241,"High")</f>
        <v>Low</v>
      </c>
      <c r="Q624" s="3" t="str">
        <f>_xlfn.IFS('Data set'!$D624&lt;=18.5,"Low",'Data set'!$D624&lt;=24.9,"Normal",'Data set'!$D624&lt;=29.9,"High",'Data set'!$D624&gt;29.9,"Very High")</f>
        <v>High</v>
      </c>
    </row>
    <row r="625" spans="1:17" x14ac:dyDescent="0.25">
      <c r="A625" s="5">
        <v>34</v>
      </c>
      <c r="B625" s="5" t="s">
        <v>0</v>
      </c>
      <c r="C625" s="6">
        <v>214.6</v>
      </c>
      <c r="D625" s="6">
        <v>37.85</v>
      </c>
      <c r="E625" s="5" t="s">
        <v>6</v>
      </c>
      <c r="F625" s="5">
        <v>196</v>
      </c>
      <c r="G625" s="5" t="s">
        <v>522</v>
      </c>
      <c r="H625" s="6">
        <v>9.84</v>
      </c>
      <c r="I625" s="5">
        <v>4</v>
      </c>
      <c r="J625" s="5" t="s">
        <v>3</v>
      </c>
      <c r="K625" s="5" t="s">
        <v>3</v>
      </c>
      <c r="L625" s="5">
        <v>100</v>
      </c>
      <c r="M625" s="5">
        <v>78</v>
      </c>
      <c r="N625" s="5" t="s">
        <v>12</v>
      </c>
      <c r="O625" s="5" t="str">
        <f>_xlfn.IFS('Data set'!$H625&lt;5.7,"Normal",'Data set'!$H625&lt;=6.4,"Prediabetes",'Data set'!$H625&lt;=7.5,"Diabetes",'Data set'!$H625&gt;=7.5,"Uncontrolled")</f>
        <v>Uncontrolled</v>
      </c>
      <c r="P625" s="5" t="str">
        <f>_xlfn.IFS('Data set'!$F625&lt;120,"Low",'Data set'!$F625&lt;=200,"Normal",'Data set'!$F625&lt;=240,"Boarderline",'Data set'!$F625&gt;=241,"High")</f>
        <v>Normal</v>
      </c>
      <c r="Q625" s="5" t="str">
        <f>_xlfn.IFS('Data set'!$D625&lt;=18.5,"Low",'Data set'!$D625&lt;=24.9,"Normal",'Data set'!$D625&lt;=29.9,"High",'Data set'!$D625&gt;29.9,"Very High")</f>
        <v>Very High</v>
      </c>
    </row>
    <row r="626" spans="1:17" x14ac:dyDescent="0.25">
      <c r="A626" s="3">
        <v>69</v>
      </c>
      <c r="B626" s="3" t="s">
        <v>9</v>
      </c>
      <c r="C626" s="4">
        <v>226.11</v>
      </c>
      <c r="D626" s="4">
        <v>35.08</v>
      </c>
      <c r="E626" s="3" t="s">
        <v>10</v>
      </c>
      <c r="F626" s="3">
        <v>208</v>
      </c>
      <c r="G626" s="3" t="s">
        <v>523</v>
      </c>
      <c r="H626" s="4">
        <v>5.23</v>
      </c>
      <c r="I626" s="3">
        <v>1</v>
      </c>
      <c r="J626" s="3" t="s">
        <v>4</v>
      </c>
      <c r="K626" s="3" t="s">
        <v>4</v>
      </c>
      <c r="L626" s="3">
        <v>108</v>
      </c>
      <c r="M626" s="3">
        <v>62</v>
      </c>
      <c r="N626" s="3" t="s">
        <v>21</v>
      </c>
      <c r="O626" s="3" t="str">
        <f>_xlfn.IFS('Data set'!$H626&lt;5.7,"Normal",'Data set'!$H626&lt;=6.4,"Prediabetes",'Data set'!$H626&lt;=7.5,"Diabetes",'Data set'!$H626&gt;=7.5,"Uncontrolled")</f>
        <v>Normal</v>
      </c>
      <c r="P626" s="3" t="str">
        <f>_xlfn.IFS('Data set'!$F626&lt;120,"Low",'Data set'!$F626&lt;=200,"Normal",'Data set'!$F626&lt;=240,"Boarderline",'Data set'!$F626&gt;=241,"High")</f>
        <v>Boarderline</v>
      </c>
      <c r="Q626" s="3" t="str">
        <f>_xlfn.IFS('Data set'!$D626&lt;=18.5,"Low",'Data set'!$D626&lt;=24.9,"Normal",'Data set'!$D626&lt;=29.9,"High",'Data set'!$D626&gt;29.9,"Very High")</f>
        <v>Very High</v>
      </c>
    </row>
    <row r="627" spans="1:17" x14ac:dyDescent="0.25">
      <c r="A627" s="5">
        <v>21</v>
      </c>
      <c r="B627" s="5" t="s">
        <v>9</v>
      </c>
      <c r="C627" s="6">
        <v>261.64</v>
      </c>
      <c r="D627" s="6">
        <v>37.549999999999997</v>
      </c>
      <c r="E627" s="5" t="s">
        <v>6</v>
      </c>
      <c r="F627" s="5">
        <v>266</v>
      </c>
      <c r="G627" s="5" t="s">
        <v>88</v>
      </c>
      <c r="H627" s="6">
        <v>9.41</v>
      </c>
      <c r="I627" s="5">
        <v>2</v>
      </c>
      <c r="J627" s="5" t="s">
        <v>3</v>
      </c>
      <c r="K627" s="5" t="s">
        <v>4</v>
      </c>
      <c r="L627" s="5">
        <v>116</v>
      </c>
      <c r="M627" s="5">
        <v>74</v>
      </c>
      <c r="N627" s="5" t="s">
        <v>17</v>
      </c>
      <c r="O627" s="5" t="str">
        <f>_xlfn.IFS('Data set'!$H627&lt;5.7,"Normal",'Data set'!$H627&lt;=6.4,"Prediabetes",'Data set'!$H627&lt;=7.5,"Diabetes",'Data set'!$H627&gt;=7.5,"Uncontrolled")</f>
        <v>Uncontrolled</v>
      </c>
      <c r="P627" s="5" t="str">
        <f>_xlfn.IFS('Data set'!$F627&lt;120,"Low",'Data set'!$F627&lt;=200,"Normal",'Data set'!$F627&lt;=240,"Boarderline",'Data set'!$F627&gt;=241,"High")</f>
        <v>High</v>
      </c>
      <c r="Q627" s="5" t="str">
        <f>_xlfn.IFS('Data set'!$D627&lt;=18.5,"Low",'Data set'!$D627&lt;=24.9,"Normal",'Data set'!$D627&lt;=29.9,"High",'Data set'!$D627&gt;29.9,"Very High")</f>
        <v>Very High</v>
      </c>
    </row>
    <row r="628" spans="1:17" x14ac:dyDescent="0.25">
      <c r="A628" s="3">
        <v>61</v>
      </c>
      <c r="B628" s="3" t="s">
        <v>9</v>
      </c>
      <c r="C628" s="4">
        <v>115.19</v>
      </c>
      <c r="D628" s="4">
        <v>38.22</v>
      </c>
      <c r="E628" s="3" t="s">
        <v>6</v>
      </c>
      <c r="F628" s="3">
        <v>269</v>
      </c>
      <c r="G628" s="3" t="s">
        <v>524</v>
      </c>
      <c r="H628" s="4">
        <v>9.5</v>
      </c>
      <c r="I628" s="3">
        <v>7</v>
      </c>
      <c r="J628" s="3" t="s">
        <v>3</v>
      </c>
      <c r="K628" s="3" t="s">
        <v>4</v>
      </c>
      <c r="L628" s="3">
        <v>100</v>
      </c>
      <c r="M628" s="3">
        <v>89</v>
      </c>
      <c r="N628" s="3" t="s">
        <v>21</v>
      </c>
      <c r="O628" s="3" t="str">
        <f>_xlfn.IFS('Data set'!$H628&lt;5.7,"Normal",'Data set'!$H628&lt;=6.4,"Prediabetes",'Data set'!$H628&lt;=7.5,"Diabetes",'Data set'!$H628&gt;=7.5,"Uncontrolled")</f>
        <v>Uncontrolled</v>
      </c>
      <c r="P628" s="3" t="str">
        <f>_xlfn.IFS('Data set'!$F628&lt;120,"Low",'Data set'!$F628&lt;=200,"Normal",'Data set'!$F628&lt;=240,"Boarderline",'Data set'!$F628&gt;=241,"High")</f>
        <v>High</v>
      </c>
      <c r="Q628" s="3" t="str">
        <f>_xlfn.IFS('Data set'!$D628&lt;=18.5,"Low",'Data set'!$D628&lt;=24.9,"Normal",'Data set'!$D628&lt;=29.9,"High",'Data set'!$D628&gt;29.9,"Very High")</f>
        <v>Very High</v>
      </c>
    </row>
    <row r="629" spans="1:17" x14ac:dyDescent="0.25">
      <c r="A629" s="5">
        <v>23</v>
      </c>
      <c r="B629" s="5" t="s">
        <v>0</v>
      </c>
      <c r="C629" s="6">
        <v>260.85000000000002</v>
      </c>
      <c r="D629" s="6">
        <v>38.43</v>
      </c>
      <c r="E629" s="5" t="s">
        <v>10</v>
      </c>
      <c r="F629" s="5">
        <v>275</v>
      </c>
      <c r="G629" s="5" t="s">
        <v>525</v>
      </c>
      <c r="H629" s="6">
        <v>4.57</v>
      </c>
      <c r="I629" s="5">
        <v>1</v>
      </c>
      <c r="J629" s="5" t="s">
        <v>3</v>
      </c>
      <c r="K629" s="5" t="s">
        <v>4</v>
      </c>
      <c r="L629" s="5">
        <v>136</v>
      </c>
      <c r="M629" s="5">
        <v>87</v>
      </c>
      <c r="N629" s="5" t="s">
        <v>17</v>
      </c>
      <c r="O629" s="5" t="str">
        <f>_xlfn.IFS('Data set'!$H629&lt;5.7,"Normal",'Data set'!$H629&lt;=6.4,"Prediabetes",'Data set'!$H629&lt;=7.5,"Diabetes",'Data set'!$H629&gt;=7.5,"Uncontrolled")</f>
        <v>Normal</v>
      </c>
      <c r="P629" s="5" t="str">
        <f>_xlfn.IFS('Data set'!$F629&lt;120,"Low",'Data set'!$F629&lt;=200,"Normal",'Data set'!$F629&lt;=240,"Boarderline",'Data set'!$F629&gt;=241,"High")</f>
        <v>High</v>
      </c>
      <c r="Q629" s="5" t="str">
        <f>_xlfn.IFS('Data set'!$D629&lt;=18.5,"Low",'Data set'!$D629&lt;=24.9,"Normal",'Data set'!$D629&lt;=29.9,"High",'Data set'!$D629&gt;29.9,"Very High")</f>
        <v>Very High</v>
      </c>
    </row>
    <row r="630" spans="1:17" x14ac:dyDescent="0.25">
      <c r="A630" s="3">
        <v>77</v>
      </c>
      <c r="B630" s="3" t="s">
        <v>9</v>
      </c>
      <c r="C630" s="4">
        <v>100.4</v>
      </c>
      <c r="D630" s="4">
        <v>27.41</v>
      </c>
      <c r="E630" s="3" t="s">
        <v>10</v>
      </c>
      <c r="F630" s="3">
        <v>261</v>
      </c>
      <c r="G630" s="3" t="s">
        <v>272</v>
      </c>
      <c r="H630" s="4">
        <v>9.9700000000000006</v>
      </c>
      <c r="I630" s="3">
        <v>4</v>
      </c>
      <c r="J630" s="3" t="s">
        <v>4</v>
      </c>
      <c r="K630" s="3" t="s">
        <v>3</v>
      </c>
      <c r="L630" s="3">
        <v>121</v>
      </c>
      <c r="M630" s="3">
        <v>83</v>
      </c>
      <c r="N630" s="3" t="s">
        <v>5</v>
      </c>
      <c r="O630" s="3" t="str">
        <f>_xlfn.IFS('Data set'!$H630&lt;5.7,"Normal",'Data set'!$H630&lt;=6.4,"Prediabetes",'Data set'!$H630&lt;=7.5,"Diabetes",'Data set'!$H630&gt;=7.5,"Uncontrolled")</f>
        <v>Uncontrolled</v>
      </c>
      <c r="P630" s="3" t="str">
        <f>_xlfn.IFS('Data set'!$F630&lt;120,"Low",'Data set'!$F630&lt;=200,"Normal",'Data set'!$F630&lt;=240,"Boarderline",'Data set'!$F630&gt;=241,"High")</f>
        <v>High</v>
      </c>
      <c r="Q630" s="3" t="str">
        <f>_xlfn.IFS('Data set'!$D630&lt;=18.5,"Low",'Data set'!$D630&lt;=24.9,"Normal",'Data set'!$D630&lt;=29.9,"High",'Data set'!$D630&gt;29.9,"Very High")</f>
        <v>High</v>
      </c>
    </row>
    <row r="631" spans="1:17" x14ac:dyDescent="0.25">
      <c r="A631" s="5">
        <v>70</v>
      </c>
      <c r="B631" s="5" t="s">
        <v>9</v>
      </c>
      <c r="C631" s="6">
        <v>97.69</v>
      </c>
      <c r="D631" s="6">
        <v>36.33</v>
      </c>
      <c r="E631" s="5" t="s">
        <v>1</v>
      </c>
      <c r="F631" s="5">
        <v>274</v>
      </c>
      <c r="G631" s="5" t="s">
        <v>467</v>
      </c>
      <c r="H631" s="6">
        <v>7.46</v>
      </c>
      <c r="I631" s="5">
        <v>7</v>
      </c>
      <c r="J631" s="5" t="s">
        <v>4</v>
      </c>
      <c r="K631" s="5" t="s">
        <v>3</v>
      </c>
      <c r="L631" s="5">
        <v>127</v>
      </c>
      <c r="M631" s="5">
        <v>70</v>
      </c>
      <c r="N631" s="5" t="s">
        <v>21</v>
      </c>
      <c r="O631" s="5" t="str">
        <f>_xlfn.IFS('Data set'!$H631&lt;5.7,"Normal",'Data set'!$H631&lt;=6.4,"Prediabetes",'Data set'!$H631&lt;=7.5,"Diabetes",'Data set'!$H631&gt;=7.5,"Uncontrolled")</f>
        <v>Diabetes</v>
      </c>
      <c r="P631" s="5" t="str">
        <f>_xlfn.IFS('Data set'!$F631&lt;120,"Low",'Data set'!$F631&lt;=200,"Normal",'Data set'!$F631&lt;=240,"Boarderline",'Data set'!$F631&gt;=241,"High")</f>
        <v>High</v>
      </c>
      <c r="Q631" s="5" t="str">
        <f>_xlfn.IFS('Data set'!$D631&lt;=18.5,"Low",'Data set'!$D631&lt;=24.9,"Normal",'Data set'!$D631&lt;=29.9,"High",'Data set'!$D631&gt;29.9,"Very High")</f>
        <v>Very High</v>
      </c>
    </row>
    <row r="632" spans="1:17" x14ac:dyDescent="0.25">
      <c r="A632" s="3">
        <v>56</v>
      </c>
      <c r="B632" s="3" t="s">
        <v>0</v>
      </c>
      <c r="C632" s="4">
        <v>144.15</v>
      </c>
      <c r="D632" s="4">
        <v>18.579999999999998</v>
      </c>
      <c r="E632" s="3" t="s">
        <v>10</v>
      </c>
      <c r="F632" s="3">
        <v>233</v>
      </c>
      <c r="G632" s="3" t="s">
        <v>526</v>
      </c>
      <c r="H632" s="4">
        <v>4.25</v>
      </c>
      <c r="I632" s="3">
        <v>2</v>
      </c>
      <c r="J632" s="3" t="s">
        <v>4</v>
      </c>
      <c r="K632" s="3" t="s">
        <v>4</v>
      </c>
      <c r="L632" s="3">
        <v>137</v>
      </c>
      <c r="M632" s="3">
        <v>80</v>
      </c>
      <c r="N632" s="3" t="s">
        <v>8</v>
      </c>
      <c r="O632" s="3" t="str">
        <f>_xlfn.IFS('Data set'!$H632&lt;5.7,"Normal",'Data set'!$H632&lt;=6.4,"Prediabetes",'Data set'!$H632&lt;=7.5,"Diabetes",'Data set'!$H632&gt;=7.5,"Uncontrolled")</f>
        <v>Normal</v>
      </c>
      <c r="P632" s="3" t="str">
        <f>_xlfn.IFS('Data set'!$F632&lt;120,"Low",'Data set'!$F632&lt;=200,"Normal",'Data set'!$F632&lt;=240,"Boarderline",'Data set'!$F632&gt;=241,"High")</f>
        <v>Boarderline</v>
      </c>
      <c r="Q632" s="3" t="str">
        <f>_xlfn.IFS('Data set'!$D632&lt;=18.5,"Low",'Data set'!$D632&lt;=24.9,"Normal",'Data set'!$D632&lt;=29.9,"High",'Data set'!$D632&gt;29.9,"Very High")</f>
        <v>Normal</v>
      </c>
    </row>
    <row r="633" spans="1:17" x14ac:dyDescent="0.25">
      <c r="A633" s="5">
        <v>74</v>
      </c>
      <c r="B633" s="5" t="s">
        <v>9</v>
      </c>
      <c r="C633" s="6">
        <v>95.65</v>
      </c>
      <c r="D633" s="6">
        <v>22.01</v>
      </c>
      <c r="E633" s="5" t="s">
        <v>1</v>
      </c>
      <c r="F633" s="5">
        <v>130</v>
      </c>
      <c r="G633" s="5" t="s">
        <v>527</v>
      </c>
      <c r="H633" s="6">
        <v>9.08</v>
      </c>
      <c r="I633" s="5">
        <v>5</v>
      </c>
      <c r="J633" s="5" t="s">
        <v>4</v>
      </c>
      <c r="K633" s="5" t="s">
        <v>4</v>
      </c>
      <c r="L633" s="5">
        <v>92</v>
      </c>
      <c r="M633" s="5">
        <v>84</v>
      </c>
      <c r="N633" s="5" t="s">
        <v>5</v>
      </c>
      <c r="O633" s="5" t="str">
        <f>_xlfn.IFS('Data set'!$H633&lt;5.7,"Normal",'Data set'!$H633&lt;=6.4,"Prediabetes",'Data set'!$H633&lt;=7.5,"Diabetes",'Data set'!$H633&gt;=7.5,"Uncontrolled")</f>
        <v>Uncontrolled</v>
      </c>
      <c r="P633" s="5" t="str">
        <f>_xlfn.IFS('Data set'!$F633&lt;120,"Low",'Data set'!$F633&lt;=200,"Normal",'Data set'!$F633&lt;=240,"Boarderline",'Data set'!$F633&gt;=241,"High")</f>
        <v>Normal</v>
      </c>
      <c r="Q633" s="5" t="str">
        <f>_xlfn.IFS('Data set'!$D633&lt;=18.5,"Low",'Data set'!$D633&lt;=24.9,"Normal",'Data set'!$D633&lt;=29.9,"High",'Data set'!$D633&gt;29.9,"Very High")</f>
        <v>Normal</v>
      </c>
    </row>
    <row r="634" spans="1:17" x14ac:dyDescent="0.25">
      <c r="A634" s="3">
        <v>68</v>
      </c>
      <c r="B634" s="3" t="s">
        <v>9</v>
      </c>
      <c r="C634" s="4">
        <v>268.56</v>
      </c>
      <c r="D634" s="4">
        <v>38.770000000000003</v>
      </c>
      <c r="E634" s="3" t="s">
        <v>6</v>
      </c>
      <c r="F634" s="3">
        <v>150</v>
      </c>
      <c r="G634" s="3" t="s">
        <v>528</v>
      </c>
      <c r="H634" s="4">
        <v>8.92</v>
      </c>
      <c r="I634" s="3">
        <v>6</v>
      </c>
      <c r="J634" s="3" t="s">
        <v>4</v>
      </c>
      <c r="K634" s="3" t="s">
        <v>4</v>
      </c>
      <c r="L634" s="3">
        <v>138</v>
      </c>
      <c r="M634" s="3">
        <v>64</v>
      </c>
      <c r="N634" s="3" t="s">
        <v>21</v>
      </c>
      <c r="O634" s="3" t="str">
        <f>_xlfn.IFS('Data set'!$H634&lt;5.7,"Normal",'Data set'!$H634&lt;=6.4,"Prediabetes",'Data set'!$H634&lt;=7.5,"Diabetes",'Data set'!$H634&gt;=7.5,"Uncontrolled")</f>
        <v>Uncontrolled</v>
      </c>
      <c r="P634" s="3" t="str">
        <f>_xlfn.IFS('Data set'!$F634&lt;120,"Low",'Data set'!$F634&lt;=200,"Normal",'Data set'!$F634&lt;=240,"Boarderline",'Data set'!$F634&gt;=241,"High")</f>
        <v>Normal</v>
      </c>
      <c r="Q634" s="3" t="str">
        <f>_xlfn.IFS('Data set'!$D634&lt;=18.5,"Low",'Data set'!$D634&lt;=24.9,"Normal",'Data set'!$D634&lt;=29.9,"High",'Data set'!$D634&gt;29.9,"Very High")</f>
        <v>Very High</v>
      </c>
    </row>
    <row r="635" spans="1:17" x14ac:dyDescent="0.25">
      <c r="A635" s="5">
        <v>33</v>
      </c>
      <c r="B635" s="5" t="s">
        <v>0</v>
      </c>
      <c r="C635" s="6">
        <v>121.08</v>
      </c>
      <c r="D635" s="6">
        <v>27.11</v>
      </c>
      <c r="E635" s="5" t="s">
        <v>14</v>
      </c>
      <c r="F635" s="5">
        <v>280</v>
      </c>
      <c r="G635" s="5" t="s">
        <v>315</v>
      </c>
      <c r="H635" s="6">
        <v>8.85</v>
      </c>
      <c r="I635" s="5">
        <v>4</v>
      </c>
      <c r="J635" s="5" t="s">
        <v>4</v>
      </c>
      <c r="K635" s="5" t="s">
        <v>4</v>
      </c>
      <c r="L635" s="5">
        <v>98</v>
      </c>
      <c r="M635" s="5">
        <v>83</v>
      </c>
      <c r="N635" s="5" t="s">
        <v>12</v>
      </c>
      <c r="O635" s="5" t="str">
        <f>_xlfn.IFS('Data set'!$H635&lt;5.7,"Normal",'Data set'!$H635&lt;=6.4,"Prediabetes",'Data set'!$H635&lt;=7.5,"Diabetes",'Data set'!$H635&gt;=7.5,"Uncontrolled")</f>
        <v>Uncontrolled</v>
      </c>
      <c r="P635" s="5" t="str">
        <f>_xlfn.IFS('Data set'!$F635&lt;120,"Low",'Data set'!$F635&lt;=200,"Normal",'Data set'!$F635&lt;=240,"Boarderline",'Data set'!$F635&gt;=241,"High")</f>
        <v>High</v>
      </c>
      <c r="Q635" s="5" t="str">
        <f>_xlfn.IFS('Data set'!$D635&lt;=18.5,"Low",'Data set'!$D635&lt;=24.9,"Normal",'Data set'!$D635&lt;=29.9,"High",'Data set'!$D635&gt;29.9,"Very High")</f>
        <v>High</v>
      </c>
    </row>
    <row r="636" spans="1:17" x14ac:dyDescent="0.25">
      <c r="A636" s="3">
        <v>35</v>
      </c>
      <c r="B636" s="3" t="s">
        <v>9</v>
      </c>
      <c r="C636" s="4">
        <v>172.6</v>
      </c>
      <c r="D636" s="4">
        <v>31.95</v>
      </c>
      <c r="E636" s="3" t="s">
        <v>10</v>
      </c>
      <c r="F636" s="3">
        <v>255</v>
      </c>
      <c r="G636" s="3" t="s">
        <v>529</v>
      </c>
      <c r="H636" s="4">
        <v>8.09</v>
      </c>
      <c r="I636" s="3">
        <v>0</v>
      </c>
      <c r="J636" s="3" t="s">
        <v>3</v>
      </c>
      <c r="K636" s="3" t="s">
        <v>3</v>
      </c>
      <c r="L636" s="3">
        <v>103</v>
      </c>
      <c r="M636" s="3">
        <v>60</v>
      </c>
      <c r="N636" s="3" t="s">
        <v>12</v>
      </c>
      <c r="O636" s="3" t="str">
        <f>_xlfn.IFS('Data set'!$H636&lt;5.7,"Normal",'Data set'!$H636&lt;=6.4,"Prediabetes",'Data set'!$H636&lt;=7.5,"Diabetes",'Data set'!$H636&gt;=7.5,"Uncontrolled")</f>
        <v>Uncontrolled</v>
      </c>
      <c r="P636" s="3" t="str">
        <f>_xlfn.IFS('Data set'!$F636&lt;120,"Low",'Data set'!$F636&lt;=200,"Normal",'Data set'!$F636&lt;=240,"Boarderline",'Data set'!$F636&gt;=241,"High")</f>
        <v>High</v>
      </c>
      <c r="Q636" s="3" t="str">
        <f>_xlfn.IFS('Data set'!$D636&lt;=18.5,"Low",'Data set'!$D636&lt;=24.9,"Normal",'Data set'!$D636&lt;=29.9,"High",'Data set'!$D636&gt;29.9,"Very High")</f>
        <v>Very High</v>
      </c>
    </row>
    <row r="637" spans="1:17" x14ac:dyDescent="0.25">
      <c r="A637" s="5">
        <v>32</v>
      </c>
      <c r="B637" s="5" t="s">
        <v>9</v>
      </c>
      <c r="C637" s="6">
        <v>195.05</v>
      </c>
      <c r="D637" s="6">
        <v>32.61</v>
      </c>
      <c r="E637" s="5" t="s">
        <v>14</v>
      </c>
      <c r="F637" s="5">
        <v>168</v>
      </c>
      <c r="G637" s="5" t="s">
        <v>444</v>
      </c>
      <c r="H637" s="6">
        <v>6.16</v>
      </c>
      <c r="I637" s="5">
        <v>3</v>
      </c>
      <c r="J637" s="5" t="s">
        <v>3</v>
      </c>
      <c r="K637" s="5" t="s">
        <v>3</v>
      </c>
      <c r="L637" s="5">
        <v>100</v>
      </c>
      <c r="M637" s="5">
        <v>88</v>
      </c>
      <c r="N637" s="5" t="s">
        <v>12</v>
      </c>
      <c r="O637" s="5" t="str">
        <f>_xlfn.IFS('Data set'!$H637&lt;5.7,"Normal",'Data set'!$H637&lt;=6.4,"Prediabetes",'Data set'!$H637&lt;=7.5,"Diabetes",'Data set'!$H637&gt;=7.5,"Uncontrolled")</f>
        <v>Prediabetes</v>
      </c>
      <c r="P637" s="5" t="str">
        <f>_xlfn.IFS('Data set'!$F637&lt;120,"Low",'Data set'!$F637&lt;=200,"Normal",'Data set'!$F637&lt;=240,"Boarderline",'Data set'!$F637&gt;=241,"High")</f>
        <v>Normal</v>
      </c>
      <c r="Q637" s="5" t="str">
        <f>_xlfn.IFS('Data set'!$D637&lt;=18.5,"Low",'Data set'!$D637&lt;=24.9,"Normal",'Data set'!$D637&lt;=29.9,"High",'Data set'!$D637&gt;29.9,"Very High")</f>
        <v>Very High</v>
      </c>
    </row>
    <row r="638" spans="1:17" x14ac:dyDescent="0.25">
      <c r="A638" s="3">
        <v>62</v>
      </c>
      <c r="B638" s="3" t="s">
        <v>0</v>
      </c>
      <c r="C638" s="4">
        <v>231.19</v>
      </c>
      <c r="D638" s="4">
        <v>26.33</v>
      </c>
      <c r="E638" s="3" t="s">
        <v>14</v>
      </c>
      <c r="F638" s="3">
        <v>289</v>
      </c>
      <c r="G638" s="3" t="s">
        <v>530</v>
      </c>
      <c r="H638" s="4">
        <v>4.49</v>
      </c>
      <c r="I638" s="3">
        <v>3</v>
      </c>
      <c r="J638" s="3" t="s">
        <v>3</v>
      </c>
      <c r="K638" s="3" t="s">
        <v>3</v>
      </c>
      <c r="L638" s="3">
        <v>104</v>
      </c>
      <c r="M638" s="3">
        <v>61</v>
      </c>
      <c r="N638" s="3" t="s">
        <v>21</v>
      </c>
      <c r="O638" s="3" t="str">
        <f>_xlfn.IFS('Data set'!$H638&lt;5.7,"Normal",'Data set'!$H638&lt;=6.4,"Prediabetes",'Data set'!$H638&lt;=7.5,"Diabetes",'Data set'!$H638&gt;=7.5,"Uncontrolled")</f>
        <v>Normal</v>
      </c>
      <c r="P638" s="3" t="str">
        <f>_xlfn.IFS('Data set'!$F638&lt;120,"Low",'Data set'!$F638&lt;=200,"Normal",'Data set'!$F638&lt;=240,"Boarderline",'Data set'!$F638&gt;=241,"High")</f>
        <v>High</v>
      </c>
      <c r="Q638" s="3" t="str">
        <f>_xlfn.IFS('Data set'!$D638&lt;=18.5,"Low",'Data set'!$D638&lt;=24.9,"Normal",'Data set'!$D638&lt;=29.9,"High",'Data set'!$D638&gt;29.9,"Very High")</f>
        <v>High</v>
      </c>
    </row>
    <row r="639" spans="1:17" x14ac:dyDescent="0.25">
      <c r="A639" s="5">
        <v>68</v>
      </c>
      <c r="B639" s="5" t="s">
        <v>0</v>
      </c>
      <c r="C639" s="6">
        <v>97.86</v>
      </c>
      <c r="D639" s="6">
        <v>39.630000000000003</v>
      </c>
      <c r="E639" s="5" t="s">
        <v>10</v>
      </c>
      <c r="F639" s="5">
        <v>182</v>
      </c>
      <c r="G639" s="5" t="s">
        <v>531</v>
      </c>
      <c r="H639" s="6">
        <v>8.6300000000000008</v>
      </c>
      <c r="I639" s="5">
        <v>7</v>
      </c>
      <c r="J639" s="5" t="s">
        <v>4</v>
      </c>
      <c r="K639" s="5" t="s">
        <v>4</v>
      </c>
      <c r="L639" s="5">
        <v>112</v>
      </c>
      <c r="M639" s="5">
        <v>62</v>
      </c>
      <c r="N639" s="5" t="s">
        <v>21</v>
      </c>
      <c r="O639" s="5" t="str">
        <f>_xlfn.IFS('Data set'!$H639&lt;5.7,"Normal",'Data set'!$H639&lt;=6.4,"Prediabetes",'Data set'!$H639&lt;=7.5,"Diabetes",'Data set'!$H639&gt;=7.5,"Uncontrolled")</f>
        <v>Uncontrolled</v>
      </c>
      <c r="P639" s="5" t="str">
        <f>_xlfn.IFS('Data set'!$F639&lt;120,"Low",'Data set'!$F639&lt;=200,"Normal",'Data set'!$F639&lt;=240,"Boarderline",'Data set'!$F639&gt;=241,"High")</f>
        <v>Normal</v>
      </c>
      <c r="Q639" s="5" t="str">
        <f>_xlfn.IFS('Data set'!$D639&lt;=18.5,"Low",'Data set'!$D639&lt;=24.9,"Normal",'Data set'!$D639&lt;=29.9,"High",'Data set'!$D639&gt;29.9,"Very High")</f>
        <v>Very High</v>
      </c>
    </row>
    <row r="640" spans="1:17" x14ac:dyDescent="0.25">
      <c r="A640" s="3">
        <v>78</v>
      </c>
      <c r="B640" s="3" t="s">
        <v>9</v>
      </c>
      <c r="C640" s="4">
        <v>243.91</v>
      </c>
      <c r="D640" s="4">
        <v>33.979999999999997</v>
      </c>
      <c r="E640" s="3" t="s">
        <v>14</v>
      </c>
      <c r="F640" s="3">
        <v>299</v>
      </c>
      <c r="G640" s="3" t="s">
        <v>532</v>
      </c>
      <c r="H640" s="4">
        <v>4.32</v>
      </c>
      <c r="I640" s="3">
        <v>6</v>
      </c>
      <c r="J640" s="3" t="s">
        <v>4</v>
      </c>
      <c r="K640" s="3" t="s">
        <v>3</v>
      </c>
      <c r="L640" s="3">
        <v>126</v>
      </c>
      <c r="M640" s="3">
        <v>67</v>
      </c>
      <c r="N640" s="3" t="s">
        <v>5</v>
      </c>
      <c r="O640" s="3" t="str">
        <f>_xlfn.IFS('Data set'!$H640&lt;5.7,"Normal",'Data set'!$H640&lt;=6.4,"Prediabetes",'Data set'!$H640&lt;=7.5,"Diabetes",'Data set'!$H640&gt;=7.5,"Uncontrolled")</f>
        <v>Normal</v>
      </c>
      <c r="P640" s="3" t="str">
        <f>_xlfn.IFS('Data set'!$F640&lt;120,"Low",'Data set'!$F640&lt;=200,"Normal",'Data set'!$F640&lt;=240,"Boarderline",'Data set'!$F640&gt;=241,"High")</f>
        <v>High</v>
      </c>
      <c r="Q640" s="3" t="str">
        <f>_xlfn.IFS('Data set'!$D640&lt;=18.5,"Low",'Data set'!$D640&lt;=24.9,"Normal",'Data set'!$D640&lt;=29.9,"High",'Data set'!$D640&gt;29.9,"Very High")</f>
        <v>Very High</v>
      </c>
    </row>
    <row r="641" spans="1:17" x14ac:dyDescent="0.25">
      <c r="A641" s="5">
        <v>27</v>
      </c>
      <c r="B641" s="5" t="s">
        <v>9</v>
      </c>
      <c r="C641" s="6">
        <v>160.62</v>
      </c>
      <c r="D641" s="6">
        <v>28.98</v>
      </c>
      <c r="E641" s="5" t="s">
        <v>1</v>
      </c>
      <c r="F641" s="5">
        <v>281</v>
      </c>
      <c r="G641" s="5" t="s">
        <v>533</v>
      </c>
      <c r="H641" s="6">
        <v>8.2200000000000006</v>
      </c>
      <c r="I641" s="5">
        <v>1</v>
      </c>
      <c r="J641" s="5" t="s">
        <v>4</v>
      </c>
      <c r="K641" s="5" t="s">
        <v>4</v>
      </c>
      <c r="L641" s="5">
        <v>134</v>
      </c>
      <c r="M641" s="5">
        <v>73</v>
      </c>
      <c r="N641" s="5" t="s">
        <v>17</v>
      </c>
      <c r="O641" s="5" t="str">
        <f>_xlfn.IFS('Data set'!$H641&lt;5.7,"Normal",'Data set'!$H641&lt;=6.4,"Prediabetes",'Data set'!$H641&lt;=7.5,"Diabetes",'Data set'!$H641&gt;=7.5,"Uncontrolled")</f>
        <v>Uncontrolled</v>
      </c>
      <c r="P641" s="5" t="str">
        <f>_xlfn.IFS('Data set'!$F641&lt;120,"Low",'Data set'!$F641&lt;=200,"Normal",'Data set'!$F641&lt;=240,"Boarderline",'Data set'!$F641&gt;=241,"High")</f>
        <v>High</v>
      </c>
      <c r="Q641" s="5" t="str">
        <f>_xlfn.IFS('Data set'!$D641&lt;=18.5,"Low",'Data set'!$D641&lt;=24.9,"Normal",'Data set'!$D641&lt;=29.9,"High",'Data set'!$D641&gt;29.9,"Very High")</f>
        <v>High</v>
      </c>
    </row>
    <row r="642" spans="1:17" x14ac:dyDescent="0.25">
      <c r="A642" s="3">
        <v>55</v>
      </c>
      <c r="B642" s="3" t="s">
        <v>9</v>
      </c>
      <c r="C642" s="4">
        <v>89.17</v>
      </c>
      <c r="D642" s="4">
        <v>27.04</v>
      </c>
      <c r="E642" s="3" t="s">
        <v>10</v>
      </c>
      <c r="F642" s="3">
        <v>266</v>
      </c>
      <c r="G642" s="3" t="s">
        <v>280</v>
      </c>
      <c r="H642" s="4">
        <v>8.08</v>
      </c>
      <c r="I642" s="3">
        <v>6</v>
      </c>
      <c r="J642" s="3" t="s">
        <v>3</v>
      </c>
      <c r="K642" s="3" t="s">
        <v>3</v>
      </c>
      <c r="L642" s="3">
        <v>103</v>
      </c>
      <c r="M642" s="3">
        <v>71</v>
      </c>
      <c r="N642" s="3" t="s">
        <v>8</v>
      </c>
      <c r="O642" s="3" t="str">
        <f>_xlfn.IFS('Data set'!$H642&lt;5.7,"Normal",'Data set'!$H642&lt;=6.4,"Prediabetes",'Data set'!$H642&lt;=7.5,"Diabetes",'Data set'!$H642&gt;=7.5,"Uncontrolled")</f>
        <v>Uncontrolled</v>
      </c>
      <c r="P642" s="3" t="str">
        <f>_xlfn.IFS('Data set'!$F642&lt;120,"Low",'Data set'!$F642&lt;=200,"Normal",'Data set'!$F642&lt;=240,"Boarderline",'Data set'!$F642&gt;=241,"High")</f>
        <v>High</v>
      </c>
      <c r="Q642" s="3" t="str">
        <f>_xlfn.IFS('Data set'!$D642&lt;=18.5,"Low",'Data set'!$D642&lt;=24.9,"Normal",'Data set'!$D642&lt;=29.9,"High",'Data set'!$D642&gt;29.9,"Very High")</f>
        <v>High</v>
      </c>
    </row>
    <row r="643" spans="1:17" x14ac:dyDescent="0.25">
      <c r="A643" s="5">
        <v>80</v>
      </c>
      <c r="B643" s="5" t="s">
        <v>0</v>
      </c>
      <c r="C643" s="6">
        <v>215.83</v>
      </c>
      <c r="D643" s="6">
        <v>21.54</v>
      </c>
      <c r="E643" s="5" t="s">
        <v>6</v>
      </c>
      <c r="F643" s="5">
        <v>187</v>
      </c>
      <c r="G643" s="5" t="s">
        <v>534</v>
      </c>
      <c r="H643" s="6">
        <v>4.82</v>
      </c>
      <c r="I643" s="5">
        <v>3</v>
      </c>
      <c r="J643" s="5" t="s">
        <v>3</v>
      </c>
      <c r="K643" s="5" t="s">
        <v>3</v>
      </c>
      <c r="L643" s="5">
        <v>96</v>
      </c>
      <c r="M643" s="5">
        <v>78</v>
      </c>
      <c r="N643" s="5" t="s">
        <v>5</v>
      </c>
      <c r="O643" s="5" t="str">
        <f>_xlfn.IFS('Data set'!$H643&lt;5.7,"Normal",'Data set'!$H643&lt;=6.4,"Prediabetes",'Data set'!$H643&lt;=7.5,"Diabetes",'Data set'!$H643&gt;=7.5,"Uncontrolled")</f>
        <v>Normal</v>
      </c>
      <c r="P643" s="5" t="str">
        <f>_xlfn.IFS('Data set'!$F643&lt;120,"Low",'Data set'!$F643&lt;=200,"Normal",'Data set'!$F643&lt;=240,"Boarderline",'Data set'!$F643&gt;=241,"High")</f>
        <v>Normal</v>
      </c>
      <c r="Q643" s="5" t="str">
        <f>_xlfn.IFS('Data set'!$D643&lt;=18.5,"Low",'Data set'!$D643&lt;=24.9,"Normal",'Data set'!$D643&lt;=29.9,"High",'Data set'!$D643&gt;29.9,"Very High")</f>
        <v>Normal</v>
      </c>
    </row>
    <row r="644" spans="1:17" x14ac:dyDescent="0.25">
      <c r="A644" s="3">
        <v>60</v>
      </c>
      <c r="B644" s="3" t="s">
        <v>9</v>
      </c>
      <c r="C644" s="4">
        <v>256.33999999999997</v>
      </c>
      <c r="D644" s="4">
        <v>32.880000000000003</v>
      </c>
      <c r="E644" s="3" t="s">
        <v>14</v>
      </c>
      <c r="F644" s="3">
        <v>202</v>
      </c>
      <c r="G644" s="3" t="s">
        <v>535</v>
      </c>
      <c r="H644" s="4">
        <v>7.98</v>
      </c>
      <c r="I644" s="3">
        <v>7</v>
      </c>
      <c r="J644" s="3" t="s">
        <v>4</v>
      </c>
      <c r="K644" s="3" t="s">
        <v>3</v>
      </c>
      <c r="L644" s="3">
        <v>107</v>
      </c>
      <c r="M644" s="3">
        <v>65</v>
      </c>
      <c r="N644" s="3" t="s">
        <v>8</v>
      </c>
      <c r="O644" s="3" t="str">
        <f>_xlfn.IFS('Data set'!$H644&lt;5.7,"Normal",'Data set'!$H644&lt;=6.4,"Prediabetes",'Data set'!$H644&lt;=7.5,"Diabetes",'Data set'!$H644&gt;=7.5,"Uncontrolled")</f>
        <v>Uncontrolled</v>
      </c>
      <c r="P644" s="3" t="str">
        <f>_xlfn.IFS('Data set'!$F644&lt;120,"Low",'Data set'!$F644&lt;=200,"Normal",'Data set'!$F644&lt;=240,"Boarderline",'Data set'!$F644&gt;=241,"High")</f>
        <v>Boarderline</v>
      </c>
      <c r="Q644" s="3" t="str">
        <f>_xlfn.IFS('Data set'!$D644&lt;=18.5,"Low",'Data set'!$D644&lt;=24.9,"Normal",'Data set'!$D644&lt;=29.9,"High",'Data set'!$D644&gt;29.9,"Very High")</f>
        <v>Very High</v>
      </c>
    </row>
    <row r="645" spans="1:17" x14ac:dyDescent="0.25">
      <c r="A645" s="5">
        <v>41</v>
      </c>
      <c r="B645" s="5" t="s">
        <v>9</v>
      </c>
      <c r="C645" s="6">
        <v>101.59</v>
      </c>
      <c r="D645" s="6">
        <v>35.700000000000003</v>
      </c>
      <c r="E645" s="5" t="s">
        <v>10</v>
      </c>
      <c r="F645" s="5">
        <v>299</v>
      </c>
      <c r="G645" s="5" t="s">
        <v>536</v>
      </c>
      <c r="H645" s="6">
        <v>4.88</v>
      </c>
      <c r="I645" s="5">
        <v>7</v>
      </c>
      <c r="J645" s="5" t="s">
        <v>3</v>
      </c>
      <c r="K645" s="5" t="s">
        <v>3</v>
      </c>
      <c r="L645" s="5">
        <v>111</v>
      </c>
      <c r="M645" s="5">
        <v>61</v>
      </c>
      <c r="N645" s="5" t="s">
        <v>23</v>
      </c>
      <c r="O645" s="5" t="str">
        <f>_xlfn.IFS('Data set'!$H645&lt;5.7,"Normal",'Data set'!$H645&lt;=6.4,"Prediabetes",'Data set'!$H645&lt;=7.5,"Diabetes",'Data set'!$H645&gt;=7.5,"Uncontrolled")</f>
        <v>Normal</v>
      </c>
      <c r="P645" s="5" t="str">
        <f>_xlfn.IFS('Data set'!$F645&lt;120,"Low",'Data set'!$F645&lt;=200,"Normal",'Data set'!$F645&lt;=240,"Boarderline",'Data set'!$F645&gt;=241,"High")</f>
        <v>High</v>
      </c>
      <c r="Q645" s="5" t="str">
        <f>_xlfn.IFS('Data set'!$D645&lt;=18.5,"Low",'Data set'!$D645&lt;=24.9,"Normal",'Data set'!$D645&lt;=29.9,"High",'Data set'!$D645&gt;29.9,"Very High")</f>
        <v>Very High</v>
      </c>
    </row>
    <row r="646" spans="1:17" x14ac:dyDescent="0.25">
      <c r="A646" s="3">
        <v>39</v>
      </c>
      <c r="B646" s="3" t="s">
        <v>0</v>
      </c>
      <c r="C646" s="4">
        <v>233.99</v>
      </c>
      <c r="D646" s="4">
        <v>38.549999999999997</v>
      </c>
      <c r="E646" s="3" t="s">
        <v>10</v>
      </c>
      <c r="F646" s="3">
        <v>232</v>
      </c>
      <c r="G646" s="3" t="s">
        <v>537</v>
      </c>
      <c r="H646" s="4">
        <v>7.6</v>
      </c>
      <c r="I646" s="3">
        <v>6</v>
      </c>
      <c r="J646" s="3" t="s">
        <v>3</v>
      </c>
      <c r="K646" s="3" t="s">
        <v>4</v>
      </c>
      <c r="L646" s="3">
        <v>99</v>
      </c>
      <c r="M646" s="3">
        <v>73</v>
      </c>
      <c r="N646" s="3" t="s">
        <v>12</v>
      </c>
      <c r="O646" s="3" t="str">
        <f>_xlfn.IFS('Data set'!$H646&lt;5.7,"Normal",'Data set'!$H646&lt;=6.4,"Prediabetes",'Data set'!$H646&lt;=7.5,"Diabetes",'Data set'!$H646&gt;=7.5,"Uncontrolled")</f>
        <v>Uncontrolled</v>
      </c>
      <c r="P646" s="3" t="str">
        <f>_xlfn.IFS('Data set'!$F646&lt;120,"Low",'Data set'!$F646&lt;=200,"Normal",'Data set'!$F646&lt;=240,"Boarderline",'Data set'!$F646&gt;=241,"High")</f>
        <v>Boarderline</v>
      </c>
      <c r="Q646" s="3" t="str">
        <f>_xlfn.IFS('Data set'!$D646&lt;=18.5,"Low",'Data set'!$D646&lt;=24.9,"Normal",'Data set'!$D646&lt;=29.9,"High",'Data set'!$D646&gt;29.9,"Very High")</f>
        <v>Very High</v>
      </c>
    </row>
    <row r="647" spans="1:17" x14ac:dyDescent="0.25">
      <c r="A647" s="5">
        <v>78</v>
      </c>
      <c r="B647" s="5" t="s">
        <v>9</v>
      </c>
      <c r="C647" s="6">
        <v>197.18</v>
      </c>
      <c r="D647" s="6">
        <v>32.6</v>
      </c>
      <c r="E647" s="5" t="s">
        <v>10</v>
      </c>
      <c r="F647" s="5">
        <v>201</v>
      </c>
      <c r="G647" s="5" t="s">
        <v>178</v>
      </c>
      <c r="H647" s="6">
        <v>5.42</v>
      </c>
      <c r="I647" s="5">
        <v>5</v>
      </c>
      <c r="J647" s="5" t="s">
        <v>3</v>
      </c>
      <c r="K647" s="5" t="s">
        <v>4</v>
      </c>
      <c r="L647" s="5">
        <v>125</v>
      </c>
      <c r="M647" s="5">
        <v>62</v>
      </c>
      <c r="N647" s="5" t="s">
        <v>5</v>
      </c>
      <c r="O647" s="5" t="str">
        <f>_xlfn.IFS('Data set'!$H647&lt;5.7,"Normal",'Data set'!$H647&lt;=6.4,"Prediabetes",'Data set'!$H647&lt;=7.5,"Diabetes",'Data set'!$H647&gt;=7.5,"Uncontrolled")</f>
        <v>Normal</v>
      </c>
      <c r="P647" s="5" t="str">
        <f>_xlfn.IFS('Data set'!$F647&lt;120,"Low",'Data set'!$F647&lt;=200,"Normal",'Data set'!$F647&lt;=240,"Boarderline",'Data set'!$F647&gt;=241,"High")</f>
        <v>Boarderline</v>
      </c>
      <c r="Q647" s="5" t="str">
        <f>_xlfn.IFS('Data set'!$D647&lt;=18.5,"Low",'Data set'!$D647&lt;=24.9,"Normal",'Data set'!$D647&lt;=29.9,"High",'Data set'!$D647&gt;29.9,"Very High")</f>
        <v>Very High</v>
      </c>
    </row>
    <row r="648" spans="1:17" x14ac:dyDescent="0.25">
      <c r="A648" s="3">
        <v>35</v>
      </c>
      <c r="B648" s="3" t="s">
        <v>9</v>
      </c>
      <c r="C648" s="4">
        <v>71.69</v>
      </c>
      <c r="D648" s="4">
        <v>38.92</v>
      </c>
      <c r="E648" s="3" t="s">
        <v>6</v>
      </c>
      <c r="F648" s="3">
        <v>296</v>
      </c>
      <c r="G648" s="3" t="s">
        <v>538</v>
      </c>
      <c r="H648" s="4">
        <v>6.48</v>
      </c>
      <c r="I648" s="3">
        <v>1</v>
      </c>
      <c r="J648" s="3" t="s">
        <v>4</v>
      </c>
      <c r="K648" s="3" t="s">
        <v>3</v>
      </c>
      <c r="L648" s="3">
        <v>108</v>
      </c>
      <c r="M648" s="3">
        <v>77</v>
      </c>
      <c r="N648" s="3" t="s">
        <v>12</v>
      </c>
      <c r="O648" s="3" t="str">
        <f>_xlfn.IFS('Data set'!$H648&lt;5.7,"Normal",'Data set'!$H648&lt;=6.4,"Prediabetes",'Data set'!$H648&lt;=7.5,"Diabetes",'Data set'!$H648&gt;=7.5,"Uncontrolled")</f>
        <v>Diabetes</v>
      </c>
      <c r="P648" s="3" t="str">
        <f>_xlfn.IFS('Data set'!$F648&lt;120,"Low",'Data set'!$F648&lt;=200,"Normal",'Data set'!$F648&lt;=240,"Boarderline",'Data set'!$F648&gt;=241,"High")</f>
        <v>High</v>
      </c>
      <c r="Q648" s="3" t="str">
        <f>_xlfn.IFS('Data set'!$D648&lt;=18.5,"Low",'Data set'!$D648&lt;=24.9,"Normal",'Data set'!$D648&lt;=29.9,"High",'Data set'!$D648&gt;29.9,"Very High")</f>
        <v>Very High</v>
      </c>
    </row>
    <row r="649" spans="1:17" x14ac:dyDescent="0.25">
      <c r="A649" s="5">
        <v>49</v>
      </c>
      <c r="B649" s="5" t="s">
        <v>0</v>
      </c>
      <c r="C649" s="6">
        <v>208.89</v>
      </c>
      <c r="D649" s="6">
        <v>23.21</v>
      </c>
      <c r="E649" s="5" t="s">
        <v>6</v>
      </c>
      <c r="F649" s="5">
        <v>115</v>
      </c>
      <c r="G649" s="5" t="s">
        <v>539</v>
      </c>
      <c r="H649" s="6">
        <v>6.85</v>
      </c>
      <c r="I649" s="5">
        <v>3</v>
      </c>
      <c r="J649" s="5" t="s">
        <v>3</v>
      </c>
      <c r="K649" s="5" t="s">
        <v>3</v>
      </c>
      <c r="L649" s="5">
        <v>122</v>
      </c>
      <c r="M649" s="5">
        <v>77</v>
      </c>
      <c r="N649" s="5" t="s">
        <v>23</v>
      </c>
      <c r="O649" s="5" t="str">
        <f>_xlfn.IFS('Data set'!$H649&lt;5.7,"Normal",'Data set'!$H649&lt;=6.4,"Prediabetes",'Data set'!$H649&lt;=7.5,"Diabetes",'Data set'!$H649&gt;=7.5,"Uncontrolled")</f>
        <v>Diabetes</v>
      </c>
      <c r="P649" s="5" t="str">
        <f>_xlfn.IFS('Data set'!$F649&lt;120,"Low",'Data set'!$F649&lt;=200,"Normal",'Data set'!$F649&lt;=240,"Boarderline",'Data set'!$F649&gt;=241,"High")</f>
        <v>Low</v>
      </c>
      <c r="Q649" s="5" t="str">
        <f>_xlfn.IFS('Data set'!$D649&lt;=18.5,"Low",'Data set'!$D649&lt;=24.9,"Normal",'Data set'!$D649&lt;=29.9,"High",'Data set'!$D649&gt;29.9,"Very High")</f>
        <v>Normal</v>
      </c>
    </row>
    <row r="650" spans="1:17" x14ac:dyDescent="0.25">
      <c r="A650" s="3">
        <v>76</v>
      </c>
      <c r="B650" s="3" t="s">
        <v>9</v>
      </c>
      <c r="C650" s="4">
        <v>136.82</v>
      </c>
      <c r="D650" s="4">
        <v>28.62</v>
      </c>
      <c r="E650" s="3" t="s">
        <v>10</v>
      </c>
      <c r="F650" s="3">
        <v>238</v>
      </c>
      <c r="G650" s="3" t="s">
        <v>238</v>
      </c>
      <c r="H650" s="4">
        <v>6.14</v>
      </c>
      <c r="I650" s="3">
        <v>5</v>
      </c>
      <c r="J650" s="3" t="s">
        <v>3</v>
      </c>
      <c r="K650" s="3" t="s">
        <v>3</v>
      </c>
      <c r="L650" s="3">
        <v>116</v>
      </c>
      <c r="M650" s="3">
        <v>75</v>
      </c>
      <c r="N650" s="3" t="s">
        <v>5</v>
      </c>
      <c r="O650" s="3" t="str">
        <f>_xlfn.IFS('Data set'!$H650&lt;5.7,"Normal",'Data set'!$H650&lt;=6.4,"Prediabetes",'Data set'!$H650&lt;=7.5,"Diabetes",'Data set'!$H650&gt;=7.5,"Uncontrolled")</f>
        <v>Prediabetes</v>
      </c>
      <c r="P650" s="3" t="str">
        <f>_xlfn.IFS('Data set'!$F650&lt;120,"Low",'Data set'!$F650&lt;=200,"Normal",'Data set'!$F650&lt;=240,"Boarderline",'Data set'!$F650&gt;=241,"High")</f>
        <v>Boarderline</v>
      </c>
      <c r="Q650" s="3" t="str">
        <f>_xlfn.IFS('Data set'!$D650&lt;=18.5,"Low",'Data set'!$D650&lt;=24.9,"Normal",'Data set'!$D650&lt;=29.9,"High",'Data set'!$D650&gt;29.9,"Very High")</f>
        <v>High</v>
      </c>
    </row>
    <row r="651" spans="1:17" x14ac:dyDescent="0.25">
      <c r="A651" s="5">
        <v>63</v>
      </c>
      <c r="B651" s="5" t="s">
        <v>9</v>
      </c>
      <c r="C651" s="6">
        <v>97.47</v>
      </c>
      <c r="D651" s="6">
        <v>18.25</v>
      </c>
      <c r="E651" s="5" t="s">
        <v>1</v>
      </c>
      <c r="F651" s="5">
        <v>188</v>
      </c>
      <c r="G651" s="5" t="s">
        <v>251</v>
      </c>
      <c r="H651" s="6">
        <v>8.23</v>
      </c>
      <c r="I651" s="5">
        <v>4</v>
      </c>
      <c r="J651" s="5" t="s">
        <v>4</v>
      </c>
      <c r="K651" s="5" t="s">
        <v>3</v>
      </c>
      <c r="L651" s="5">
        <v>114</v>
      </c>
      <c r="M651" s="5">
        <v>61</v>
      </c>
      <c r="N651" s="5" t="s">
        <v>21</v>
      </c>
      <c r="O651" s="5" t="str">
        <f>_xlfn.IFS('Data set'!$H651&lt;5.7,"Normal",'Data set'!$H651&lt;=6.4,"Prediabetes",'Data set'!$H651&lt;=7.5,"Diabetes",'Data set'!$H651&gt;=7.5,"Uncontrolled")</f>
        <v>Uncontrolled</v>
      </c>
      <c r="P651" s="5" t="str">
        <f>_xlfn.IFS('Data set'!$F651&lt;120,"Low",'Data set'!$F651&lt;=200,"Normal",'Data set'!$F651&lt;=240,"Boarderline",'Data set'!$F651&gt;=241,"High")</f>
        <v>Normal</v>
      </c>
      <c r="Q651" s="5" t="str">
        <f>_xlfn.IFS('Data set'!$D651&lt;=18.5,"Low",'Data set'!$D651&lt;=24.9,"Normal",'Data set'!$D651&lt;=29.9,"High",'Data set'!$D651&gt;29.9,"Very High")</f>
        <v>Low</v>
      </c>
    </row>
    <row r="652" spans="1:17" x14ac:dyDescent="0.25">
      <c r="A652" s="3">
        <v>24</v>
      </c>
      <c r="B652" s="3" t="s">
        <v>0</v>
      </c>
      <c r="C652" s="4">
        <v>188.97</v>
      </c>
      <c r="D652" s="4">
        <v>23.69</v>
      </c>
      <c r="E652" s="3" t="s">
        <v>14</v>
      </c>
      <c r="F652" s="3">
        <v>157</v>
      </c>
      <c r="G652" s="3" t="s">
        <v>540</v>
      </c>
      <c r="H652" s="4">
        <v>6.46</v>
      </c>
      <c r="I652" s="3">
        <v>6</v>
      </c>
      <c r="J652" s="3" t="s">
        <v>4</v>
      </c>
      <c r="K652" s="3" t="s">
        <v>3</v>
      </c>
      <c r="L652" s="3">
        <v>104</v>
      </c>
      <c r="M652" s="3">
        <v>64</v>
      </c>
      <c r="N652" s="3" t="s">
        <v>17</v>
      </c>
      <c r="O652" s="3" t="str">
        <f>_xlfn.IFS('Data set'!$H652&lt;5.7,"Normal",'Data set'!$H652&lt;=6.4,"Prediabetes",'Data set'!$H652&lt;=7.5,"Diabetes",'Data set'!$H652&gt;=7.5,"Uncontrolled")</f>
        <v>Diabetes</v>
      </c>
      <c r="P652" s="3" t="str">
        <f>_xlfn.IFS('Data set'!$F652&lt;120,"Low",'Data set'!$F652&lt;=200,"Normal",'Data set'!$F652&lt;=240,"Boarderline",'Data set'!$F652&gt;=241,"High")</f>
        <v>Normal</v>
      </c>
      <c r="Q652" s="3" t="str">
        <f>_xlfn.IFS('Data set'!$D652&lt;=18.5,"Low",'Data set'!$D652&lt;=24.9,"Normal",'Data set'!$D652&lt;=29.9,"High",'Data set'!$D652&gt;29.9,"Very High")</f>
        <v>Normal</v>
      </c>
    </row>
    <row r="653" spans="1:17" x14ac:dyDescent="0.25">
      <c r="A653" s="5">
        <v>43</v>
      </c>
      <c r="B653" s="5" t="s">
        <v>0</v>
      </c>
      <c r="C653" s="6">
        <v>296.7</v>
      </c>
      <c r="D653" s="6">
        <v>39.15</v>
      </c>
      <c r="E653" s="5" t="s">
        <v>14</v>
      </c>
      <c r="F653" s="5">
        <v>112</v>
      </c>
      <c r="G653" s="5" t="s">
        <v>333</v>
      </c>
      <c r="H653" s="6">
        <v>8.43</v>
      </c>
      <c r="I653" s="5">
        <v>1</v>
      </c>
      <c r="J653" s="5" t="s">
        <v>4</v>
      </c>
      <c r="K653" s="5" t="s">
        <v>4</v>
      </c>
      <c r="L653" s="5">
        <v>125</v>
      </c>
      <c r="M653" s="5">
        <v>72</v>
      </c>
      <c r="N653" s="5" t="s">
        <v>23</v>
      </c>
      <c r="O653" s="5" t="str">
        <f>_xlfn.IFS('Data set'!$H653&lt;5.7,"Normal",'Data set'!$H653&lt;=6.4,"Prediabetes",'Data set'!$H653&lt;=7.5,"Diabetes",'Data set'!$H653&gt;=7.5,"Uncontrolled")</f>
        <v>Uncontrolled</v>
      </c>
      <c r="P653" s="5" t="str">
        <f>_xlfn.IFS('Data set'!$F653&lt;120,"Low",'Data set'!$F653&lt;=200,"Normal",'Data set'!$F653&lt;=240,"Boarderline",'Data set'!$F653&gt;=241,"High")</f>
        <v>Low</v>
      </c>
      <c r="Q653" s="5" t="str">
        <f>_xlfn.IFS('Data set'!$D653&lt;=18.5,"Low",'Data set'!$D653&lt;=24.9,"Normal",'Data set'!$D653&lt;=29.9,"High",'Data set'!$D653&gt;29.9,"Very High")</f>
        <v>Very High</v>
      </c>
    </row>
    <row r="654" spans="1:17" x14ac:dyDescent="0.25">
      <c r="A654" s="3">
        <v>46</v>
      </c>
      <c r="B654" s="3" t="s">
        <v>9</v>
      </c>
      <c r="C654" s="4">
        <v>204.23</v>
      </c>
      <c r="D654" s="4">
        <v>29.12</v>
      </c>
      <c r="E654" s="3" t="s">
        <v>6</v>
      </c>
      <c r="F654" s="3">
        <v>165</v>
      </c>
      <c r="G654" s="3" t="s">
        <v>237</v>
      </c>
      <c r="H654" s="4">
        <v>4.04</v>
      </c>
      <c r="I654" s="3">
        <v>6</v>
      </c>
      <c r="J654" s="3" t="s">
        <v>3</v>
      </c>
      <c r="K654" s="3" t="s">
        <v>3</v>
      </c>
      <c r="L654" s="3">
        <v>104</v>
      </c>
      <c r="M654" s="3">
        <v>66</v>
      </c>
      <c r="N654" s="3" t="s">
        <v>23</v>
      </c>
      <c r="O654" s="3" t="str">
        <f>_xlfn.IFS('Data set'!$H654&lt;5.7,"Normal",'Data set'!$H654&lt;=6.4,"Prediabetes",'Data set'!$H654&lt;=7.5,"Diabetes",'Data set'!$H654&gt;=7.5,"Uncontrolled")</f>
        <v>Normal</v>
      </c>
      <c r="P654" s="3" t="str">
        <f>_xlfn.IFS('Data set'!$F654&lt;120,"Low",'Data set'!$F654&lt;=200,"Normal",'Data set'!$F654&lt;=240,"Boarderline",'Data set'!$F654&gt;=241,"High")</f>
        <v>Normal</v>
      </c>
      <c r="Q654" s="3" t="str">
        <f>_xlfn.IFS('Data set'!$D654&lt;=18.5,"Low",'Data set'!$D654&lt;=24.9,"Normal",'Data set'!$D654&lt;=29.9,"High",'Data set'!$D654&gt;29.9,"Very High")</f>
        <v>High</v>
      </c>
    </row>
    <row r="655" spans="1:17" x14ac:dyDescent="0.25">
      <c r="A655" s="5">
        <v>32</v>
      </c>
      <c r="B655" s="5" t="s">
        <v>0</v>
      </c>
      <c r="C655" s="6">
        <v>221.71</v>
      </c>
      <c r="D655" s="6">
        <v>26.32</v>
      </c>
      <c r="E655" s="5" t="s">
        <v>1</v>
      </c>
      <c r="F655" s="5">
        <v>244</v>
      </c>
      <c r="G655" s="5" t="s">
        <v>541</v>
      </c>
      <c r="H655" s="6">
        <v>6.58</v>
      </c>
      <c r="I655" s="5">
        <v>3</v>
      </c>
      <c r="J655" s="5" t="s">
        <v>3</v>
      </c>
      <c r="K655" s="5" t="s">
        <v>4</v>
      </c>
      <c r="L655" s="5">
        <v>136</v>
      </c>
      <c r="M655" s="5">
        <v>60</v>
      </c>
      <c r="N655" s="5" t="s">
        <v>12</v>
      </c>
      <c r="O655" s="5" t="str">
        <f>_xlfn.IFS('Data set'!$H655&lt;5.7,"Normal",'Data set'!$H655&lt;=6.4,"Prediabetes",'Data set'!$H655&lt;=7.5,"Diabetes",'Data set'!$H655&gt;=7.5,"Uncontrolled")</f>
        <v>Diabetes</v>
      </c>
      <c r="P655" s="5" t="str">
        <f>_xlfn.IFS('Data set'!$F655&lt;120,"Low",'Data set'!$F655&lt;=200,"Normal",'Data set'!$F655&lt;=240,"Boarderline",'Data set'!$F655&gt;=241,"High")</f>
        <v>High</v>
      </c>
      <c r="Q655" s="5" t="str">
        <f>_xlfn.IFS('Data set'!$D655&lt;=18.5,"Low",'Data set'!$D655&lt;=24.9,"Normal",'Data set'!$D655&lt;=29.9,"High",'Data set'!$D655&gt;29.9,"Very High")</f>
        <v>High</v>
      </c>
    </row>
    <row r="656" spans="1:17" x14ac:dyDescent="0.25">
      <c r="A656" s="3">
        <v>32</v>
      </c>
      <c r="B656" s="3" t="s">
        <v>9</v>
      </c>
      <c r="C656" s="4">
        <v>282.45999999999998</v>
      </c>
      <c r="D656" s="4">
        <v>23.12</v>
      </c>
      <c r="E656" s="3" t="s">
        <v>1</v>
      </c>
      <c r="F656" s="3">
        <v>276</v>
      </c>
      <c r="G656" s="3" t="s">
        <v>542</v>
      </c>
      <c r="H656" s="4">
        <v>6.46</v>
      </c>
      <c r="I656" s="3">
        <v>4</v>
      </c>
      <c r="J656" s="3" t="s">
        <v>3</v>
      </c>
      <c r="K656" s="3" t="s">
        <v>3</v>
      </c>
      <c r="L656" s="3">
        <v>122</v>
      </c>
      <c r="M656" s="3">
        <v>86</v>
      </c>
      <c r="N656" s="3" t="s">
        <v>12</v>
      </c>
      <c r="O656" s="3" t="str">
        <f>_xlfn.IFS('Data set'!$H656&lt;5.7,"Normal",'Data set'!$H656&lt;=6.4,"Prediabetes",'Data set'!$H656&lt;=7.5,"Diabetes",'Data set'!$H656&gt;=7.5,"Uncontrolled")</f>
        <v>Diabetes</v>
      </c>
      <c r="P656" s="3" t="str">
        <f>_xlfn.IFS('Data set'!$F656&lt;120,"Low",'Data set'!$F656&lt;=200,"Normal",'Data set'!$F656&lt;=240,"Boarderline",'Data set'!$F656&gt;=241,"High")</f>
        <v>High</v>
      </c>
      <c r="Q656" s="3" t="str">
        <f>_xlfn.IFS('Data set'!$D656&lt;=18.5,"Low",'Data set'!$D656&lt;=24.9,"Normal",'Data set'!$D656&lt;=29.9,"High",'Data set'!$D656&gt;29.9,"Very High")</f>
        <v>Normal</v>
      </c>
    </row>
    <row r="657" spans="1:17" x14ac:dyDescent="0.25">
      <c r="A657" s="5">
        <v>34</v>
      </c>
      <c r="B657" s="5" t="s">
        <v>0</v>
      </c>
      <c r="C657" s="6">
        <v>274.16000000000003</v>
      </c>
      <c r="D657" s="6">
        <v>26.32</v>
      </c>
      <c r="E657" s="5" t="s">
        <v>1</v>
      </c>
      <c r="F657" s="5">
        <v>297</v>
      </c>
      <c r="G657" s="5" t="s">
        <v>543</v>
      </c>
      <c r="H657" s="6">
        <v>6.91</v>
      </c>
      <c r="I657" s="5">
        <v>5</v>
      </c>
      <c r="J657" s="5" t="s">
        <v>3</v>
      </c>
      <c r="K657" s="5" t="s">
        <v>4</v>
      </c>
      <c r="L657" s="5">
        <v>90</v>
      </c>
      <c r="M657" s="5">
        <v>72</v>
      </c>
      <c r="N657" s="5" t="s">
        <v>12</v>
      </c>
      <c r="O657" s="5" t="str">
        <f>_xlfn.IFS('Data set'!$H657&lt;5.7,"Normal",'Data set'!$H657&lt;=6.4,"Prediabetes",'Data set'!$H657&lt;=7.5,"Diabetes",'Data set'!$H657&gt;=7.5,"Uncontrolled")</f>
        <v>Diabetes</v>
      </c>
      <c r="P657" s="5" t="str">
        <f>_xlfn.IFS('Data set'!$F657&lt;120,"Low",'Data set'!$F657&lt;=200,"Normal",'Data set'!$F657&lt;=240,"Boarderline",'Data set'!$F657&gt;=241,"High")</f>
        <v>High</v>
      </c>
      <c r="Q657" s="5" t="str">
        <f>_xlfn.IFS('Data set'!$D657&lt;=18.5,"Low",'Data set'!$D657&lt;=24.9,"Normal",'Data set'!$D657&lt;=29.9,"High",'Data set'!$D657&gt;29.9,"Very High")</f>
        <v>High</v>
      </c>
    </row>
    <row r="658" spans="1:17" x14ac:dyDescent="0.25">
      <c r="A658" s="3">
        <v>58</v>
      </c>
      <c r="B658" s="3" t="s">
        <v>0</v>
      </c>
      <c r="C658" s="4">
        <v>265.02999999999997</v>
      </c>
      <c r="D658" s="4">
        <v>34.22</v>
      </c>
      <c r="E658" s="3" t="s">
        <v>10</v>
      </c>
      <c r="F658" s="3">
        <v>267</v>
      </c>
      <c r="G658" s="3" t="s">
        <v>279</v>
      </c>
      <c r="H658" s="4">
        <v>4.1100000000000003</v>
      </c>
      <c r="I658" s="3">
        <v>0</v>
      </c>
      <c r="J658" s="3" t="s">
        <v>4</v>
      </c>
      <c r="K658" s="3" t="s">
        <v>3</v>
      </c>
      <c r="L658" s="3">
        <v>125</v>
      </c>
      <c r="M658" s="3">
        <v>71</v>
      </c>
      <c r="N658" s="3" t="s">
        <v>8</v>
      </c>
      <c r="O658" s="3" t="str">
        <f>_xlfn.IFS('Data set'!$H658&lt;5.7,"Normal",'Data set'!$H658&lt;=6.4,"Prediabetes",'Data set'!$H658&lt;=7.5,"Diabetes",'Data set'!$H658&gt;=7.5,"Uncontrolled")</f>
        <v>Normal</v>
      </c>
      <c r="P658" s="3" t="str">
        <f>_xlfn.IFS('Data set'!$F658&lt;120,"Low",'Data set'!$F658&lt;=200,"Normal",'Data set'!$F658&lt;=240,"Boarderline",'Data set'!$F658&gt;=241,"High")</f>
        <v>High</v>
      </c>
      <c r="Q658" s="3" t="str">
        <f>_xlfn.IFS('Data set'!$D658&lt;=18.5,"Low",'Data set'!$D658&lt;=24.9,"Normal",'Data set'!$D658&lt;=29.9,"High",'Data set'!$D658&gt;29.9,"Very High")</f>
        <v>Very High</v>
      </c>
    </row>
    <row r="659" spans="1:17" x14ac:dyDescent="0.25">
      <c r="A659" s="5">
        <v>48</v>
      </c>
      <c r="B659" s="5" t="s">
        <v>9</v>
      </c>
      <c r="C659" s="6">
        <v>142.03</v>
      </c>
      <c r="D659" s="6">
        <v>19.440000000000001</v>
      </c>
      <c r="E659" s="5" t="s">
        <v>10</v>
      </c>
      <c r="F659" s="5">
        <v>271</v>
      </c>
      <c r="G659" s="5" t="s">
        <v>544</v>
      </c>
      <c r="H659" s="6">
        <v>9.9499999999999993</v>
      </c>
      <c r="I659" s="5">
        <v>3</v>
      </c>
      <c r="J659" s="5" t="s">
        <v>4</v>
      </c>
      <c r="K659" s="5" t="s">
        <v>4</v>
      </c>
      <c r="L659" s="5">
        <v>111</v>
      </c>
      <c r="M659" s="5">
        <v>87</v>
      </c>
      <c r="N659" s="5" t="s">
        <v>23</v>
      </c>
      <c r="O659" s="5" t="str">
        <f>_xlfn.IFS('Data set'!$H659&lt;5.7,"Normal",'Data set'!$H659&lt;=6.4,"Prediabetes",'Data set'!$H659&lt;=7.5,"Diabetes",'Data set'!$H659&gt;=7.5,"Uncontrolled")</f>
        <v>Uncontrolled</v>
      </c>
      <c r="P659" s="5" t="str">
        <f>_xlfn.IFS('Data set'!$F659&lt;120,"Low",'Data set'!$F659&lt;=200,"Normal",'Data set'!$F659&lt;=240,"Boarderline",'Data set'!$F659&gt;=241,"High")</f>
        <v>High</v>
      </c>
      <c r="Q659" s="5" t="str">
        <f>_xlfn.IFS('Data set'!$D659&lt;=18.5,"Low",'Data set'!$D659&lt;=24.9,"Normal",'Data set'!$D659&lt;=29.9,"High",'Data set'!$D659&gt;29.9,"Very High")</f>
        <v>Normal</v>
      </c>
    </row>
    <row r="660" spans="1:17" x14ac:dyDescent="0.25">
      <c r="A660" s="3">
        <v>73</v>
      </c>
      <c r="B660" s="3" t="s">
        <v>9</v>
      </c>
      <c r="C660" s="4">
        <v>154.13</v>
      </c>
      <c r="D660" s="4">
        <v>22</v>
      </c>
      <c r="E660" s="3" t="s">
        <v>6</v>
      </c>
      <c r="F660" s="3">
        <v>273</v>
      </c>
      <c r="G660" s="3" t="s">
        <v>545</v>
      </c>
      <c r="H660" s="4">
        <v>8.9</v>
      </c>
      <c r="I660" s="3">
        <v>1</v>
      </c>
      <c r="J660" s="3" t="s">
        <v>3</v>
      </c>
      <c r="K660" s="3" t="s">
        <v>4</v>
      </c>
      <c r="L660" s="3">
        <v>117</v>
      </c>
      <c r="M660" s="3">
        <v>89</v>
      </c>
      <c r="N660" s="3" t="s">
        <v>5</v>
      </c>
      <c r="O660" s="3" t="str">
        <f>_xlfn.IFS('Data set'!$H660&lt;5.7,"Normal",'Data set'!$H660&lt;=6.4,"Prediabetes",'Data set'!$H660&lt;=7.5,"Diabetes",'Data set'!$H660&gt;=7.5,"Uncontrolled")</f>
        <v>Uncontrolled</v>
      </c>
      <c r="P660" s="3" t="str">
        <f>_xlfn.IFS('Data set'!$F660&lt;120,"Low",'Data set'!$F660&lt;=200,"Normal",'Data set'!$F660&lt;=240,"Boarderline",'Data set'!$F660&gt;=241,"High")</f>
        <v>High</v>
      </c>
      <c r="Q660" s="3" t="str">
        <f>_xlfn.IFS('Data set'!$D660&lt;=18.5,"Low",'Data set'!$D660&lt;=24.9,"Normal",'Data set'!$D660&lt;=29.9,"High",'Data set'!$D660&gt;29.9,"Very High")</f>
        <v>Normal</v>
      </c>
    </row>
    <row r="661" spans="1:17" x14ac:dyDescent="0.25">
      <c r="A661" s="5">
        <v>70</v>
      </c>
      <c r="B661" s="5" t="s">
        <v>0</v>
      </c>
      <c r="C661" s="6">
        <v>120.24</v>
      </c>
      <c r="D661" s="6">
        <v>37.24</v>
      </c>
      <c r="E661" s="5" t="s">
        <v>10</v>
      </c>
      <c r="F661" s="5">
        <v>285</v>
      </c>
      <c r="G661" s="5" t="s">
        <v>546</v>
      </c>
      <c r="H661" s="6">
        <v>8.6199999999999992</v>
      </c>
      <c r="I661" s="5">
        <v>2</v>
      </c>
      <c r="J661" s="5" t="s">
        <v>3</v>
      </c>
      <c r="K661" s="5" t="s">
        <v>3</v>
      </c>
      <c r="L661" s="5">
        <v>95</v>
      </c>
      <c r="M661" s="5">
        <v>77</v>
      </c>
      <c r="N661" s="5" t="s">
        <v>21</v>
      </c>
      <c r="O661" s="5" t="str">
        <f>_xlfn.IFS('Data set'!$H661&lt;5.7,"Normal",'Data set'!$H661&lt;=6.4,"Prediabetes",'Data set'!$H661&lt;=7.5,"Diabetes",'Data set'!$H661&gt;=7.5,"Uncontrolled")</f>
        <v>Uncontrolled</v>
      </c>
      <c r="P661" s="5" t="str">
        <f>_xlfn.IFS('Data set'!$F661&lt;120,"Low",'Data set'!$F661&lt;=200,"Normal",'Data set'!$F661&lt;=240,"Boarderline",'Data set'!$F661&gt;=241,"High")</f>
        <v>High</v>
      </c>
      <c r="Q661" s="5" t="str">
        <f>_xlfn.IFS('Data set'!$D661&lt;=18.5,"Low",'Data set'!$D661&lt;=24.9,"Normal",'Data set'!$D661&lt;=29.9,"High",'Data set'!$D661&gt;29.9,"Very High")</f>
        <v>Very High</v>
      </c>
    </row>
    <row r="662" spans="1:17" x14ac:dyDescent="0.25">
      <c r="A662" s="3">
        <v>79</v>
      </c>
      <c r="B662" s="3" t="s">
        <v>0</v>
      </c>
      <c r="C662" s="4">
        <v>98.48</v>
      </c>
      <c r="D662" s="4">
        <v>39.520000000000003</v>
      </c>
      <c r="E662" s="3" t="s">
        <v>6</v>
      </c>
      <c r="F662" s="3">
        <v>264</v>
      </c>
      <c r="G662" s="3" t="s">
        <v>547</v>
      </c>
      <c r="H662" s="4">
        <v>5.38</v>
      </c>
      <c r="I662" s="3">
        <v>3</v>
      </c>
      <c r="J662" s="3" t="s">
        <v>4</v>
      </c>
      <c r="K662" s="3" t="s">
        <v>4</v>
      </c>
      <c r="L662" s="3">
        <v>130</v>
      </c>
      <c r="M662" s="3">
        <v>66</v>
      </c>
      <c r="N662" s="3" t="s">
        <v>5</v>
      </c>
      <c r="O662" s="3" t="str">
        <f>_xlfn.IFS('Data set'!$H662&lt;5.7,"Normal",'Data set'!$H662&lt;=6.4,"Prediabetes",'Data set'!$H662&lt;=7.5,"Diabetes",'Data set'!$H662&gt;=7.5,"Uncontrolled")</f>
        <v>Normal</v>
      </c>
      <c r="P662" s="3" t="str">
        <f>_xlfn.IFS('Data set'!$F662&lt;120,"Low",'Data set'!$F662&lt;=200,"Normal",'Data set'!$F662&lt;=240,"Boarderline",'Data set'!$F662&gt;=241,"High")</f>
        <v>High</v>
      </c>
      <c r="Q662" s="3" t="str">
        <f>_xlfn.IFS('Data set'!$D662&lt;=18.5,"Low",'Data set'!$D662&lt;=24.9,"Normal",'Data set'!$D662&lt;=29.9,"High",'Data set'!$D662&gt;29.9,"Very High")</f>
        <v>Very High</v>
      </c>
    </row>
    <row r="663" spans="1:17" x14ac:dyDescent="0.25">
      <c r="A663" s="5">
        <v>79</v>
      </c>
      <c r="B663" s="5" t="s">
        <v>0</v>
      </c>
      <c r="C663" s="6">
        <v>231.98</v>
      </c>
      <c r="D663" s="6">
        <v>37.39</v>
      </c>
      <c r="E663" s="5" t="s">
        <v>6</v>
      </c>
      <c r="F663" s="5">
        <v>130</v>
      </c>
      <c r="G663" s="5" t="s">
        <v>548</v>
      </c>
      <c r="H663" s="6">
        <v>7.39</v>
      </c>
      <c r="I663" s="5">
        <v>2</v>
      </c>
      <c r="J663" s="5" t="s">
        <v>4</v>
      </c>
      <c r="K663" s="5" t="s">
        <v>4</v>
      </c>
      <c r="L663" s="5">
        <v>107</v>
      </c>
      <c r="M663" s="5">
        <v>62</v>
      </c>
      <c r="N663" s="5" t="s">
        <v>5</v>
      </c>
      <c r="O663" s="5" t="str">
        <f>_xlfn.IFS('Data set'!$H663&lt;5.7,"Normal",'Data set'!$H663&lt;=6.4,"Prediabetes",'Data set'!$H663&lt;=7.5,"Diabetes",'Data set'!$H663&gt;=7.5,"Uncontrolled")</f>
        <v>Diabetes</v>
      </c>
      <c r="P663" s="5" t="str">
        <f>_xlfn.IFS('Data set'!$F663&lt;120,"Low",'Data set'!$F663&lt;=200,"Normal",'Data set'!$F663&lt;=240,"Boarderline",'Data set'!$F663&gt;=241,"High")</f>
        <v>Normal</v>
      </c>
      <c r="Q663" s="5" t="str">
        <f>_xlfn.IFS('Data set'!$D663&lt;=18.5,"Low",'Data set'!$D663&lt;=24.9,"Normal",'Data set'!$D663&lt;=29.9,"High",'Data set'!$D663&gt;29.9,"Very High")</f>
        <v>Very High</v>
      </c>
    </row>
    <row r="664" spans="1:17" x14ac:dyDescent="0.25">
      <c r="A664" s="3">
        <v>44</v>
      </c>
      <c r="B664" s="3" t="s">
        <v>9</v>
      </c>
      <c r="C664" s="4">
        <v>109.41</v>
      </c>
      <c r="D664" s="4">
        <v>30.49</v>
      </c>
      <c r="E664" s="3" t="s">
        <v>10</v>
      </c>
      <c r="F664" s="3">
        <v>188</v>
      </c>
      <c r="G664" s="3" t="s">
        <v>329</v>
      </c>
      <c r="H664" s="4">
        <v>6.54</v>
      </c>
      <c r="I664" s="3">
        <v>0</v>
      </c>
      <c r="J664" s="3" t="s">
        <v>4</v>
      </c>
      <c r="K664" s="3" t="s">
        <v>4</v>
      </c>
      <c r="L664" s="3">
        <v>133</v>
      </c>
      <c r="M664" s="3">
        <v>69</v>
      </c>
      <c r="N664" s="3" t="s">
        <v>23</v>
      </c>
      <c r="O664" s="3" t="str">
        <f>_xlfn.IFS('Data set'!$H664&lt;5.7,"Normal",'Data set'!$H664&lt;=6.4,"Prediabetes",'Data set'!$H664&lt;=7.5,"Diabetes",'Data set'!$H664&gt;=7.5,"Uncontrolled")</f>
        <v>Diabetes</v>
      </c>
      <c r="P664" s="3" t="str">
        <f>_xlfn.IFS('Data set'!$F664&lt;120,"Low",'Data set'!$F664&lt;=200,"Normal",'Data set'!$F664&lt;=240,"Boarderline",'Data set'!$F664&gt;=241,"High")</f>
        <v>Normal</v>
      </c>
      <c r="Q664" s="3" t="str">
        <f>_xlfn.IFS('Data set'!$D664&lt;=18.5,"Low",'Data set'!$D664&lt;=24.9,"Normal",'Data set'!$D664&lt;=29.9,"High",'Data set'!$D664&gt;29.9,"Very High")</f>
        <v>Very High</v>
      </c>
    </row>
    <row r="665" spans="1:17" x14ac:dyDescent="0.25">
      <c r="A665" s="5">
        <v>70</v>
      </c>
      <c r="B665" s="5" t="s">
        <v>9</v>
      </c>
      <c r="C665" s="6">
        <v>84.36</v>
      </c>
      <c r="D665" s="6">
        <v>24.14</v>
      </c>
      <c r="E665" s="5" t="s">
        <v>1</v>
      </c>
      <c r="F665" s="5">
        <v>164</v>
      </c>
      <c r="G665" s="5" t="s">
        <v>549</v>
      </c>
      <c r="H665" s="6">
        <v>6.66</v>
      </c>
      <c r="I665" s="5">
        <v>4</v>
      </c>
      <c r="J665" s="5" t="s">
        <v>4</v>
      </c>
      <c r="K665" s="5" t="s">
        <v>3</v>
      </c>
      <c r="L665" s="5">
        <v>140</v>
      </c>
      <c r="M665" s="5">
        <v>62</v>
      </c>
      <c r="N665" s="5" t="s">
        <v>21</v>
      </c>
      <c r="O665" s="5" t="str">
        <f>_xlfn.IFS('Data set'!$H665&lt;5.7,"Normal",'Data set'!$H665&lt;=6.4,"Prediabetes",'Data set'!$H665&lt;=7.5,"Diabetes",'Data set'!$H665&gt;=7.5,"Uncontrolled")</f>
        <v>Diabetes</v>
      </c>
      <c r="P665" s="5" t="str">
        <f>_xlfn.IFS('Data set'!$F665&lt;120,"Low",'Data set'!$F665&lt;=200,"Normal",'Data set'!$F665&lt;=240,"Boarderline",'Data set'!$F665&gt;=241,"High")</f>
        <v>Normal</v>
      </c>
      <c r="Q665" s="5" t="str">
        <f>_xlfn.IFS('Data set'!$D665&lt;=18.5,"Low",'Data set'!$D665&lt;=24.9,"Normal",'Data set'!$D665&lt;=29.9,"High",'Data set'!$D665&gt;29.9,"Very High")</f>
        <v>Normal</v>
      </c>
    </row>
    <row r="666" spans="1:17" x14ac:dyDescent="0.25">
      <c r="A666" s="3">
        <v>57</v>
      </c>
      <c r="B666" s="3" t="s">
        <v>0</v>
      </c>
      <c r="C666" s="4">
        <v>271.54000000000002</v>
      </c>
      <c r="D666" s="4">
        <v>18.309999999999999</v>
      </c>
      <c r="E666" s="3" t="s">
        <v>14</v>
      </c>
      <c r="F666" s="3">
        <v>218</v>
      </c>
      <c r="G666" s="3" t="s">
        <v>550</v>
      </c>
      <c r="H666" s="4">
        <v>9.2799999999999994</v>
      </c>
      <c r="I666" s="3">
        <v>7</v>
      </c>
      <c r="J666" s="3" t="s">
        <v>3</v>
      </c>
      <c r="K666" s="3" t="s">
        <v>3</v>
      </c>
      <c r="L666" s="3">
        <v>95</v>
      </c>
      <c r="M666" s="3">
        <v>62</v>
      </c>
      <c r="N666" s="3" t="s">
        <v>8</v>
      </c>
      <c r="O666" s="3" t="str">
        <f>_xlfn.IFS('Data set'!$H666&lt;5.7,"Normal",'Data set'!$H666&lt;=6.4,"Prediabetes",'Data set'!$H666&lt;=7.5,"Diabetes",'Data set'!$H666&gt;=7.5,"Uncontrolled")</f>
        <v>Uncontrolled</v>
      </c>
      <c r="P666" s="3" t="str">
        <f>_xlfn.IFS('Data set'!$F666&lt;120,"Low",'Data set'!$F666&lt;=200,"Normal",'Data set'!$F666&lt;=240,"Boarderline",'Data set'!$F666&gt;=241,"High")</f>
        <v>Boarderline</v>
      </c>
      <c r="Q666" s="3" t="str">
        <f>_xlfn.IFS('Data set'!$D666&lt;=18.5,"Low",'Data set'!$D666&lt;=24.9,"Normal",'Data set'!$D666&lt;=29.9,"High",'Data set'!$D666&gt;29.9,"Very High")</f>
        <v>Low</v>
      </c>
    </row>
    <row r="667" spans="1:17" x14ac:dyDescent="0.25">
      <c r="A667" s="5">
        <v>63</v>
      </c>
      <c r="B667" s="5" t="s">
        <v>9</v>
      </c>
      <c r="C667" s="6">
        <v>97.29</v>
      </c>
      <c r="D667" s="6">
        <v>34.25</v>
      </c>
      <c r="E667" s="5" t="s">
        <v>14</v>
      </c>
      <c r="F667" s="5">
        <v>185</v>
      </c>
      <c r="G667" s="5" t="s">
        <v>293</v>
      </c>
      <c r="H667" s="6">
        <v>7.59</v>
      </c>
      <c r="I667" s="5">
        <v>2</v>
      </c>
      <c r="J667" s="5" t="s">
        <v>3</v>
      </c>
      <c r="K667" s="5" t="s">
        <v>4</v>
      </c>
      <c r="L667" s="5">
        <v>135</v>
      </c>
      <c r="M667" s="5">
        <v>82</v>
      </c>
      <c r="N667" s="5" t="s">
        <v>21</v>
      </c>
      <c r="O667" s="5" t="str">
        <f>_xlfn.IFS('Data set'!$H667&lt;5.7,"Normal",'Data set'!$H667&lt;=6.4,"Prediabetes",'Data set'!$H667&lt;=7.5,"Diabetes",'Data set'!$H667&gt;=7.5,"Uncontrolled")</f>
        <v>Uncontrolled</v>
      </c>
      <c r="P667" s="5" t="str">
        <f>_xlfn.IFS('Data set'!$F667&lt;120,"Low",'Data set'!$F667&lt;=200,"Normal",'Data set'!$F667&lt;=240,"Boarderline",'Data set'!$F667&gt;=241,"High")</f>
        <v>Normal</v>
      </c>
      <c r="Q667" s="5" t="str">
        <f>_xlfn.IFS('Data set'!$D667&lt;=18.5,"Low",'Data set'!$D667&lt;=24.9,"Normal",'Data set'!$D667&lt;=29.9,"High",'Data set'!$D667&gt;29.9,"Very High")</f>
        <v>Very High</v>
      </c>
    </row>
    <row r="668" spans="1:17" x14ac:dyDescent="0.25">
      <c r="A668" s="3">
        <v>18</v>
      </c>
      <c r="B668" s="3" t="s">
        <v>9</v>
      </c>
      <c r="C668" s="4">
        <v>120.96</v>
      </c>
      <c r="D668" s="4">
        <v>39.15</v>
      </c>
      <c r="E668" s="3" t="s">
        <v>1</v>
      </c>
      <c r="F668" s="3">
        <v>149</v>
      </c>
      <c r="G668" s="3" t="s">
        <v>551</v>
      </c>
      <c r="H668" s="4">
        <v>8.8699999999999992</v>
      </c>
      <c r="I668" s="3">
        <v>6</v>
      </c>
      <c r="J668" s="3" t="s">
        <v>4</v>
      </c>
      <c r="K668" s="3" t="s">
        <v>3</v>
      </c>
      <c r="L668" s="3">
        <v>132</v>
      </c>
      <c r="M668" s="3">
        <v>74</v>
      </c>
      <c r="N668" s="3" t="s">
        <v>17</v>
      </c>
      <c r="O668" s="3" t="str">
        <f>_xlfn.IFS('Data set'!$H668&lt;5.7,"Normal",'Data set'!$H668&lt;=6.4,"Prediabetes",'Data set'!$H668&lt;=7.5,"Diabetes",'Data set'!$H668&gt;=7.5,"Uncontrolled")</f>
        <v>Uncontrolled</v>
      </c>
      <c r="P668" s="3" t="str">
        <f>_xlfn.IFS('Data set'!$F668&lt;120,"Low",'Data set'!$F668&lt;=200,"Normal",'Data set'!$F668&lt;=240,"Boarderline",'Data set'!$F668&gt;=241,"High")</f>
        <v>Normal</v>
      </c>
      <c r="Q668" s="3" t="str">
        <f>_xlfn.IFS('Data set'!$D668&lt;=18.5,"Low",'Data set'!$D668&lt;=24.9,"Normal",'Data set'!$D668&lt;=29.9,"High",'Data set'!$D668&gt;29.9,"Very High")</f>
        <v>Very High</v>
      </c>
    </row>
    <row r="669" spans="1:17" x14ac:dyDescent="0.25">
      <c r="A669" s="5">
        <v>72</v>
      </c>
      <c r="B669" s="5" t="s">
        <v>9</v>
      </c>
      <c r="C669" s="6">
        <v>196</v>
      </c>
      <c r="D669" s="6">
        <v>30.36</v>
      </c>
      <c r="E669" s="5" t="s">
        <v>14</v>
      </c>
      <c r="F669" s="5">
        <v>166</v>
      </c>
      <c r="G669" s="5" t="s">
        <v>552</v>
      </c>
      <c r="H669" s="6">
        <v>7.96</v>
      </c>
      <c r="I669" s="5">
        <v>7</v>
      </c>
      <c r="J669" s="5" t="s">
        <v>3</v>
      </c>
      <c r="K669" s="5" t="s">
        <v>4</v>
      </c>
      <c r="L669" s="5">
        <v>115</v>
      </c>
      <c r="M669" s="5">
        <v>89</v>
      </c>
      <c r="N669" s="5" t="s">
        <v>5</v>
      </c>
      <c r="O669" s="5" t="str">
        <f>_xlfn.IFS('Data set'!$H669&lt;5.7,"Normal",'Data set'!$H669&lt;=6.4,"Prediabetes",'Data set'!$H669&lt;=7.5,"Diabetes",'Data set'!$H669&gt;=7.5,"Uncontrolled")</f>
        <v>Uncontrolled</v>
      </c>
      <c r="P669" s="5" t="str">
        <f>_xlfn.IFS('Data set'!$F669&lt;120,"Low",'Data set'!$F669&lt;=200,"Normal",'Data set'!$F669&lt;=240,"Boarderline",'Data set'!$F669&gt;=241,"High")</f>
        <v>Normal</v>
      </c>
      <c r="Q669" s="5" t="str">
        <f>_xlfn.IFS('Data set'!$D669&lt;=18.5,"Low",'Data set'!$D669&lt;=24.9,"Normal",'Data set'!$D669&lt;=29.9,"High",'Data set'!$D669&gt;29.9,"Very High")</f>
        <v>Very High</v>
      </c>
    </row>
    <row r="670" spans="1:17" x14ac:dyDescent="0.25">
      <c r="A670" s="3">
        <v>45</v>
      </c>
      <c r="B670" s="3" t="s">
        <v>0</v>
      </c>
      <c r="C670" s="4">
        <v>99.03</v>
      </c>
      <c r="D670" s="4">
        <v>18.559999999999999</v>
      </c>
      <c r="E670" s="3" t="s">
        <v>1</v>
      </c>
      <c r="F670" s="3">
        <v>197</v>
      </c>
      <c r="G670" s="3" t="s">
        <v>553</v>
      </c>
      <c r="H670" s="4">
        <v>7.39</v>
      </c>
      <c r="I670" s="3">
        <v>5</v>
      </c>
      <c r="J670" s="3" t="s">
        <v>4</v>
      </c>
      <c r="K670" s="3" t="s">
        <v>4</v>
      </c>
      <c r="L670" s="3">
        <v>99</v>
      </c>
      <c r="M670" s="3">
        <v>89</v>
      </c>
      <c r="N670" s="3" t="s">
        <v>23</v>
      </c>
      <c r="O670" s="3" t="str">
        <f>_xlfn.IFS('Data set'!$H670&lt;5.7,"Normal",'Data set'!$H670&lt;=6.4,"Prediabetes",'Data set'!$H670&lt;=7.5,"Diabetes",'Data set'!$H670&gt;=7.5,"Uncontrolled")</f>
        <v>Diabetes</v>
      </c>
      <c r="P670" s="3" t="str">
        <f>_xlfn.IFS('Data set'!$F670&lt;120,"Low",'Data set'!$F670&lt;=200,"Normal",'Data set'!$F670&lt;=240,"Boarderline",'Data set'!$F670&gt;=241,"High")</f>
        <v>Normal</v>
      </c>
      <c r="Q670" s="3" t="str">
        <f>_xlfn.IFS('Data set'!$D670&lt;=18.5,"Low",'Data set'!$D670&lt;=24.9,"Normal",'Data set'!$D670&lt;=29.9,"High",'Data set'!$D670&gt;29.9,"Very High")</f>
        <v>Normal</v>
      </c>
    </row>
    <row r="671" spans="1:17" x14ac:dyDescent="0.25">
      <c r="A671" s="5">
        <v>52</v>
      </c>
      <c r="B671" s="5" t="s">
        <v>0</v>
      </c>
      <c r="C671" s="6">
        <v>138.65</v>
      </c>
      <c r="D671" s="6">
        <v>18.3</v>
      </c>
      <c r="E671" s="5" t="s">
        <v>6</v>
      </c>
      <c r="F671" s="5">
        <v>124</v>
      </c>
      <c r="G671" s="5" t="s">
        <v>554</v>
      </c>
      <c r="H671" s="6">
        <v>9.2200000000000006</v>
      </c>
      <c r="I671" s="5">
        <v>4</v>
      </c>
      <c r="J671" s="5" t="s">
        <v>3</v>
      </c>
      <c r="K671" s="5" t="s">
        <v>3</v>
      </c>
      <c r="L671" s="5">
        <v>92</v>
      </c>
      <c r="M671" s="5">
        <v>74</v>
      </c>
      <c r="N671" s="5" t="s">
        <v>8</v>
      </c>
      <c r="O671" s="5" t="str">
        <f>_xlfn.IFS('Data set'!$H671&lt;5.7,"Normal",'Data set'!$H671&lt;=6.4,"Prediabetes",'Data set'!$H671&lt;=7.5,"Diabetes",'Data set'!$H671&gt;=7.5,"Uncontrolled")</f>
        <v>Uncontrolled</v>
      </c>
      <c r="P671" s="5" t="str">
        <f>_xlfn.IFS('Data set'!$F671&lt;120,"Low",'Data set'!$F671&lt;=200,"Normal",'Data set'!$F671&lt;=240,"Boarderline",'Data set'!$F671&gt;=241,"High")</f>
        <v>Normal</v>
      </c>
      <c r="Q671" s="5" t="str">
        <f>_xlfn.IFS('Data set'!$D671&lt;=18.5,"Low",'Data set'!$D671&lt;=24.9,"Normal",'Data set'!$D671&lt;=29.9,"High",'Data set'!$D671&gt;29.9,"Very High")</f>
        <v>Low</v>
      </c>
    </row>
    <row r="672" spans="1:17" x14ac:dyDescent="0.25">
      <c r="A672" s="3">
        <v>66</v>
      </c>
      <c r="B672" s="3" t="s">
        <v>9</v>
      </c>
      <c r="C672" s="4">
        <v>205.51</v>
      </c>
      <c r="D672" s="4">
        <v>35.74</v>
      </c>
      <c r="E672" s="3" t="s">
        <v>14</v>
      </c>
      <c r="F672" s="3">
        <v>275</v>
      </c>
      <c r="G672" s="3" t="s">
        <v>555</v>
      </c>
      <c r="H672" s="4">
        <v>4.1399999999999997</v>
      </c>
      <c r="I672" s="3">
        <v>5</v>
      </c>
      <c r="J672" s="3" t="s">
        <v>3</v>
      </c>
      <c r="K672" s="3" t="s">
        <v>3</v>
      </c>
      <c r="L672" s="3">
        <v>104</v>
      </c>
      <c r="M672" s="3">
        <v>65</v>
      </c>
      <c r="N672" s="3" t="s">
        <v>21</v>
      </c>
      <c r="O672" s="3" t="str">
        <f>_xlfn.IFS('Data set'!$H672&lt;5.7,"Normal",'Data set'!$H672&lt;=6.4,"Prediabetes",'Data set'!$H672&lt;=7.5,"Diabetes",'Data set'!$H672&gt;=7.5,"Uncontrolled")</f>
        <v>Normal</v>
      </c>
      <c r="P672" s="3" t="str">
        <f>_xlfn.IFS('Data set'!$F672&lt;120,"Low",'Data set'!$F672&lt;=200,"Normal",'Data set'!$F672&lt;=240,"Boarderline",'Data set'!$F672&gt;=241,"High")</f>
        <v>High</v>
      </c>
      <c r="Q672" s="3" t="str">
        <f>_xlfn.IFS('Data set'!$D672&lt;=18.5,"Low",'Data set'!$D672&lt;=24.9,"Normal",'Data set'!$D672&lt;=29.9,"High",'Data set'!$D672&gt;29.9,"Very High")</f>
        <v>Very High</v>
      </c>
    </row>
    <row r="673" spans="1:17" x14ac:dyDescent="0.25">
      <c r="A673" s="5">
        <v>32</v>
      </c>
      <c r="B673" s="5" t="s">
        <v>0</v>
      </c>
      <c r="C673" s="6">
        <v>237.69</v>
      </c>
      <c r="D673" s="6">
        <v>28.69</v>
      </c>
      <c r="E673" s="5" t="s">
        <v>10</v>
      </c>
      <c r="F673" s="5">
        <v>243</v>
      </c>
      <c r="G673" s="5" t="s">
        <v>556</v>
      </c>
      <c r="H673" s="6">
        <v>9.14</v>
      </c>
      <c r="I673" s="5">
        <v>7</v>
      </c>
      <c r="J673" s="5" t="s">
        <v>3</v>
      </c>
      <c r="K673" s="5" t="s">
        <v>4</v>
      </c>
      <c r="L673" s="5">
        <v>135</v>
      </c>
      <c r="M673" s="5">
        <v>76</v>
      </c>
      <c r="N673" s="5" t="s">
        <v>12</v>
      </c>
      <c r="O673" s="5" t="str">
        <f>_xlfn.IFS('Data set'!$H673&lt;5.7,"Normal",'Data set'!$H673&lt;=6.4,"Prediabetes",'Data set'!$H673&lt;=7.5,"Diabetes",'Data set'!$H673&gt;=7.5,"Uncontrolled")</f>
        <v>Uncontrolled</v>
      </c>
      <c r="P673" s="5" t="str">
        <f>_xlfn.IFS('Data set'!$F673&lt;120,"Low",'Data set'!$F673&lt;=200,"Normal",'Data set'!$F673&lt;=240,"Boarderline",'Data set'!$F673&gt;=241,"High")</f>
        <v>High</v>
      </c>
      <c r="Q673" s="5" t="str">
        <f>_xlfn.IFS('Data set'!$D673&lt;=18.5,"Low",'Data set'!$D673&lt;=24.9,"Normal",'Data set'!$D673&lt;=29.9,"High",'Data set'!$D673&gt;29.9,"Very High")</f>
        <v>High</v>
      </c>
    </row>
    <row r="674" spans="1:17" x14ac:dyDescent="0.25">
      <c r="A674" s="3">
        <v>62</v>
      </c>
      <c r="B674" s="3" t="s">
        <v>9</v>
      </c>
      <c r="C674" s="4">
        <v>248.09</v>
      </c>
      <c r="D674" s="4">
        <v>20.97</v>
      </c>
      <c r="E674" s="3" t="s">
        <v>1</v>
      </c>
      <c r="F674" s="3">
        <v>230</v>
      </c>
      <c r="G674" s="3" t="s">
        <v>221</v>
      </c>
      <c r="H674" s="4">
        <v>4.6900000000000004</v>
      </c>
      <c r="I674" s="3">
        <v>6</v>
      </c>
      <c r="J674" s="3" t="s">
        <v>3</v>
      </c>
      <c r="K674" s="3" t="s">
        <v>4</v>
      </c>
      <c r="L674" s="3">
        <v>125</v>
      </c>
      <c r="M674" s="3">
        <v>75</v>
      </c>
      <c r="N674" s="3" t="s">
        <v>21</v>
      </c>
      <c r="O674" s="3" t="str">
        <f>_xlfn.IFS('Data set'!$H674&lt;5.7,"Normal",'Data set'!$H674&lt;=6.4,"Prediabetes",'Data set'!$H674&lt;=7.5,"Diabetes",'Data set'!$H674&gt;=7.5,"Uncontrolled")</f>
        <v>Normal</v>
      </c>
      <c r="P674" s="3" t="str">
        <f>_xlfn.IFS('Data set'!$F674&lt;120,"Low",'Data set'!$F674&lt;=200,"Normal",'Data set'!$F674&lt;=240,"Boarderline",'Data set'!$F674&gt;=241,"High")</f>
        <v>Boarderline</v>
      </c>
      <c r="Q674" s="3" t="str">
        <f>_xlfn.IFS('Data set'!$D674&lt;=18.5,"Low",'Data set'!$D674&lt;=24.9,"Normal",'Data set'!$D674&lt;=29.9,"High",'Data set'!$D674&gt;29.9,"Very High")</f>
        <v>Normal</v>
      </c>
    </row>
    <row r="675" spans="1:17" x14ac:dyDescent="0.25">
      <c r="A675" s="5">
        <v>31</v>
      </c>
      <c r="B675" s="5" t="s">
        <v>9</v>
      </c>
      <c r="C675" s="6">
        <v>282.35000000000002</v>
      </c>
      <c r="D675" s="6">
        <v>20.14</v>
      </c>
      <c r="E675" s="5" t="s">
        <v>1</v>
      </c>
      <c r="F675" s="5">
        <v>209</v>
      </c>
      <c r="G675" s="5" t="s">
        <v>82</v>
      </c>
      <c r="H675" s="6">
        <v>4.66</v>
      </c>
      <c r="I675" s="5">
        <v>3</v>
      </c>
      <c r="J675" s="5" t="s">
        <v>4</v>
      </c>
      <c r="K675" s="5" t="s">
        <v>3</v>
      </c>
      <c r="L675" s="5">
        <v>90</v>
      </c>
      <c r="M675" s="5">
        <v>81</v>
      </c>
      <c r="N675" s="5" t="s">
        <v>12</v>
      </c>
      <c r="O675" s="5" t="str">
        <f>_xlfn.IFS('Data set'!$H675&lt;5.7,"Normal",'Data set'!$H675&lt;=6.4,"Prediabetes",'Data set'!$H675&lt;=7.5,"Diabetes",'Data set'!$H675&gt;=7.5,"Uncontrolled")</f>
        <v>Normal</v>
      </c>
      <c r="P675" s="5" t="str">
        <f>_xlfn.IFS('Data set'!$F675&lt;120,"Low",'Data set'!$F675&lt;=200,"Normal",'Data set'!$F675&lt;=240,"Boarderline",'Data set'!$F675&gt;=241,"High")</f>
        <v>Boarderline</v>
      </c>
      <c r="Q675" s="5" t="str">
        <f>_xlfn.IFS('Data set'!$D675&lt;=18.5,"Low",'Data set'!$D675&lt;=24.9,"Normal",'Data set'!$D675&lt;=29.9,"High",'Data set'!$D675&gt;29.9,"Very High")</f>
        <v>Normal</v>
      </c>
    </row>
    <row r="676" spans="1:17" x14ac:dyDescent="0.25">
      <c r="A676" s="3">
        <v>26</v>
      </c>
      <c r="B676" s="3" t="s">
        <v>9</v>
      </c>
      <c r="C676" s="4">
        <v>242.29</v>
      </c>
      <c r="D676" s="4">
        <v>36.51</v>
      </c>
      <c r="E676" s="3" t="s">
        <v>14</v>
      </c>
      <c r="F676" s="3">
        <v>221</v>
      </c>
      <c r="G676" s="3" t="s">
        <v>557</v>
      </c>
      <c r="H676" s="4">
        <v>4.17</v>
      </c>
      <c r="I676" s="3">
        <v>1</v>
      </c>
      <c r="J676" s="3" t="s">
        <v>4</v>
      </c>
      <c r="K676" s="3" t="s">
        <v>3</v>
      </c>
      <c r="L676" s="3">
        <v>119</v>
      </c>
      <c r="M676" s="3">
        <v>87</v>
      </c>
      <c r="N676" s="3" t="s">
        <v>17</v>
      </c>
      <c r="O676" s="3" t="str">
        <f>_xlfn.IFS('Data set'!$H676&lt;5.7,"Normal",'Data set'!$H676&lt;=6.4,"Prediabetes",'Data set'!$H676&lt;=7.5,"Diabetes",'Data set'!$H676&gt;=7.5,"Uncontrolled")</f>
        <v>Normal</v>
      </c>
      <c r="P676" s="3" t="str">
        <f>_xlfn.IFS('Data set'!$F676&lt;120,"Low",'Data set'!$F676&lt;=200,"Normal",'Data set'!$F676&lt;=240,"Boarderline",'Data set'!$F676&gt;=241,"High")</f>
        <v>Boarderline</v>
      </c>
      <c r="Q676" s="3" t="str">
        <f>_xlfn.IFS('Data set'!$D676&lt;=18.5,"Low",'Data set'!$D676&lt;=24.9,"Normal",'Data set'!$D676&lt;=29.9,"High",'Data set'!$D676&gt;29.9,"Very High")</f>
        <v>Very High</v>
      </c>
    </row>
    <row r="677" spans="1:17" x14ac:dyDescent="0.25">
      <c r="A677" s="5">
        <v>64</v>
      </c>
      <c r="B677" s="5" t="s">
        <v>0</v>
      </c>
      <c r="C677" s="6">
        <v>241.67</v>
      </c>
      <c r="D677" s="6">
        <v>31.75</v>
      </c>
      <c r="E677" s="5" t="s">
        <v>1</v>
      </c>
      <c r="F677" s="5">
        <v>214</v>
      </c>
      <c r="G677" s="5" t="s">
        <v>558</v>
      </c>
      <c r="H677" s="6">
        <v>9.2200000000000006</v>
      </c>
      <c r="I677" s="5">
        <v>1</v>
      </c>
      <c r="J677" s="5" t="s">
        <v>4</v>
      </c>
      <c r="K677" s="5" t="s">
        <v>4</v>
      </c>
      <c r="L677" s="5">
        <v>130</v>
      </c>
      <c r="M677" s="5">
        <v>87</v>
      </c>
      <c r="N677" s="5" t="s">
        <v>21</v>
      </c>
      <c r="O677" s="5" t="str">
        <f>_xlfn.IFS('Data set'!$H677&lt;5.7,"Normal",'Data set'!$H677&lt;=6.4,"Prediabetes",'Data set'!$H677&lt;=7.5,"Diabetes",'Data set'!$H677&gt;=7.5,"Uncontrolled")</f>
        <v>Uncontrolled</v>
      </c>
      <c r="P677" s="5" t="str">
        <f>_xlfn.IFS('Data set'!$F677&lt;120,"Low",'Data set'!$F677&lt;=200,"Normal",'Data set'!$F677&lt;=240,"Boarderline",'Data set'!$F677&gt;=241,"High")</f>
        <v>Boarderline</v>
      </c>
      <c r="Q677" s="5" t="str">
        <f>_xlfn.IFS('Data set'!$D677&lt;=18.5,"Low",'Data set'!$D677&lt;=24.9,"Normal",'Data set'!$D677&lt;=29.9,"High",'Data set'!$D677&gt;29.9,"Very High")</f>
        <v>Very High</v>
      </c>
    </row>
    <row r="678" spans="1:17" x14ac:dyDescent="0.25">
      <c r="A678" s="3">
        <v>50</v>
      </c>
      <c r="B678" s="3" t="s">
        <v>9</v>
      </c>
      <c r="C678" s="4">
        <v>229.81</v>
      </c>
      <c r="D678" s="4">
        <v>30.46</v>
      </c>
      <c r="E678" s="3" t="s">
        <v>14</v>
      </c>
      <c r="F678" s="3">
        <v>249</v>
      </c>
      <c r="G678" s="3" t="s">
        <v>559</v>
      </c>
      <c r="H678" s="4">
        <v>5.73</v>
      </c>
      <c r="I678" s="3">
        <v>0</v>
      </c>
      <c r="J678" s="3" t="s">
        <v>3</v>
      </c>
      <c r="K678" s="3" t="s">
        <v>3</v>
      </c>
      <c r="L678" s="3">
        <v>105</v>
      </c>
      <c r="M678" s="3">
        <v>73</v>
      </c>
      <c r="N678" s="3" t="s">
        <v>23</v>
      </c>
      <c r="O678" s="3" t="str">
        <f>_xlfn.IFS('Data set'!$H678&lt;5.7,"Normal",'Data set'!$H678&lt;=6.4,"Prediabetes",'Data set'!$H678&lt;=7.5,"Diabetes",'Data set'!$H678&gt;=7.5,"Uncontrolled")</f>
        <v>Prediabetes</v>
      </c>
      <c r="P678" s="3" t="str">
        <f>_xlfn.IFS('Data set'!$F678&lt;120,"Low",'Data set'!$F678&lt;=200,"Normal",'Data set'!$F678&lt;=240,"Boarderline",'Data set'!$F678&gt;=241,"High")</f>
        <v>High</v>
      </c>
      <c r="Q678" s="3" t="str">
        <f>_xlfn.IFS('Data set'!$D678&lt;=18.5,"Low",'Data set'!$D678&lt;=24.9,"Normal",'Data set'!$D678&lt;=29.9,"High",'Data set'!$D678&gt;29.9,"Very High")</f>
        <v>Very High</v>
      </c>
    </row>
    <row r="679" spans="1:17" x14ac:dyDescent="0.25">
      <c r="A679" s="5">
        <v>45</v>
      </c>
      <c r="B679" s="5" t="s">
        <v>9</v>
      </c>
      <c r="C679" s="6">
        <v>268.37</v>
      </c>
      <c r="D679" s="6">
        <v>21.79</v>
      </c>
      <c r="E679" s="5" t="s">
        <v>1</v>
      </c>
      <c r="F679" s="5">
        <v>291</v>
      </c>
      <c r="G679" s="5" t="s">
        <v>560</v>
      </c>
      <c r="H679" s="6">
        <v>7.65</v>
      </c>
      <c r="I679" s="5">
        <v>7</v>
      </c>
      <c r="J679" s="5" t="s">
        <v>4</v>
      </c>
      <c r="K679" s="5" t="s">
        <v>4</v>
      </c>
      <c r="L679" s="5">
        <v>94</v>
      </c>
      <c r="M679" s="5">
        <v>90</v>
      </c>
      <c r="N679" s="5" t="s">
        <v>23</v>
      </c>
      <c r="O679" s="5" t="str">
        <f>_xlfn.IFS('Data set'!$H679&lt;5.7,"Normal",'Data set'!$H679&lt;=6.4,"Prediabetes",'Data set'!$H679&lt;=7.5,"Diabetes",'Data set'!$H679&gt;=7.5,"Uncontrolled")</f>
        <v>Uncontrolled</v>
      </c>
      <c r="P679" s="5" t="str">
        <f>_xlfn.IFS('Data set'!$F679&lt;120,"Low",'Data set'!$F679&lt;=200,"Normal",'Data set'!$F679&lt;=240,"Boarderline",'Data set'!$F679&gt;=241,"High")</f>
        <v>High</v>
      </c>
      <c r="Q679" s="5" t="str">
        <f>_xlfn.IFS('Data set'!$D679&lt;=18.5,"Low",'Data set'!$D679&lt;=24.9,"Normal",'Data set'!$D679&lt;=29.9,"High",'Data set'!$D679&gt;29.9,"Very High")</f>
        <v>Normal</v>
      </c>
    </row>
    <row r="680" spans="1:17" x14ac:dyDescent="0.25">
      <c r="A680" s="3">
        <v>54</v>
      </c>
      <c r="B680" s="3" t="s">
        <v>0</v>
      </c>
      <c r="C680" s="4">
        <v>235.35</v>
      </c>
      <c r="D680" s="4">
        <v>22.12</v>
      </c>
      <c r="E680" s="3" t="s">
        <v>14</v>
      </c>
      <c r="F680" s="3">
        <v>268</v>
      </c>
      <c r="G680" s="3" t="s">
        <v>561</v>
      </c>
      <c r="H680" s="4">
        <v>8.6199999999999992</v>
      </c>
      <c r="I680" s="3">
        <v>5</v>
      </c>
      <c r="J680" s="3" t="s">
        <v>4</v>
      </c>
      <c r="K680" s="3" t="s">
        <v>3</v>
      </c>
      <c r="L680" s="3">
        <v>105</v>
      </c>
      <c r="M680" s="3">
        <v>84</v>
      </c>
      <c r="N680" s="3" t="s">
        <v>8</v>
      </c>
      <c r="O680" s="3" t="str">
        <f>_xlfn.IFS('Data set'!$H680&lt;5.7,"Normal",'Data set'!$H680&lt;=6.4,"Prediabetes",'Data set'!$H680&lt;=7.5,"Diabetes",'Data set'!$H680&gt;=7.5,"Uncontrolled")</f>
        <v>Uncontrolled</v>
      </c>
      <c r="P680" s="3" t="str">
        <f>_xlfn.IFS('Data set'!$F680&lt;120,"Low",'Data set'!$F680&lt;=200,"Normal",'Data set'!$F680&lt;=240,"Boarderline",'Data set'!$F680&gt;=241,"High")</f>
        <v>High</v>
      </c>
      <c r="Q680" s="3" t="str">
        <f>_xlfn.IFS('Data set'!$D680&lt;=18.5,"Low",'Data set'!$D680&lt;=24.9,"Normal",'Data set'!$D680&lt;=29.9,"High",'Data set'!$D680&gt;29.9,"Very High")</f>
        <v>Normal</v>
      </c>
    </row>
    <row r="681" spans="1:17" x14ac:dyDescent="0.25">
      <c r="A681" s="5">
        <v>29</v>
      </c>
      <c r="B681" s="5" t="s">
        <v>9</v>
      </c>
      <c r="C681" s="6">
        <v>230.71</v>
      </c>
      <c r="D681" s="6">
        <v>28.55</v>
      </c>
      <c r="E681" s="5" t="s">
        <v>10</v>
      </c>
      <c r="F681" s="5">
        <v>279</v>
      </c>
      <c r="G681" s="5" t="s">
        <v>562</v>
      </c>
      <c r="H681" s="6">
        <v>7.31</v>
      </c>
      <c r="I681" s="5">
        <v>4</v>
      </c>
      <c r="J681" s="5" t="s">
        <v>3</v>
      </c>
      <c r="K681" s="5" t="s">
        <v>3</v>
      </c>
      <c r="L681" s="5">
        <v>110</v>
      </c>
      <c r="M681" s="5">
        <v>65</v>
      </c>
      <c r="N681" s="5" t="s">
        <v>17</v>
      </c>
      <c r="O681" s="5" t="str">
        <f>_xlfn.IFS('Data set'!$H681&lt;5.7,"Normal",'Data set'!$H681&lt;=6.4,"Prediabetes",'Data set'!$H681&lt;=7.5,"Diabetes",'Data set'!$H681&gt;=7.5,"Uncontrolled")</f>
        <v>Diabetes</v>
      </c>
      <c r="P681" s="5" t="str">
        <f>_xlfn.IFS('Data set'!$F681&lt;120,"Low",'Data set'!$F681&lt;=200,"Normal",'Data set'!$F681&lt;=240,"Boarderline",'Data set'!$F681&gt;=241,"High")</f>
        <v>High</v>
      </c>
      <c r="Q681" s="5" t="str">
        <f>_xlfn.IFS('Data set'!$D681&lt;=18.5,"Low",'Data set'!$D681&lt;=24.9,"Normal",'Data set'!$D681&lt;=29.9,"High",'Data set'!$D681&gt;29.9,"Very High")</f>
        <v>High</v>
      </c>
    </row>
    <row r="682" spans="1:17" x14ac:dyDescent="0.25">
      <c r="A682" s="3">
        <v>67</v>
      </c>
      <c r="B682" s="3" t="s">
        <v>0</v>
      </c>
      <c r="C682" s="4">
        <v>215.79</v>
      </c>
      <c r="D682" s="4">
        <v>30.32</v>
      </c>
      <c r="E682" s="3" t="s">
        <v>1</v>
      </c>
      <c r="F682" s="3">
        <v>195</v>
      </c>
      <c r="G682" s="3" t="s">
        <v>563</v>
      </c>
      <c r="H682" s="4">
        <v>8.31</v>
      </c>
      <c r="I682" s="3">
        <v>1</v>
      </c>
      <c r="J682" s="3" t="s">
        <v>4</v>
      </c>
      <c r="K682" s="3" t="s">
        <v>4</v>
      </c>
      <c r="L682" s="3">
        <v>113</v>
      </c>
      <c r="M682" s="3">
        <v>62</v>
      </c>
      <c r="N682" s="3" t="s">
        <v>21</v>
      </c>
      <c r="O682" s="3" t="str">
        <f>_xlfn.IFS('Data set'!$H682&lt;5.7,"Normal",'Data set'!$H682&lt;=6.4,"Prediabetes",'Data set'!$H682&lt;=7.5,"Diabetes",'Data set'!$H682&gt;=7.5,"Uncontrolled")</f>
        <v>Uncontrolled</v>
      </c>
      <c r="P682" s="3" t="str">
        <f>_xlfn.IFS('Data set'!$F682&lt;120,"Low",'Data set'!$F682&lt;=200,"Normal",'Data set'!$F682&lt;=240,"Boarderline",'Data set'!$F682&gt;=241,"High")</f>
        <v>Normal</v>
      </c>
      <c r="Q682" s="3" t="str">
        <f>_xlfn.IFS('Data set'!$D682&lt;=18.5,"Low",'Data set'!$D682&lt;=24.9,"Normal",'Data set'!$D682&lt;=29.9,"High",'Data set'!$D682&gt;29.9,"Very High")</f>
        <v>Very High</v>
      </c>
    </row>
    <row r="683" spans="1:17" x14ac:dyDescent="0.25">
      <c r="A683" s="5">
        <v>41</v>
      </c>
      <c r="B683" s="5" t="s">
        <v>9</v>
      </c>
      <c r="C683" s="6">
        <v>188.2</v>
      </c>
      <c r="D683" s="6">
        <v>22.74</v>
      </c>
      <c r="E683" s="5" t="s">
        <v>14</v>
      </c>
      <c r="F683" s="5">
        <v>205</v>
      </c>
      <c r="G683" s="5" t="s">
        <v>564</v>
      </c>
      <c r="H683" s="6">
        <v>9.5299999999999994</v>
      </c>
      <c r="I683" s="5">
        <v>5</v>
      </c>
      <c r="J683" s="5" t="s">
        <v>4</v>
      </c>
      <c r="K683" s="5" t="s">
        <v>3</v>
      </c>
      <c r="L683" s="5">
        <v>114</v>
      </c>
      <c r="M683" s="5">
        <v>62</v>
      </c>
      <c r="N683" s="5" t="s">
        <v>23</v>
      </c>
      <c r="O683" s="5" t="str">
        <f>_xlfn.IFS('Data set'!$H683&lt;5.7,"Normal",'Data set'!$H683&lt;=6.4,"Prediabetes",'Data set'!$H683&lt;=7.5,"Diabetes",'Data set'!$H683&gt;=7.5,"Uncontrolled")</f>
        <v>Uncontrolled</v>
      </c>
      <c r="P683" s="5" t="str">
        <f>_xlfn.IFS('Data set'!$F683&lt;120,"Low",'Data set'!$F683&lt;=200,"Normal",'Data set'!$F683&lt;=240,"Boarderline",'Data set'!$F683&gt;=241,"High")</f>
        <v>Boarderline</v>
      </c>
      <c r="Q683" s="5" t="str">
        <f>_xlfn.IFS('Data set'!$D683&lt;=18.5,"Low",'Data set'!$D683&lt;=24.9,"Normal",'Data set'!$D683&lt;=29.9,"High",'Data set'!$D683&gt;29.9,"Very High")</f>
        <v>Normal</v>
      </c>
    </row>
    <row r="684" spans="1:17" x14ac:dyDescent="0.25">
      <c r="A684" s="3">
        <v>75</v>
      </c>
      <c r="B684" s="3" t="s">
        <v>9</v>
      </c>
      <c r="C684" s="4">
        <v>174.34</v>
      </c>
      <c r="D684" s="4">
        <v>30.78</v>
      </c>
      <c r="E684" s="3" t="s">
        <v>14</v>
      </c>
      <c r="F684" s="3">
        <v>108</v>
      </c>
      <c r="G684" s="3" t="s">
        <v>565</v>
      </c>
      <c r="H684" s="4">
        <v>5.0599999999999996</v>
      </c>
      <c r="I684" s="3">
        <v>5</v>
      </c>
      <c r="J684" s="3" t="s">
        <v>3</v>
      </c>
      <c r="K684" s="3" t="s">
        <v>4</v>
      </c>
      <c r="L684" s="3">
        <v>97</v>
      </c>
      <c r="M684" s="3">
        <v>75</v>
      </c>
      <c r="N684" s="3" t="s">
        <v>5</v>
      </c>
      <c r="O684" s="3" t="str">
        <f>_xlfn.IFS('Data set'!$H684&lt;5.7,"Normal",'Data set'!$H684&lt;=6.4,"Prediabetes",'Data set'!$H684&lt;=7.5,"Diabetes",'Data set'!$H684&gt;=7.5,"Uncontrolled")</f>
        <v>Normal</v>
      </c>
      <c r="P684" s="3" t="str">
        <f>_xlfn.IFS('Data set'!$F684&lt;120,"Low",'Data set'!$F684&lt;=200,"Normal",'Data set'!$F684&lt;=240,"Boarderline",'Data set'!$F684&gt;=241,"High")</f>
        <v>Low</v>
      </c>
      <c r="Q684" s="3" t="str">
        <f>_xlfn.IFS('Data set'!$D684&lt;=18.5,"Low",'Data set'!$D684&lt;=24.9,"Normal",'Data set'!$D684&lt;=29.9,"High",'Data set'!$D684&gt;29.9,"Very High")</f>
        <v>Very High</v>
      </c>
    </row>
    <row r="685" spans="1:17" x14ac:dyDescent="0.25">
      <c r="A685" s="5">
        <v>77</v>
      </c>
      <c r="B685" s="5" t="s">
        <v>0</v>
      </c>
      <c r="C685" s="6">
        <v>102.06</v>
      </c>
      <c r="D685" s="6">
        <v>37.43</v>
      </c>
      <c r="E685" s="5" t="s">
        <v>14</v>
      </c>
      <c r="F685" s="5">
        <v>166</v>
      </c>
      <c r="G685" s="5" t="s">
        <v>566</v>
      </c>
      <c r="H685" s="6">
        <v>9.92</v>
      </c>
      <c r="I685" s="5">
        <v>1</v>
      </c>
      <c r="J685" s="5" t="s">
        <v>4</v>
      </c>
      <c r="K685" s="5" t="s">
        <v>3</v>
      </c>
      <c r="L685" s="5">
        <v>91</v>
      </c>
      <c r="M685" s="5">
        <v>81</v>
      </c>
      <c r="N685" s="5" t="s">
        <v>5</v>
      </c>
      <c r="O685" s="5" t="str">
        <f>_xlfn.IFS('Data set'!$H685&lt;5.7,"Normal",'Data set'!$H685&lt;=6.4,"Prediabetes",'Data set'!$H685&lt;=7.5,"Diabetes",'Data set'!$H685&gt;=7.5,"Uncontrolled")</f>
        <v>Uncontrolled</v>
      </c>
      <c r="P685" s="5" t="str">
        <f>_xlfn.IFS('Data set'!$F685&lt;120,"Low",'Data set'!$F685&lt;=200,"Normal",'Data set'!$F685&lt;=240,"Boarderline",'Data set'!$F685&gt;=241,"High")</f>
        <v>Normal</v>
      </c>
      <c r="Q685" s="5" t="str">
        <f>_xlfn.IFS('Data set'!$D685&lt;=18.5,"Low",'Data set'!$D685&lt;=24.9,"Normal",'Data set'!$D685&lt;=29.9,"High",'Data set'!$D685&gt;29.9,"Very High")</f>
        <v>Very High</v>
      </c>
    </row>
    <row r="686" spans="1:17" x14ac:dyDescent="0.25">
      <c r="A686" s="3">
        <v>72</v>
      </c>
      <c r="B686" s="3" t="s">
        <v>9</v>
      </c>
      <c r="C686" s="4">
        <v>122.22</v>
      </c>
      <c r="D686" s="4">
        <v>22.37</v>
      </c>
      <c r="E686" s="3" t="s">
        <v>14</v>
      </c>
      <c r="F686" s="3">
        <v>122</v>
      </c>
      <c r="G686" s="3" t="s">
        <v>567</v>
      </c>
      <c r="H686" s="4">
        <v>6.82</v>
      </c>
      <c r="I686" s="3">
        <v>5</v>
      </c>
      <c r="J686" s="3" t="s">
        <v>4</v>
      </c>
      <c r="K686" s="3" t="s">
        <v>3</v>
      </c>
      <c r="L686" s="3">
        <v>101</v>
      </c>
      <c r="M686" s="3">
        <v>87</v>
      </c>
      <c r="N686" s="3" t="s">
        <v>5</v>
      </c>
      <c r="O686" s="3" t="str">
        <f>_xlfn.IFS('Data set'!$H686&lt;5.7,"Normal",'Data set'!$H686&lt;=6.4,"Prediabetes",'Data set'!$H686&lt;=7.5,"Diabetes",'Data set'!$H686&gt;=7.5,"Uncontrolled")</f>
        <v>Diabetes</v>
      </c>
      <c r="P686" s="3" t="str">
        <f>_xlfn.IFS('Data set'!$F686&lt;120,"Low",'Data set'!$F686&lt;=200,"Normal",'Data set'!$F686&lt;=240,"Boarderline",'Data set'!$F686&gt;=241,"High")</f>
        <v>Normal</v>
      </c>
      <c r="Q686" s="3" t="str">
        <f>_xlfn.IFS('Data set'!$D686&lt;=18.5,"Low",'Data set'!$D686&lt;=24.9,"Normal",'Data set'!$D686&lt;=29.9,"High",'Data set'!$D686&gt;29.9,"Very High")</f>
        <v>Normal</v>
      </c>
    </row>
    <row r="687" spans="1:17" x14ac:dyDescent="0.25">
      <c r="A687" s="5">
        <v>51</v>
      </c>
      <c r="B687" s="5" t="s">
        <v>0</v>
      </c>
      <c r="C687" s="6">
        <v>96.72</v>
      </c>
      <c r="D687" s="6">
        <v>25.53</v>
      </c>
      <c r="E687" s="5" t="s">
        <v>14</v>
      </c>
      <c r="F687" s="5">
        <v>137</v>
      </c>
      <c r="G687" s="5" t="s">
        <v>568</v>
      </c>
      <c r="H687" s="6">
        <v>4.75</v>
      </c>
      <c r="I687" s="5">
        <v>3</v>
      </c>
      <c r="J687" s="5" t="s">
        <v>4</v>
      </c>
      <c r="K687" s="5" t="s">
        <v>3</v>
      </c>
      <c r="L687" s="5">
        <v>109</v>
      </c>
      <c r="M687" s="5">
        <v>71</v>
      </c>
      <c r="N687" s="5" t="s">
        <v>8</v>
      </c>
      <c r="O687" s="5" t="str">
        <f>_xlfn.IFS('Data set'!$H687&lt;5.7,"Normal",'Data set'!$H687&lt;=6.4,"Prediabetes",'Data set'!$H687&lt;=7.5,"Diabetes",'Data set'!$H687&gt;=7.5,"Uncontrolled")</f>
        <v>Normal</v>
      </c>
      <c r="P687" s="5" t="str">
        <f>_xlfn.IFS('Data set'!$F687&lt;120,"Low",'Data set'!$F687&lt;=200,"Normal",'Data set'!$F687&lt;=240,"Boarderline",'Data set'!$F687&gt;=241,"High")</f>
        <v>Normal</v>
      </c>
      <c r="Q687" s="5" t="str">
        <f>_xlfn.IFS('Data set'!$D687&lt;=18.5,"Low",'Data set'!$D687&lt;=24.9,"Normal",'Data set'!$D687&lt;=29.9,"High",'Data set'!$D687&gt;29.9,"Very High")</f>
        <v>High</v>
      </c>
    </row>
    <row r="688" spans="1:17" x14ac:dyDescent="0.25">
      <c r="A688" s="3">
        <v>75</v>
      </c>
      <c r="B688" s="3" t="s">
        <v>9</v>
      </c>
      <c r="C688" s="4">
        <v>217.5</v>
      </c>
      <c r="D688" s="4">
        <v>29.01</v>
      </c>
      <c r="E688" s="3" t="s">
        <v>10</v>
      </c>
      <c r="F688" s="3">
        <v>220</v>
      </c>
      <c r="G688" s="3" t="s">
        <v>569</v>
      </c>
      <c r="H688" s="4">
        <v>9.26</v>
      </c>
      <c r="I688" s="3">
        <v>1</v>
      </c>
      <c r="J688" s="3" t="s">
        <v>4</v>
      </c>
      <c r="K688" s="3" t="s">
        <v>4</v>
      </c>
      <c r="L688" s="3">
        <v>129</v>
      </c>
      <c r="M688" s="3">
        <v>64</v>
      </c>
      <c r="N688" s="3" t="s">
        <v>5</v>
      </c>
      <c r="O688" s="3" t="str">
        <f>_xlfn.IFS('Data set'!$H688&lt;5.7,"Normal",'Data set'!$H688&lt;=6.4,"Prediabetes",'Data set'!$H688&lt;=7.5,"Diabetes",'Data set'!$H688&gt;=7.5,"Uncontrolled")</f>
        <v>Uncontrolled</v>
      </c>
      <c r="P688" s="3" t="str">
        <f>_xlfn.IFS('Data set'!$F688&lt;120,"Low",'Data set'!$F688&lt;=200,"Normal",'Data set'!$F688&lt;=240,"Boarderline",'Data set'!$F688&gt;=241,"High")</f>
        <v>Boarderline</v>
      </c>
      <c r="Q688" s="3" t="str">
        <f>_xlfn.IFS('Data set'!$D688&lt;=18.5,"Low",'Data set'!$D688&lt;=24.9,"Normal",'Data set'!$D688&lt;=29.9,"High",'Data set'!$D688&gt;29.9,"Very High")</f>
        <v>High</v>
      </c>
    </row>
    <row r="689" spans="1:17" x14ac:dyDescent="0.25">
      <c r="A689" s="5">
        <v>32</v>
      </c>
      <c r="B689" s="5" t="s">
        <v>0</v>
      </c>
      <c r="C689" s="6">
        <v>88.91</v>
      </c>
      <c r="D689" s="6">
        <v>37.42</v>
      </c>
      <c r="E689" s="5" t="s">
        <v>6</v>
      </c>
      <c r="F689" s="5">
        <v>297</v>
      </c>
      <c r="G689" s="5" t="s">
        <v>570</v>
      </c>
      <c r="H689" s="6">
        <v>4.42</v>
      </c>
      <c r="I689" s="5">
        <v>6</v>
      </c>
      <c r="J689" s="5" t="s">
        <v>4</v>
      </c>
      <c r="K689" s="5" t="s">
        <v>4</v>
      </c>
      <c r="L689" s="5">
        <v>126</v>
      </c>
      <c r="M689" s="5">
        <v>62</v>
      </c>
      <c r="N689" s="5" t="s">
        <v>12</v>
      </c>
      <c r="O689" s="5" t="str">
        <f>_xlfn.IFS('Data set'!$H689&lt;5.7,"Normal",'Data set'!$H689&lt;=6.4,"Prediabetes",'Data set'!$H689&lt;=7.5,"Diabetes",'Data set'!$H689&gt;=7.5,"Uncontrolled")</f>
        <v>Normal</v>
      </c>
      <c r="P689" s="5" t="str">
        <f>_xlfn.IFS('Data set'!$F689&lt;120,"Low",'Data set'!$F689&lt;=200,"Normal",'Data set'!$F689&lt;=240,"Boarderline",'Data set'!$F689&gt;=241,"High")</f>
        <v>High</v>
      </c>
      <c r="Q689" s="5" t="str">
        <f>_xlfn.IFS('Data set'!$D689&lt;=18.5,"Low",'Data set'!$D689&lt;=24.9,"Normal",'Data set'!$D689&lt;=29.9,"High",'Data set'!$D689&gt;29.9,"Very High")</f>
        <v>Very High</v>
      </c>
    </row>
    <row r="690" spans="1:17" x14ac:dyDescent="0.25">
      <c r="A690" s="3">
        <v>55</v>
      </c>
      <c r="B690" s="3" t="s">
        <v>0</v>
      </c>
      <c r="C690" s="4">
        <v>183.39</v>
      </c>
      <c r="D690" s="4">
        <v>35.5</v>
      </c>
      <c r="E690" s="3" t="s">
        <v>6</v>
      </c>
      <c r="F690" s="3">
        <v>250</v>
      </c>
      <c r="G690" s="3" t="s">
        <v>51</v>
      </c>
      <c r="H690" s="4">
        <v>5.82</v>
      </c>
      <c r="I690" s="3">
        <v>0</v>
      </c>
      <c r="J690" s="3" t="s">
        <v>3</v>
      </c>
      <c r="K690" s="3" t="s">
        <v>4</v>
      </c>
      <c r="L690" s="3">
        <v>92</v>
      </c>
      <c r="M690" s="3">
        <v>82</v>
      </c>
      <c r="N690" s="3" t="s">
        <v>8</v>
      </c>
      <c r="O690" s="3" t="str">
        <f>_xlfn.IFS('Data set'!$H690&lt;5.7,"Normal",'Data set'!$H690&lt;=6.4,"Prediabetes",'Data set'!$H690&lt;=7.5,"Diabetes",'Data set'!$H690&gt;=7.5,"Uncontrolled")</f>
        <v>Prediabetes</v>
      </c>
      <c r="P690" s="3" t="str">
        <f>_xlfn.IFS('Data set'!$F690&lt;120,"Low",'Data set'!$F690&lt;=200,"Normal",'Data set'!$F690&lt;=240,"Boarderline",'Data set'!$F690&gt;=241,"High")</f>
        <v>High</v>
      </c>
      <c r="Q690" s="3" t="str">
        <f>_xlfn.IFS('Data set'!$D690&lt;=18.5,"Low",'Data set'!$D690&lt;=24.9,"Normal",'Data set'!$D690&lt;=29.9,"High",'Data set'!$D690&gt;29.9,"Very High")</f>
        <v>Very High</v>
      </c>
    </row>
    <row r="691" spans="1:17" x14ac:dyDescent="0.25">
      <c r="A691" s="5">
        <v>75</v>
      </c>
      <c r="B691" s="5" t="s">
        <v>0</v>
      </c>
      <c r="C691" s="6">
        <v>276.33999999999997</v>
      </c>
      <c r="D691" s="6">
        <v>36.97</v>
      </c>
      <c r="E691" s="5" t="s">
        <v>10</v>
      </c>
      <c r="F691" s="5">
        <v>188</v>
      </c>
      <c r="G691" s="5" t="s">
        <v>571</v>
      </c>
      <c r="H691" s="6">
        <v>5.97</v>
      </c>
      <c r="I691" s="5">
        <v>7</v>
      </c>
      <c r="J691" s="5" t="s">
        <v>3</v>
      </c>
      <c r="K691" s="5" t="s">
        <v>3</v>
      </c>
      <c r="L691" s="5">
        <v>97</v>
      </c>
      <c r="M691" s="5">
        <v>77</v>
      </c>
      <c r="N691" s="5" t="s">
        <v>5</v>
      </c>
      <c r="O691" s="5" t="str">
        <f>_xlfn.IFS('Data set'!$H691&lt;5.7,"Normal",'Data set'!$H691&lt;=6.4,"Prediabetes",'Data set'!$H691&lt;=7.5,"Diabetes",'Data set'!$H691&gt;=7.5,"Uncontrolled")</f>
        <v>Prediabetes</v>
      </c>
      <c r="P691" s="5" t="str">
        <f>_xlfn.IFS('Data set'!$F691&lt;120,"Low",'Data set'!$F691&lt;=200,"Normal",'Data set'!$F691&lt;=240,"Boarderline",'Data set'!$F691&gt;=241,"High")</f>
        <v>Normal</v>
      </c>
      <c r="Q691" s="5" t="str">
        <f>_xlfn.IFS('Data set'!$D691&lt;=18.5,"Low",'Data set'!$D691&lt;=24.9,"Normal",'Data set'!$D691&lt;=29.9,"High",'Data set'!$D691&gt;29.9,"Very High")</f>
        <v>Very High</v>
      </c>
    </row>
    <row r="692" spans="1:17" x14ac:dyDescent="0.25">
      <c r="A692" s="3">
        <v>79</v>
      </c>
      <c r="B692" s="3" t="s">
        <v>9</v>
      </c>
      <c r="C692" s="4">
        <v>293.99</v>
      </c>
      <c r="D692" s="4">
        <v>31.6</v>
      </c>
      <c r="E692" s="3" t="s">
        <v>14</v>
      </c>
      <c r="F692" s="3">
        <v>146</v>
      </c>
      <c r="G692" s="3" t="s">
        <v>572</v>
      </c>
      <c r="H692" s="4">
        <v>9.01</v>
      </c>
      <c r="I692" s="3">
        <v>7</v>
      </c>
      <c r="J692" s="3" t="s">
        <v>3</v>
      </c>
      <c r="K692" s="3" t="s">
        <v>3</v>
      </c>
      <c r="L692" s="3">
        <v>126</v>
      </c>
      <c r="M692" s="3">
        <v>90</v>
      </c>
      <c r="N692" s="3" t="s">
        <v>5</v>
      </c>
      <c r="O692" s="3" t="str">
        <f>_xlfn.IFS('Data set'!$H692&lt;5.7,"Normal",'Data set'!$H692&lt;=6.4,"Prediabetes",'Data set'!$H692&lt;=7.5,"Diabetes",'Data set'!$H692&gt;=7.5,"Uncontrolled")</f>
        <v>Uncontrolled</v>
      </c>
      <c r="P692" s="3" t="str">
        <f>_xlfn.IFS('Data set'!$F692&lt;120,"Low",'Data set'!$F692&lt;=200,"Normal",'Data set'!$F692&lt;=240,"Boarderline",'Data set'!$F692&gt;=241,"High")</f>
        <v>Normal</v>
      </c>
      <c r="Q692" s="3" t="str">
        <f>_xlfn.IFS('Data set'!$D692&lt;=18.5,"Low",'Data set'!$D692&lt;=24.9,"Normal",'Data set'!$D692&lt;=29.9,"High",'Data set'!$D692&gt;29.9,"Very High")</f>
        <v>Very High</v>
      </c>
    </row>
    <row r="693" spans="1:17" x14ac:dyDescent="0.25">
      <c r="A693" s="5">
        <v>76</v>
      </c>
      <c r="B693" s="5" t="s">
        <v>9</v>
      </c>
      <c r="C693" s="6">
        <v>203.63</v>
      </c>
      <c r="D693" s="6">
        <v>39.43</v>
      </c>
      <c r="E693" s="5" t="s">
        <v>14</v>
      </c>
      <c r="F693" s="5">
        <v>215</v>
      </c>
      <c r="G693" s="5" t="s">
        <v>573</v>
      </c>
      <c r="H693" s="6">
        <v>6.21</v>
      </c>
      <c r="I693" s="5">
        <v>4</v>
      </c>
      <c r="J693" s="5" t="s">
        <v>3</v>
      </c>
      <c r="K693" s="5" t="s">
        <v>3</v>
      </c>
      <c r="L693" s="5">
        <v>110</v>
      </c>
      <c r="M693" s="5">
        <v>66</v>
      </c>
      <c r="N693" s="5" t="s">
        <v>5</v>
      </c>
      <c r="O693" s="5" t="str">
        <f>_xlfn.IFS('Data set'!$H693&lt;5.7,"Normal",'Data set'!$H693&lt;=6.4,"Prediabetes",'Data set'!$H693&lt;=7.5,"Diabetes",'Data set'!$H693&gt;=7.5,"Uncontrolled")</f>
        <v>Prediabetes</v>
      </c>
      <c r="P693" s="5" t="str">
        <f>_xlfn.IFS('Data set'!$F693&lt;120,"Low",'Data set'!$F693&lt;=200,"Normal",'Data set'!$F693&lt;=240,"Boarderline",'Data set'!$F693&gt;=241,"High")</f>
        <v>Boarderline</v>
      </c>
      <c r="Q693" s="5" t="str">
        <f>_xlfn.IFS('Data set'!$D693&lt;=18.5,"Low",'Data set'!$D693&lt;=24.9,"Normal",'Data set'!$D693&lt;=29.9,"High",'Data set'!$D693&gt;29.9,"Very High")</f>
        <v>Very High</v>
      </c>
    </row>
    <row r="694" spans="1:17" x14ac:dyDescent="0.25">
      <c r="A694" s="3">
        <v>58</v>
      </c>
      <c r="B694" s="3" t="s">
        <v>0</v>
      </c>
      <c r="C694" s="4">
        <v>91.23</v>
      </c>
      <c r="D694" s="4">
        <v>21.54</v>
      </c>
      <c r="E694" s="3" t="s">
        <v>10</v>
      </c>
      <c r="F694" s="3">
        <v>101</v>
      </c>
      <c r="G694" s="3" t="s">
        <v>574</v>
      </c>
      <c r="H694" s="4">
        <v>8.25</v>
      </c>
      <c r="I694" s="3">
        <v>1</v>
      </c>
      <c r="J694" s="3" t="s">
        <v>3</v>
      </c>
      <c r="K694" s="3" t="s">
        <v>4</v>
      </c>
      <c r="L694" s="3">
        <v>103</v>
      </c>
      <c r="M694" s="3">
        <v>81</v>
      </c>
      <c r="N694" s="3" t="s">
        <v>8</v>
      </c>
      <c r="O694" s="3" t="str">
        <f>_xlfn.IFS('Data set'!$H694&lt;5.7,"Normal",'Data set'!$H694&lt;=6.4,"Prediabetes",'Data set'!$H694&lt;=7.5,"Diabetes",'Data set'!$H694&gt;=7.5,"Uncontrolled")</f>
        <v>Uncontrolled</v>
      </c>
      <c r="P694" s="3" t="str">
        <f>_xlfn.IFS('Data set'!$F694&lt;120,"Low",'Data set'!$F694&lt;=200,"Normal",'Data set'!$F694&lt;=240,"Boarderline",'Data set'!$F694&gt;=241,"High")</f>
        <v>Low</v>
      </c>
      <c r="Q694" s="3" t="str">
        <f>_xlfn.IFS('Data set'!$D694&lt;=18.5,"Low",'Data set'!$D694&lt;=24.9,"Normal",'Data set'!$D694&lt;=29.9,"High",'Data set'!$D694&gt;29.9,"Very High")</f>
        <v>Normal</v>
      </c>
    </row>
    <row r="695" spans="1:17" x14ac:dyDescent="0.25">
      <c r="A695" s="5">
        <v>33</v>
      </c>
      <c r="B695" s="5" t="s">
        <v>9</v>
      </c>
      <c r="C695" s="6">
        <v>269.89</v>
      </c>
      <c r="D695" s="6">
        <v>27.45</v>
      </c>
      <c r="E695" s="5" t="s">
        <v>1</v>
      </c>
      <c r="F695" s="5">
        <v>212</v>
      </c>
      <c r="G695" s="5" t="s">
        <v>575</v>
      </c>
      <c r="H695" s="6">
        <v>5.17</v>
      </c>
      <c r="I695" s="5">
        <v>0</v>
      </c>
      <c r="J695" s="5" t="s">
        <v>3</v>
      </c>
      <c r="K695" s="5" t="s">
        <v>3</v>
      </c>
      <c r="L695" s="5">
        <v>111</v>
      </c>
      <c r="M695" s="5">
        <v>75</v>
      </c>
      <c r="N695" s="5" t="s">
        <v>12</v>
      </c>
      <c r="O695" s="5" t="str">
        <f>_xlfn.IFS('Data set'!$H695&lt;5.7,"Normal",'Data set'!$H695&lt;=6.4,"Prediabetes",'Data set'!$H695&lt;=7.5,"Diabetes",'Data set'!$H695&gt;=7.5,"Uncontrolled")</f>
        <v>Normal</v>
      </c>
      <c r="P695" s="5" t="str">
        <f>_xlfn.IFS('Data set'!$F695&lt;120,"Low",'Data set'!$F695&lt;=200,"Normal",'Data set'!$F695&lt;=240,"Boarderline",'Data set'!$F695&gt;=241,"High")</f>
        <v>Boarderline</v>
      </c>
      <c r="Q695" s="5" t="str">
        <f>_xlfn.IFS('Data set'!$D695&lt;=18.5,"Low",'Data set'!$D695&lt;=24.9,"Normal",'Data set'!$D695&lt;=29.9,"High",'Data set'!$D695&gt;29.9,"Very High")</f>
        <v>High</v>
      </c>
    </row>
    <row r="696" spans="1:17" x14ac:dyDescent="0.25">
      <c r="A696" s="3">
        <v>37</v>
      </c>
      <c r="B696" s="3" t="s">
        <v>0</v>
      </c>
      <c r="C696" s="4">
        <v>279.33</v>
      </c>
      <c r="D696" s="4">
        <v>28.75</v>
      </c>
      <c r="E696" s="3" t="s">
        <v>6</v>
      </c>
      <c r="F696" s="3">
        <v>250</v>
      </c>
      <c r="G696" s="3" t="s">
        <v>231</v>
      </c>
      <c r="H696" s="4">
        <v>9.32</v>
      </c>
      <c r="I696" s="3">
        <v>7</v>
      </c>
      <c r="J696" s="3" t="s">
        <v>4</v>
      </c>
      <c r="K696" s="3" t="s">
        <v>4</v>
      </c>
      <c r="L696" s="3">
        <v>103</v>
      </c>
      <c r="M696" s="3">
        <v>84</v>
      </c>
      <c r="N696" s="3" t="s">
        <v>12</v>
      </c>
      <c r="O696" s="3" t="str">
        <f>_xlfn.IFS('Data set'!$H696&lt;5.7,"Normal",'Data set'!$H696&lt;=6.4,"Prediabetes",'Data set'!$H696&lt;=7.5,"Diabetes",'Data set'!$H696&gt;=7.5,"Uncontrolled")</f>
        <v>Uncontrolled</v>
      </c>
      <c r="P696" s="3" t="str">
        <f>_xlfn.IFS('Data set'!$F696&lt;120,"Low",'Data set'!$F696&lt;=200,"Normal",'Data set'!$F696&lt;=240,"Boarderline",'Data set'!$F696&gt;=241,"High")</f>
        <v>High</v>
      </c>
      <c r="Q696" s="3" t="str">
        <f>_xlfn.IFS('Data set'!$D696&lt;=18.5,"Low",'Data set'!$D696&lt;=24.9,"Normal",'Data set'!$D696&lt;=29.9,"High",'Data set'!$D696&gt;29.9,"Very High")</f>
        <v>High</v>
      </c>
    </row>
    <row r="697" spans="1:17" x14ac:dyDescent="0.25">
      <c r="A697" s="5">
        <v>48</v>
      </c>
      <c r="B697" s="5" t="s">
        <v>0</v>
      </c>
      <c r="C697" s="6">
        <v>118.62</v>
      </c>
      <c r="D697" s="6">
        <v>38.700000000000003</v>
      </c>
      <c r="E697" s="5" t="s">
        <v>10</v>
      </c>
      <c r="F697" s="5">
        <v>197</v>
      </c>
      <c r="G697" s="5" t="s">
        <v>576</v>
      </c>
      <c r="H697" s="6">
        <v>7.96</v>
      </c>
      <c r="I697" s="5">
        <v>6</v>
      </c>
      <c r="J697" s="5" t="s">
        <v>3</v>
      </c>
      <c r="K697" s="5" t="s">
        <v>3</v>
      </c>
      <c r="L697" s="5">
        <v>130</v>
      </c>
      <c r="M697" s="5">
        <v>85</v>
      </c>
      <c r="N697" s="5" t="s">
        <v>23</v>
      </c>
      <c r="O697" s="5" t="str">
        <f>_xlfn.IFS('Data set'!$H697&lt;5.7,"Normal",'Data set'!$H697&lt;=6.4,"Prediabetes",'Data set'!$H697&lt;=7.5,"Diabetes",'Data set'!$H697&gt;=7.5,"Uncontrolled")</f>
        <v>Uncontrolled</v>
      </c>
      <c r="P697" s="5" t="str">
        <f>_xlfn.IFS('Data set'!$F697&lt;120,"Low",'Data set'!$F697&lt;=200,"Normal",'Data set'!$F697&lt;=240,"Boarderline",'Data set'!$F697&gt;=241,"High")</f>
        <v>Normal</v>
      </c>
      <c r="Q697" s="5" t="str">
        <f>_xlfn.IFS('Data set'!$D697&lt;=18.5,"Low",'Data set'!$D697&lt;=24.9,"Normal",'Data set'!$D697&lt;=29.9,"High",'Data set'!$D697&gt;29.9,"Very High")</f>
        <v>Very High</v>
      </c>
    </row>
    <row r="698" spans="1:17" x14ac:dyDescent="0.25">
      <c r="A698" s="3">
        <v>80</v>
      </c>
      <c r="B698" s="3" t="s">
        <v>9</v>
      </c>
      <c r="C698" s="4">
        <v>275.39999999999998</v>
      </c>
      <c r="D698" s="4">
        <v>34.799999999999997</v>
      </c>
      <c r="E698" s="3" t="s">
        <v>14</v>
      </c>
      <c r="F698" s="3">
        <v>179</v>
      </c>
      <c r="G698" s="3" t="s">
        <v>536</v>
      </c>
      <c r="H698" s="4">
        <v>9.69</v>
      </c>
      <c r="I698" s="3">
        <v>3</v>
      </c>
      <c r="J698" s="3" t="s">
        <v>4</v>
      </c>
      <c r="K698" s="3" t="s">
        <v>3</v>
      </c>
      <c r="L698" s="3">
        <v>111</v>
      </c>
      <c r="M698" s="3">
        <v>61</v>
      </c>
      <c r="N698" s="3" t="s">
        <v>5</v>
      </c>
      <c r="O698" s="3" t="str">
        <f>_xlfn.IFS('Data set'!$H698&lt;5.7,"Normal",'Data set'!$H698&lt;=6.4,"Prediabetes",'Data set'!$H698&lt;=7.5,"Diabetes",'Data set'!$H698&gt;=7.5,"Uncontrolled")</f>
        <v>Uncontrolled</v>
      </c>
      <c r="P698" s="3" t="str">
        <f>_xlfn.IFS('Data set'!$F698&lt;120,"Low",'Data set'!$F698&lt;=200,"Normal",'Data set'!$F698&lt;=240,"Boarderline",'Data set'!$F698&gt;=241,"High")</f>
        <v>Normal</v>
      </c>
      <c r="Q698" s="3" t="str">
        <f>_xlfn.IFS('Data set'!$D698&lt;=18.5,"Low",'Data set'!$D698&lt;=24.9,"Normal",'Data set'!$D698&lt;=29.9,"High",'Data set'!$D698&gt;29.9,"Very High")</f>
        <v>Very High</v>
      </c>
    </row>
    <row r="699" spans="1:17" x14ac:dyDescent="0.25">
      <c r="A699" s="5">
        <v>56</v>
      </c>
      <c r="B699" s="5" t="s">
        <v>9</v>
      </c>
      <c r="C699" s="6">
        <v>183.72</v>
      </c>
      <c r="D699" s="6">
        <v>19.34</v>
      </c>
      <c r="E699" s="5" t="s">
        <v>6</v>
      </c>
      <c r="F699" s="5">
        <v>182</v>
      </c>
      <c r="G699" s="5" t="s">
        <v>577</v>
      </c>
      <c r="H699" s="6">
        <v>5.13</v>
      </c>
      <c r="I699" s="5">
        <v>1</v>
      </c>
      <c r="J699" s="5" t="s">
        <v>4</v>
      </c>
      <c r="K699" s="5" t="s">
        <v>3</v>
      </c>
      <c r="L699" s="5">
        <v>139</v>
      </c>
      <c r="M699" s="5">
        <v>76</v>
      </c>
      <c r="N699" s="5" t="s">
        <v>8</v>
      </c>
      <c r="O699" s="5" t="str">
        <f>_xlfn.IFS('Data set'!$H699&lt;5.7,"Normal",'Data set'!$H699&lt;=6.4,"Prediabetes",'Data set'!$H699&lt;=7.5,"Diabetes",'Data set'!$H699&gt;=7.5,"Uncontrolled")</f>
        <v>Normal</v>
      </c>
      <c r="P699" s="5" t="str">
        <f>_xlfn.IFS('Data set'!$F699&lt;120,"Low",'Data set'!$F699&lt;=200,"Normal",'Data set'!$F699&lt;=240,"Boarderline",'Data set'!$F699&gt;=241,"High")</f>
        <v>Normal</v>
      </c>
      <c r="Q699" s="5" t="str">
        <f>_xlfn.IFS('Data set'!$D699&lt;=18.5,"Low",'Data set'!$D699&lt;=24.9,"Normal",'Data set'!$D699&lt;=29.9,"High",'Data set'!$D699&gt;29.9,"Very High")</f>
        <v>Normal</v>
      </c>
    </row>
    <row r="700" spans="1:17" x14ac:dyDescent="0.25">
      <c r="A700" s="3">
        <v>76</v>
      </c>
      <c r="B700" s="3" t="s">
        <v>9</v>
      </c>
      <c r="C700" s="4">
        <v>289.61</v>
      </c>
      <c r="D700" s="4">
        <v>18.96</v>
      </c>
      <c r="E700" s="3" t="s">
        <v>1</v>
      </c>
      <c r="F700" s="3">
        <v>264</v>
      </c>
      <c r="G700" s="3" t="s">
        <v>578</v>
      </c>
      <c r="H700" s="4">
        <v>6.91</v>
      </c>
      <c r="I700" s="3">
        <v>2</v>
      </c>
      <c r="J700" s="3" t="s">
        <v>4</v>
      </c>
      <c r="K700" s="3" t="s">
        <v>4</v>
      </c>
      <c r="L700" s="3">
        <v>118</v>
      </c>
      <c r="M700" s="3">
        <v>68</v>
      </c>
      <c r="N700" s="3" t="s">
        <v>5</v>
      </c>
      <c r="O700" s="3" t="str">
        <f>_xlfn.IFS('Data set'!$H700&lt;5.7,"Normal",'Data set'!$H700&lt;=6.4,"Prediabetes",'Data set'!$H700&lt;=7.5,"Diabetes",'Data set'!$H700&gt;=7.5,"Uncontrolled")</f>
        <v>Diabetes</v>
      </c>
      <c r="P700" s="3" t="str">
        <f>_xlfn.IFS('Data set'!$F700&lt;120,"Low",'Data set'!$F700&lt;=200,"Normal",'Data set'!$F700&lt;=240,"Boarderline",'Data set'!$F700&gt;=241,"High")</f>
        <v>High</v>
      </c>
      <c r="Q700" s="3" t="str">
        <f>_xlfn.IFS('Data set'!$D700&lt;=18.5,"Low",'Data set'!$D700&lt;=24.9,"Normal",'Data set'!$D700&lt;=29.9,"High",'Data set'!$D700&gt;29.9,"Very High")</f>
        <v>Normal</v>
      </c>
    </row>
    <row r="701" spans="1:17" x14ac:dyDescent="0.25">
      <c r="A701" s="5">
        <v>18</v>
      </c>
      <c r="B701" s="5" t="s">
        <v>9</v>
      </c>
      <c r="C701" s="6">
        <v>158.72</v>
      </c>
      <c r="D701" s="6">
        <v>20.05</v>
      </c>
      <c r="E701" s="5" t="s">
        <v>6</v>
      </c>
      <c r="F701" s="5">
        <v>127</v>
      </c>
      <c r="G701" s="5" t="s">
        <v>579</v>
      </c>
      <c r="H701" s="6">
        <v>9.69</v>
      </c>
      <c r="I701" s="5">
        <v>7</v>
      </c>
      <c r="J701" s="5" t="s">
        <v>3</v>
      </c>
      <c r="K701" s="5" t="s">
        <v>3</v>
      </c>
      <c r="L701" s="5">
        <v>90</v>
      </c>
      <c r="M701" s="5">
        <v>80</v>
      </c>
      <c r="N701" s="5" t="s">
        <v>17</v>
      </c>
      <c r="O701" s="5" t="str">
        <f>_xlfn.IFS('Data set'!$H701&lt;5.7,"Normal",'Data set'!$H701&lt;=6.4,"Prediabetes",'Data set'!$H701&lt;=7.5,"Diabetes",'Data set'!$H701&gt;=7.5,"Uncontrolled")</f>
        <v>Uncontrolled</v>
      </c>
      <c r="P701" s="5" t="str">
        <f>_xlfn.IFS('Data set'!$F701&lt;120,"Low",'Data set'!$F701&lt;=200,"Normal",'Data set'!$F701&lt;=240,"Boarderline",'Data set'!$F701&gt;=241,"High")</f>
        <v>Normal</v>
      </c>
      <c r="Q701" s="5" t="str">
        <f>_xlfn.IFS('Data set'!$D701&lt;=18.5,"Low",'Data set'!$D701&lt;=24.9,"Normal",'Data set'!$D701&lt;=29.9,"High",'Data set'!$D701&gt;29.9,"Very High")</f>
        <v>Normal</v>
      </c>
    </row>
    <row r="702" spans="1:17" x14ac:dyDescent="0.25">
      <c r="A702" s="3">
        <v>45</v>
      </c>
      <c r="B702" s="3" t="s">
        <v>0</v>
      </c>
      <c r="C702" s="4">
        <v>206.2</v>
      </c>
      <c r="D702" s="4">
        <v>27.7</v>
      </c>
      <c r="E702" s="3" t="s">
        <v>6</v>
      </c>
      <c r="F702" s="3">
        <v>174</v>
      </c>
      <c r="G702" s="3" t="s">
        <v>580</v>
      </c>
      <c r="H702" s="4">
        <v>9.9600000000000009</v>
      </c>
      <c r="I702" s="3">
        <v>5</v>
      </c>
      <c r="J702" s="3" t="s">
        <v>4</v>
      </c>
      <c r="K702" s="3" t="s">
        <v>3</v>
      </c>
      <c r="L702" s="3">
        <v>92</v>
      </c>
      <c r="M702" s="3">
        <v>86</v>
      </c>
      <c r="N702" s="3" t="s">
        <v>23</v>
      </c>
      <c r="O702" s="3" t="str">
        <f>_xlfn.IFS('Data set'!$H702&lt;5.7,"Normal",'Data set'!$H702&lt;=6.4,"Prediabetes",'Data set'!$H702&lt;=7.5,"Diabetes",'Data set'!$H702&gt;=7.5,"Uncontrolled")</f>
        <v>Uncontrolled</v>
      </c>
      <c r="P702" s="3" t="str">
        <f>_xlfn.IFS('Data set'!$F702&lt;120,"Low",'Data set'!$F702&lt;=200,"Normal",'Data set'!$F702&lt;=240,"Boarderline",'Data set'!$F702&gt;=241,"High")</f>
        <v>Normal</v>
      </c>
      <c r="Q702" s="3" t="str">
        <f>_xlfn.IFS('Data set'!$D702&lt;=18.5,"Low",'Data set'!$D702&lt;=24.9,"Normal",'Data set'!$D702&lt;=29.9,"High",'Data set'!$D702&gt;29.9,"Very High")</f>
        <v>High</v>
      </c>
    </row>
    <row r="703" spans="1:17" x14ac:dyDescent="0.25">
      <c r="A703" s="5">
        <v>62</v>
      </c>
      <c r="B703" s="5" t="s">
        <v>9</v>
      </c>
      <c r="C703" s="6">
        <v>236.05</v>
      </c>
      <c r="D703" s="6">
        <v>30.55</v>
      </c>
      <c r="E703" s="5" t="s">
        <v>14</v>
      </c>
      <c r="F703" s="5">
        <v>260</v>
      </c>
      <c r="G703" s="5" t="s">
        <v>581</v>
      </c>
      <c r="H703" s="6">
        <v>9.3000000000000007</v>
      </c>
      <c r="I703" s="5">
        <v>2</v>
      </c>
      <c r="J703" s="5" t="s">
        <v>3</v>
      </c>
      <c r="K703" s="5" t="s">
        <v>3</v>
      </c>
      <c r="L703" s="5">
        <v>102</v>
      </c>
      <c r="M703" s="5">
        <v>76</v>
      </c>
      <c r="N703" s="5" t="s">
        <v>21</v>
      </c>
      <c r="O703" s="5" t="str">
        <f>_xlfn.IFS('Data set'!$H703&lt;5.7,"Normal",'Data set'!$H703&lt;=6.4,"Prediabetes",'Data set'!$H703&lt;=7.5,"Diabetes",'Data set'!$H703&gt;=7.5,"Uncontrolled")</f>
        <v>Uncontrolled</v>
      </c>
      <c r="P703" s="5" t="str">
        <f>_xlfn.IFS('Data set'!$F703&lt;120,"Low",'Data set'!$F703&lt;=200,"Normal",'Data set'!$F703&lt;=240,"Boarderline",'Data set'!$F703&gt;=241,"High")</f>
        <v>High</v>
      </c>
      <c r="Q703" s="5" t="str">
        <f>_xlfn.IFS('Data set'!$D703&lt;=18.5,"Low",'Data set'!$D703&lt;=24.9,"Normal",'Data set'!$D703&lt;=29.9,"High",'Data set'!$D703&gt;29.9,"Very High")</f>
        <v>Very High</v>
      </c>
    </row>
    <row r="704" spans="1:17" x14ac:dyDescent="0.25">
      <c r="A704" s="3">
        <v>62</v>
      </c>
      <c r="B704" s="3" t="s">
        <v>9</v>
      </c>
      <c r="C704" s="4">
        <v>149.29</v>
      </c>
      <c r="D704" s="4">
        <v>19.37</v>
      </c>
      <c r="E704" s="3" t="s">
        <v>10</v>
      </c>
      <c r="F704" s="3">
        <v>103</v>
      </c>
      <c r="G704" s="3" t="s">
        <v>163</v>
      </c>
      <c r="H704" s="4">
        <v>5.93</v>
      </c>
      <c r="I704" s="3">
        <v>0</v>
      </c>
      <c r="J704" s="3" t="s">
        <v>4</v>
      </c>
      <c r="K704" s="3" t="s">
        <v>3</v>
      </c>
      <c r="L704" s="3">
        <v>139</v>
      </c>
      <c r="M704" s="3">
        <v>68</v>
      </c>
      <c r="N704" s="3" t="s">
        <v>21</v>
      </c>
      <c r="O704" s="3" t="str">
        <f>_xlfn.IFS('Data set'!$H704&lt;5.7,"Normal",'Data set'!$H704&lt;=6.4,"Prediabetes",'Data set'!$H704&lt;=7.5,"Diabetes",'Data set'!$H704&gt;=7.5,"Uncontrolled")</f>
        <v>Prediabetes</v>
      </c>
      <c r="P704" s="3" t="str">
        <f>_xlfn.IFS('Data set'!$F704&lt;120,"Low",'Data set'!$F704&lt;=200,"Normal",'Data set'!$F704&lt;=240,"Boarderline",'Data set'!$F704&gt;=241,"High")</f>
        <v>Low</v>
      </c>
      <c r="Q704" s="3" t="str">
        <f>_xlfn.IFS('Data set'!$D704&lt;=18.5,"Low",'Data set'!$D704&lt;=24.9,"Normal",'Data set'!$D704&lt;=29.9,"High",'Data set'!$D704&gt;29.9,"Very High")</f>
        <v>Normal</v>
      </c>
    </row>
    <row r="705" spans="1:17" x14ac:dyDescent="0.25">
      <c r="A705" s="5">
        <v>26</v>
      </c>
      <c r="B705" s="5" t="s">
        <v>0</v>
      </c>
      <c r="C705" s="6">
        <v>90.64</v>
      </c>
      <c r="D705" s="6">
        <v>34.85</v>
      </c>
      <c r="E705" s="5" t="s">
        <v>10</v>
      </c>
      <c r="F705" s="5">
        <v>247</v>
      </c>
      <c r="G705" s="5" t="s">
        <v>582</v>
      </c>
      <c r="H705" s="6">
        <v>6.78</v>
      </c>
      <c r="I705" s="5">
        <v>0</v>
      </c>
      <c r="J705" s="5" t="s">
        <v>4</v>
      </c>
      <c r="K705" s="5" t="s">
        <v>3</v>
      </c>
      <c r="L705" s="5">
        <v>93</v>
      </c>
      <c r="M705" s="5">
        <v>72</v>
      </c>
      <c r="N705" s="5" t="s">
        <v>17</v>
      </c>
      <c r="O705" s="5" t="str">
        <f>_xlfn.IFS('Data set'!$H705&lt;5.7,"Normal",'Data set'!$H705&lt;=6.4,"Prediabetes",'Data set'!$H705&lt;=7.5,"Diabetes",'Data set'!$H705&gt;=7.5,"Uncontrolled")</f>
        <v>Diabetes</v>
      </c>
      <c r="P705" s="5" t="str">
        <f>_xlfn.IFS('Data set'!$F705&lt;120,"Low",'Data set'!$F705&lt;=200,"Normal",'Data set'!$F705&lt;=240,"Boarderline",'Data set'!$F705&gt;=241,"High")</f>
        <v>High</v>
      </c>
      <c r="Q705" s="5" t="str">
        <f>_xlfn.IFS('Data set'!$D705&lt;=18.5,"Low",'Data set'!$D705&lt;=24.9,"Normal",'Data set'!$D705&lt;=29.9,"High",'Data set'!$D705&gt;29.9,"Very High")</f>
        <v>Very High</v>
      </c>
    </row>
    <row r="706" spans="1:17" x14ac:dyDescent="0.25">
      <c r="A706" s="3">
        <v>49</v>
      </c>
      <c r="B706" s="3" t="s">
        <v>0</v>
      </c>
      <c r="C706" s="4">
        <v>114.49</v>
      </c>
      <c r="D706" s="4">
        <v>38.729999999999997</v>
      </c>
      <c r="E706" s="3" t="s">
        <v>10</v>
      </c>
      <c r="F706" s="3">
        <v>151</v>
      </c>
      <c r="G706" s="3" t="s">
        <v>583</v>
      </c>
      <c r="H706" s="4">
        <v>5.5</v>
      </c>
      <c r="I706" s="3">
        <v>1</v>
      </c>
      <c r="J706" s="3" t="s">
        <v>4</v>
      </c>
      <c r="K706" s="3" t="s">
        <v>3</v>
      </c>
      <c r="L706" s="3">
        <v>139</v>
      </c>
      <c r="M706" s="3">
        <v>85</v>
      </c>
      <c r="N706" s="3" t="s">
        <v>23</v>
      </c>
      <c r="O706" s="3" t="str">
        <f>_xlfn.IFS('Data set'!$H706&lt;5.7,"Normal",'Data set'!$H706&lt;=6.4,"Prediabetes",'Data set'!$H706&lt;=7.5,"Diabetes",'Data set'!$H706&gt;=7.5,"Uncontrolled")</f>
        <v>Normal</v>
      </c>
      <c r="P706" s="3" t="str">
        <f>_xlfn.IFS('Data set'!$F706&lt;120,"Low",'Data set'!$F706&lt;=200,"Normal",'Data set'!$F706&lt;=240,"Boarderline",'Data set'!$F706&gt;=241,"High")</f>
        <v>Normal</v>
      </c>
      <c r="Q706" s="3" t="str">
        <f>_xlfn.IFS('Data set'!$D706&lt;=18.5,"Low",'Data set'!$D706&lt;=24.9,"Normal",'Data set'!$D706&lt;=29.9,"High",'Data set'!$D706&gt;29.9,"Very High")</f>
        <v>Very High</v>
      </c>
    </row>
    <row r="707" spans="1:17" x14ac:dyDescent="0.25">
      <c r="A707" s="5">
        <v>69</v>
      </c>
      <c r="B707" s="5" t="s">
        <v>0</v>
      </c>
      <c r="C707" s="6">
        <v>166.92</v>
      </c>
      <c r="D707" s="6">
        <v>35.51</v>
      </c>
      <c r="E707" s="5" t="s">
        <v>10</v>
      </c>
      <c r="F707" s="5">
        <v>181</v>
      </c>
      <c r="G707" s="5" t="s">
        <v>415</v>
      </c>
      <c r="H707" s="6">
        <v>5.3</v>
      </c>
      <c r="I707" s="5">
        <v>2</v>
      </c>
      <c r="J707" s="5" t="s">
        <v>4</v>
      </c>
      <c r="K707" s="5" t="s">
        <v>3</v>
      </c>
      <c r="L707" s="5">
        <v>126</v>
      </c>
      <c r="M707" s="5">
        <v>87</v>
      </c>
      <c r="N707" s="5" t="s">
        <v>21</v>
      </c>
      <c r="O707" s="5" t="str">
        <f>_xlfn.IFS('Data set'!$H707&lt;5.7,"Normal",'Data set'!$H707&lt;=6.4,"Prediabetes",'Data set'!$H707&lt;=7.5,"Diabetes",'Data set'!$H707&gt;=7.5,"Uncontrolled")</f>
        <v>Normal</v>
      </c>
      <c r="P707" s="5" t="str">
        <f>_xlfn.IFS('Data set'!$F707&lt;120,"Low",'Data set'!$F707&lt;=200,"Normal",'Data set'!$F707&lt;=240,"Boarderline",'Data set'!$F707&gt;=241,"High")</f>
        <v>Normal</v>
      </c>
      <c r="Q707" s="5" t="str">
        <f>_xlfn.IFS('Data set'!$D707&lt;=18.5,"Low",'Data set'!$D707&lt;=24.9,"Normal",'Data set'!$D707&lt;=29.9,"High",'Data set'!$D707&gt;29.9,"Very High")</f>
        <v>Very High</v>
      </c>
    </row>
    <row r="708" spans="1:17" x14ac:dyDescent="0.25">
      <c r="A708" s="3">
        <v>35</v>
      </c>
      <c r="B708" s="3" t="s">
        <v>0</v>
      </c>
      <c r="C708" s="4">
        <v>266.58999999999997</v>
      </c>
      <c r="D708" s="4">
        <v>39.020000000000003</v>
      </c>
      <c r="E708" s="3" t="s">
        <v>14</v>
      </c>
      <c r="F708" s="3">
        <v>297</v>
      </c>
      <c r="G708" s="3" t="s">
        <v>584</v>
      </c>
      <c r="H708" s="4">
        <v>7.97</v>
      </c>
      <c r="I708" s="3">
        <v>4</v>
      </c>
      <c r="J708" s="3" t="s">
        <v>3</v>
      </c>
      <c r="K708" s="3" t="s">
        <v>3</v>
      </c>
      <c r="L708" s="3">
        <v>134</v>
      </c>
      <c r="M708" s="3">
        <v>89</v>
      </c>
      <c r="N708" s="3" t="s">
        <v>12</v>
      </c>
      <c r="O708" s="3" t="str">
        <f>_xlfn.IFS('Data set'!$H708&lt;5.7,"Normal",'Data set'!$H708&lt;=6.4,"Prediabetes",'Data set'!$H708&lt;=7.5,"Diabetes",'Data set'!$H708&gt;=7.5,"Uncontrolled")</f>
        <v>Uncontrolled</v>
      </c>
      <c r="P708" s="3" t="str">
        <f>_xlfn.IFS('Data set'!$F708&lt;120,"Low",'Data set'!$F708&lt;=200,"Normal",'Data set'!$F708&lt;=240,"Boarderline",'Data set'!$F708&gt;=241,"High")</f>
        <v>High</v>
      </c>
      <c r="Q708" s="3" t="str">
        <f>_xlfn.IFS('Data set'!$D708&lt;=18.5,"Low",'Data set'!$D708&lt;=24.9,"Normal",'Data set'!$D708&lt;=29.9,"High",'Data set'!$D708&gt;29.9,"Very High")</f>
        <v>Very High</v>
      </c>
    </row>
    <row r="709" spans="1:17" x14ac:dyDescent="0.25">
      <c r="A709" s="5">
        <v>70</v>
      </c>
      <c r="B709" s="5" t="s">
        <v>9</v>
      </c>
      <c r="C709" s="6">
        <v>178.55</v>
      </c>
      <c r="D709" s="6">
        <v>20.62</v>
      </c>
      <c r="E709" s="5" t="s">
        <v>14</v>
      </c>
      <c r="F709" s="5">
        <v>201</v>
      </c>
      <c r="G709" s="5" t="s">
        <v>476</v>
      </c>
      <c r="H709" s="6">
        <v>9.9499999999999993</v>
      </c>
      <c r="I709" s="5">
        <v>2</v>
      </c>
      <c r="J709" s="5" t="s">
        <v>3</v>
      </c>
      <c r="K709" s="5" t="s">
        <v>3</v>
      </c>
      <c r="L709" s="5">
        <v>137</v>
      </c>
      <c r="M709" s="5">
        <v>86</v>
      </c>
      <c r="N709" s="5" t="s">
        <v>21</v>
      </c>
      <c r="O709" s="5" t="str">
        <f>_xlfn.IFS('Data set'!$H709&lt;5.7,"Normal",'Data set'!$H709&lt;=6.4,"Prediabetes",'Data set'!$H709&lt;=7.5,"Diabetes",'Data set'!$H709&gt;=7.5,"Uncontrolled")</f>
        <v>Uncontrolled</v>
      </c>
      <c r="P709" s="5" t="str">
        <f>_xlfn.IFS('Data set'!$F709&lt;120,"Low",'Data set'!$F709&lt;=200,"Normal",'Data set'!$F709&lt;=240,"Boarderline",'Data set'!$F709&gt;=241,"High")</f>
        <v>Boarderline</v>
      </c>
      <c r="Q709" s="5" t="str">
        <f>_xlfn.IFS('Data set'!$D709&lt;=18.5,"Low",'Data set'!$D709&lt;=24.9,"Normal",'Data set'!$D709&lt;=29.9,"High",'Data set'!$D709&gt;29.9,"Very High")</f>
        <v>Normal</v>
      </c>
    </row>
    <row r="710" spans="1:17" x14ac:dyDescent="0.25">
      <c r="A710" s="3">
        <v>18</v>
      </c>
      <c r="B710" s="3" t="s">
        <v>0</v>
      </c>
      <c r="C710" s="4">
        <v>227.75</v>
      </c>
      <c r="D710" s="4">
        <v>35.36</v>
      </c>
      <c r="E710" s="3" t="s">
        <v>1</v>
      </c>
      <c r="F710" s="3">
        <v>119</v>
      </c>
      <c r="G710" s="3" t="s">
        <v>139</v>
      </c>
      <c r="H710" s="4">
        <v>4.26</v>
      </c>
      <c r="I710" s="3">
        <v>1</v>
      </c>
      <c r="J710" s="3" t="s">
        <v>3</v>
      </c>
      <c r="K710" s="3" t="s">
        <v>3</v>
      </c>
      <c r="L710" s="3">
        <v>127</v>
      </c>
      <c r="M710" s="3">
        <v>60</v>
      </c>
      <c r="N710" s="3" t="s">
        <v>17</v>
      </c>
      <c r="O710" s="3" t="str">
        <f>_xlfn.IFS('Data set'!$H710&lt;5.7,"Normal",'Data set'!$H710&lt;=6.4,"Prediabetes",'Data set'!$H710&lt;=7.5,"Diabetes",'Data set'!$H710&gt;=7.5,"Uncontrolled")</f>
        <v>Normal</v>
      </c>
      <c r="P710" s="3" t="str">
        <f>_xlfn.IFS('Data set'!$F710&lt;120,"Low",'Data set'!$F710&lt;=200,"Normal",'Data set'!$F710&lt;=240,"Boarderline",'Data set'!$F710&gt;=241,"High")</f>
        <v>Low</v>
      </c>
      <c r="Q710" s="3" t="str">
        <f>_xlfn.IFS('Data set'!$D710&lt;=18.5,"Low",'Data set'!$D710&lt;=24.9,"Normal",'Data set'!$D710&lt;=29.9,"High",'Data set'!$D710&gt;29.9,"Very High")</f>
        <v>Very High</v>
      </c>
    </row>
    <row r="711" spans="1:17" x14ac:dyDescent="0.25">
      <c r="A711" s="5">
        <v>77</v>
      </c>
      <c r="B711" s="5" t="s">
        <v>0</v>
      </c>
      <c r="C711" s="6">
        <v>206.29</v>
      </c>
      <c r="D711" s="6">
        <v>39.32</v>
      </c>
      <c r="E711" s="5" t="s">
        <v>6</v>
      </c>
      <c r="F711" s="5">
        <v>298</v>
      </c>
      <c r="G711" s="5" t="s">
        <v>585</v>
      </c>
      <c r="H711" s="6">
        <v>4.71</v>
      </c>
      <c r="I711" s="5">
        <v>3</v>
      </c>
      <c r="J711" s="5" t="s">
        <v>3</v>
      </c>
      <c r="K711" s="5" t="s">
        <v>4</v>
      </c>
      <c r="L711" s="5">
        <v>111</v>
      </c>
      <c r="M711" s="5">
        <v>88</v>
      </c>
      <c r="N711" s="5" t="s">
        <v>5</v>
      </c>
      <c r="O711" s="5" t="str">
        <f>_xlfn.IFS('Data set'!$H711&lt;5.7,"Normal",'Data set'!$H711&lt;=6.4,"Prediabetes",'Data set'!$H711&lt;=7.5,"Diabetes",'Data set'!$H711&gt;=7.5,"Uncontrolled")</f>
        <v>Normal</v>
      </c>
      <c r="P711" s="5" t="str">
        <f>_xlfn.IFS('Data set'!$F711&lt;120,"Low",'Data set'!$F711&lt;=200,"Normal",'Data set'!$F711&lt;=240,"Boarderline",'Data set'!$F711&gt;=241,"High")</f>
        <v>High</v>
      </c>
      <c r="Q711" s="5" t="str">
        <f>_xlfn.IFS('Data set'!$D711&lt;=18.5,"Low",'Data set'!$D711&lt;=24.9,"Normal",'Data set'!$D711&lt;=29.9,"High",'Data set'!$D711&gt;29.9,"Very High")</f>
        <v>Very High</v>
      </c>
    </row>
    <row r="712" spans="1:17" x14ac:dyDescent="0.25">
      <c r="A712" s="3">
        <v>50</v>
      </c>
      <c r="B712" s="3" t="s">
        <v>0</v>
      </c>
      <c r="C712" s="4">
        <v>103.67</v>
      </c>
      <c r="D712" s="4">
        <v>32.97</v>
      </c>
      <c r="E712" s="3" t="s">
        <v>10</v>
      </c>
      <c r="F712" s="3">
        <v>261</v>
      </c>
      <c r="G712" s="3" t="s">
        <v>586</v>
      </c>
      <c r="H712" s="4">
        <v>8.93</v>
      </c>
      <c r="I712" s="3">
        <v>5</v>
      </c>
      <c r="J712" s="3" t="s">
        <v>3</v>
      </c>
      <c r="K712" s="3" t="s">
        <v>4</v>
      </c>
      <c r="L712" s="3">
        <v>113</v>
      </c>
      <c r="M712" s="3">
        <v>80</v>
      </c>
      <c r="N712" s="3" t="s">
        <v>23</v>
      </c>
      <c r="O712" s="3" t="str">
        <f>_xlfn.IFS('Data set'!$H712&lt;5.7,"Normal",'Data set'!$H712&lt;=6.4,"Prediabetes",'Data set'!$H712&lt;=7.5,"Diabetes",'Data set'!$H712&gt;=7.5,"Uncontrolled")</f>
        <v>Uncontrolled</v>
      </c>
      <c r="P712" s="3" t="str">
        <f>_xlfn.IFS('Data set'!$F712&lt;120,"Low",'Data set'!$F712&lt;=200,"Normal",'Data set'!$F712&lt;=240,"Boarderline",'Data set'!$F712&gt;=241,"High")</f>
        <v>High</v>
      </c>
      <c r="Q712" s="3" t="str">
        <f>_xlfn.IFS('Data set'!$D712&lt;=18.5,"Low",'Data set'!$D712&lt;=24.9,"Normal",'Data set'!$D712&lt;=29.9,"High",'Data set'!$D712&gt;29.9,"Very High")</f>
        <v>Very High</v>
      </c>
    </row>
    <row r="713" spans="1:17" x14ac:dyDescent="0.25">
      <c r="A713" s="5">
        <v>59</v>
      </c>
      <c r="B713" s="5" t="s">
        <v>9</v>
      </c>
      <c r="C713" s="6">
        <v>170.5</v>
      </c>
      <c r="D713" s="6">
        <v>21.66</v>
      </c>
      <c r="E713" s="5" t="s">
        <v>6</v>
      </c>
      <c r="F713" s="5">
        <v>168</v>
      </c>
      <c r="G713" s="5" t="s">
        <v>439</v>
      </c>
      <c r="H713" s="6">
        <v>8.2899999999999991</v>
      </c>
      <c r="I713" s="5">
        <v>2</v>
      </c>
      <c r="J713" s="5" t="s">
        <v>3</v>
      </c>
      <c r="K713" s="5" t="s">
        <v>4</v>
      </c>
      <c r="L713" s="5">
        <v>99</v>
      </c>
      <c r="M713" s="5">
        <v>88</v>
      </c>
      <c r="N713" s="5" t="s">
        <v>8</v>
      </c>
      <c r="O713" s="5" t="str">
        <f>_xlfn.IFS('Data set'!$H713&lt;5.7,"Normal",'Data set'!$H713&lt;=6.4,"Prediabetes",'Data set'!$H713&lt;=7.5,"Diabetes",'Data set'!$H713&gt;=7.5,"Uncontrolled")</f>
        <v>Uncontrolled</v>
      </c>
      <c r="P713" s="5" t="str">
        <f>_xlfn.IFS('Data set'!$F713&lt;120,"Low",'Data set'!$F713&lt;=200,"Normal",'Data set'!$F713&lt;=240,"Boarderline",'Data set'!$F713&gt;=241,"High")</f>
        <v>Normal</v>
      </c>
      <c r="Q713" s="5" t="str">
        <f>_xlfn.IFS('Data set'!$D713&lt;=18.5,"Low",'Data set'!$D713&lt;=24.9,"Normal",'Data set'!$D713&lt;=29.9,"High",'Data set'!$D713&gt;29.9,"Very High")</f>
        <v>Normal</v>
      </c>
    </row>
    <row r="714" spans="1:17" x14ac:dyDescent="0.25">
      <c r="A714" s="3">
        <v>59</v>
      </c>
      <c r="B714" s="3" t="s">
        <v>0</v>
      </c>
      <c r="C714" s="4">
        <v>89.89</v>
      </c>
      <c r="D714" s="4">
        <v>18.690000000000001</v>
      </c>
      <c r="E714" s="3" t="s">
        <v>10</v>
      </c>
      <c r="F714" s="3">
        <v>140</v>
      </c>
      <c r="G714" s="3" t="s">
        <v>587</v>
      </c>
      <c r="H714" s="4">
        <v>8.7200000000000006</v>
      </c>
      <c r="I714" s="3">
        <v>5</v>
      </c>
      <c r="J714" s="3" t="s">
        <v>3</v>
      </c>
      <c r="K714" s="3" t="s">
        <v>4</v>
      </c>
      <c r="L714" s="3">
        <v>111</v>
      </c>
      <c r="M714" s="3">
        <v>71</v>
      </c>
      <c r="N714" s="3" t="s">
        <v>8</v>
      </c>
      <c r="O714" s="3" t="str">
        <f>_xlfn.IFS('Data set'!$H714&lt;5.7,"Normal",'Data set'!$H714&lt;=6.4,"Prediabetes",'Data set'!$H714&lt;=7.5,"Diabetes",'Data set'!$H714&gt;=7.5,"Uncontrolled")</f>
        <v>Uncontrolled</v>
      </c>
      <c r="P714" s="3" t="str">
        <f>_xlfn.IFS('Data set'!$F714&lt;120,"Low",'Data set'!$F714&lt;=200,"Normal",'Data set'!$F714&lt;=240,"Boarderline",'Data set'!$F714&gt;=241,"High")</f>
        <v>Normal</v>
      </c>
      <c r="Q714" s="3" t="str">
        <f>_xlfn.IFS('Data set'!$D714&lt;=18.5,"Low",'Data set'!$D714&lt;=24.9,"Normal",'Data set'!$D714&lt;=29.9,"High",'Data set'!$D714&gt;29.9,"Very High")</f>
        <v>Normal</v>
      </c>
    </row>
    <row r="715" spans="1:17" x14ac:dyDescent="0.25">
      <c r="A715" s="5">
        <v>32</v>
      </c>
      <c r="B715" s="5" t="s">
        <v>9</v>
      </c>
      <c r="C715" s="6">
        <v>254.56</v>
      </c>
      <c r="D715" s="6">
        <v>23.31</v>
      </c>
      <c r="E715" s="5" t="s">
        <v>6</v>
      </c>
      <c r="F715" s="5">
        <v>270</v>
      </c>
      <c r="G715" s="5" t="s">
        <v>588</v>
      </c>
      <c r="H715" s="6">
        <v>6.97</v>
      </c>
      <c r="I715" s="5">
        <v>7</v>
      </c>
      <c r="J715" s="5" t="s">
        <v>4</v>
      </c>
      <c r="K715" s="5" t="s">
        <v>3</v>
      </c>
      <c r="L715" s="5">
        <v>90</v>
      </c>
      <c r="M715" s="5">
        <v>64</v>
      </c>
      <c r="N715" s="5" t="s">
        <v>12</v>
      </c>
      <c r="O715" s="5" t="str">
        <f>_xlfn.IFS('Data set'!$H715&lt;5.7,"Normal",'Data set'!$H715&lt;=6.4,"Prediabetes",'Data set'!$H715&lt;=7.5,"Diabetes",'Data set'!$H715&gt;=7.5,"Uncontrolled")</f>
        <v>Diabetes</v>
      </c>
      <c r="P715" s="5" t="str">
        <f>_xlfn.IFS('Data set'!$F715&lt;120,"Low",'Data set'!$F715&lt;=200,"Normal",'Data set'!$F715&lt;=240,"Boarderline",'Data set'!$F715&gt;=241,"High")</f>
        <v>High</v>
      </c>
      <c r="Q715" s="5" t="str">
        <f>_xlfn.IFS('Data set'!$D715&lt;=18.5,"Low",'Data set'!$D715&lt;=24.9,"Normal",'Data set'!$D715&lt;=29.9,"High",'Data set'!$D715&gt;29.9,"Very High")</f>
        <v>Normal</v>
      </c>
    </row>
    <row r="716" spans="1:17" x14ac:dyDescent="0.25">
      <c r="A716" s="3">
        <v>24</v>
      </c>
      <c r="B716" s="3" t="s">
        <v>9</v>
      </c>
      <c r="C716" s="4">
        <v>130.6</v>
      </c>
      <c r="D716" s="4">
        <v>34.65</v>
      </c>
      <c r="E716" s="3" t="s">
        <v>14</v>
      </c>
      <c r="F716" s="3">
        <v>276</v>
      </c>
      <c r="G716" s="3" t="s">
        <v>170</v>
      </c>
      <c r="H716" s="4">
        <v>6.92</v>
      </c>
      <c r="I716" s="3">
        <v>1</v>
      </c>
      <c r="J716" s="3" t="s">
        <v>4</v>
      </c>
      <c r="K716" s="3" t="s">
        <v>3</v>
      </c>
      <c r="L716" s="3">
        <v>118</v>
      </c>
      <c r="M716" s="3">
        <v>62</v>
      </c>
      <c r="N716" s="3" t="s">
        <v>17</v>
      </c>
      <c r="O716" s="3" t="str">
        <f>_xlfn.IFS('Data set'!$H716&lt;5.7,"Normal",'Data set'!$H716&lt;=6.4,"Prediabetes",'Data set'!$H716&lt;=7.5,"Diabetes",'Data set'!$H716&gt;=7.5,"Uncontrolled")</f>
        <v>Diabetes</v>
      </c>
      <c r="P716" s="3" t="str">
        <f>_xlfn.IFS('Data set'!$F716&lt;120,"Low",'Data set'!$F716&lt;=200,"Normal",'Data set'!$F716&lt;=240,"Boarderline",'Data set'!$F716&gt;=241,"High")</f>
        <v>High</v>
      </c>
      <c r="Q716" s="3" t="str">
        <f>_xlfn.IFS('Data set'!$D716&lt;=18.5,"Low",'Data set'!$D716&lt;=24.9,"Normal",'Data set'!$D716&lt;=29.9,"High",'Data set'!$D716&gt;29.9,"Very High")</f>
        <v>Very High</v>
      </c>
    </row>
    <row r="717" spans="1:17" x14ac:dyDescent="0.25">
      <c r="A717" s="5">
        <v>19</v>
      </c>
      <c r="B717" s="5" t="s">
        <v>0</v>
      </c>
      <c r="C717" s="6">
        <v>297.02999999999997</v>
      </c>
      <c r="D717" s="6">
        <v>26.95</v>
      </c>
      <c r="E717" s="5" t="s">
        <v>14</v>
      </c>
      <c r="F717" s="5">
        <v>294</v>
      </c>
      <c r="G717" s="5" t="s">
        <v>589</v>
      </c>
      <c r="H717" s="6">
        <v>4.2699999999999996</v>
      </c>
      <c r="I717" s="5">
        <v>5</v>
      </c>
      <c r="J717" s="5" t="s">
        <v>4</v>
      </c>
      <c r="K717" s="5" t="s">
        <v>4</v>
      </c>
      <c r="L717" s="5">
        <v>117</v>
      </c>
      <c r="M717" s="5">
        <v>77</v>
      </c>
      <c r="N717" s="5" t="s">
        <v>17</v>
      </c>
      <c r="O717" s="5" t="str">
        <f>_xlfn.IFS('Data set'!$H717&lt;5.7,"Normal",'Data set'!$H717&lt;=6.4,"Prediabetes",'Data set'!$H717&lt;=7.5,"Diabetes",'Data set'!$H717&gt;=7.5,"Uncontrolled")</f>
        <v>Normal</v>
      </c>
      <c r="P717" s="5" t="str">
        <f>_xlfn.IFS('Data set'!$F717&lt;120,"Low",'Data set'!$F717&lt;=200,"Normal",'Data set'!$F717&lt;=240,"Boarderline",'Data set'!$F717&gt;=241,"High")</f>
        <v>High</v>
      </c>
      <c r="Q717" s="5" t="str">
        <f>_xlfn.IFS('Data set'!$D717&lt;=18.5,"Low",'Data set'!$D717&lt;=24.9,"Normal",'Data set'!$D717&lt;=29.9,"High",'Data set'!$D717&gt;29.9,"Very High")</f>
        <v>High</v>
      </c>
    </row>
    <row r="718" spans="1:17" x14ac:dyDescent="0.25">
      <c r="A718" s="3">
        <v>34</v>
      </c>
      <c r="B718" s="3" t="s">
        <v>9</v>
      </c>
      <c r="C718" s="4">
        <v>134.57</v>
      </c>
      <c r="D718" s="4">
        <v>22.62</v>
      </c>
      <c r="E718" s="3" t="s">
        <v>6</v>
      </c>
      <c r="F718" s="3">
        <v>290</v>
      </c>
      <c r="G718" s="3" t="s">
        <v>590</v>
      </c>
      <c r="H718" s="4">
        <v>4.6399999999999997</v>
      </c>
      <c r="I718" s="3">
        <v>2</v>
      </c>
      <c r="J718" s="3" t="s">
        <v>3</v>
      </c>
      <c r="K718" s="3" t="s">
        <v>4</v>
      </c>
      <c r="L718" s="3">
        <v>118</v>
      </c>
      <c r="M718" s="3">
        <v>71</v>
      </c>
      <c r="N718" s="3" t="s">
        <v>12</v>
      </c>
      <c r="O718" s="3" t="str">
        <f>_xlfn.IFS('Data set'!$H718&lt;5.7,"Normal",'Data set'!$H718&lt;=6.4,"Prediabetes",'Data set'!$H718&lt;=7.5,"Diabetes",'Data set'!$H718&gt;=7.5,"Uncontrolled")</f>
        <v>Normal</v>
      </c>
      <c r="P718" s="3" t="str">
        <f>_xlfn.IFS('Data set'!$F718&lt;120,"Low",'Data set'!$F718&lt;=200,"Normal",'Data set'!$F718&lt;=240,"Boarderline",'Data set'!$F718&gt;=241,"High")</f>
        <v>High</v>
      </c>
      <c r="Q718" s="3" t="str">
        <f>_xlfn.IFS('Data set'!$D718&lt;=18.5,"Low",'Data set'!$D718&lt;=24.9,"Normal",'Data set'!$D718&lt;=29.9,"High",'Data set'!$D718&gt;29.9,"Very High")</f>
        <v>Normal</v>
      </c>
    </row>
    <row r="719" spans="1:17" x14ac:dyDescent="0.25">
      <c r="A719" s="5">
        <v>23</v>
      </c>
      <c r="B719" s="5" t="s">
        <v>0</v>
      </c>
      <c r="C719" s="6">
        <v>297.37</v>
      </c>
      <c r="D719" s="6">
        <v>27.49</v>
      </c>
      <c r="E719" s="5" t="s">
        <v>14</v>
      </c>
      <c r="F719" s="5">
        <v>295</v>
      </c>
      <c r="G719" s="5" t="s">
        <v>591</v>
      </c>
      <c r="H719" s="6">
        <v>5.0599999999999996</v>
      </c>
      <c r="I719" s="5">
        <v>0</v>
      </c>
      <c r="J719" s="5" t="s">
        <v>4</v>
      </c>
      <c r="K719" s="5" t="s">
        <v>4</v>
      </c>
      <c r="L719" s="5">
        <v>118</v>
      </c>
      <c r="M719" s="5">
        <v>89</v>
      </c>
      <c r="N719" s="5" t="s">
        <v>17</v>
      </c>
      <c r="O719" s="5" t="str">
        <f>_xlfn.IFS('Data set'!$H719&lt;5.7,"Normal",'Data set'!$H719&lt;=6.4,"Prediabetes",'Data set'!$H719&lt;=7.5,"Diabetes",'Data set'!$H719&gt;=7.5,"Uncontrolled")</f>
        <v>Normal</v>
      </c>
      <c r="P719" s="5" t="str">
        <f>_xlfn.IFS('Data set'!$F719&lt;120,"Low",'Data set'!$F719&lt;=200,"Normal",'Data set'!$F719&lt;=240,"Boarderline",'Data set'!$F719&gt;=241,"High")</f>
        <v>High</v>
      </c>
      <c r="Q719" s="5" t="str">
        <f>_xlfn.IFS('Data set'!$D719&lt;=18.5,"Low",'Data set'!$D719&lt;=24.9,"Normal",'Data set'!$D719&lt;=29.9,"High",'Data set'!$D719&gt;29.9,"Very High")</f>
        <v>High</v>
      </c>
    </row>
    <row r="720" spans="1:17" x14ac:dyDescent="0.25">
      <c r="A720" s="3">
        <v>61</v>
      </c>
      <c r="B720" s="3" t="s">
        <v>9</v>
      </c>
      <c r="C720" s="4">
        <v>271.02</v>
      </c>
      <c r="D720" s="4">
        <v>24.04</v>
      </c>
      <c r="E720" s="3" t="s">
        <v>1</v>
      </c>
      <c r="F720" s="3">
        <v>232</v>
      </c>
      <c r="G720" s="3" t="s">
        <v>592</v>
      </c>
      <c r="H720" s="4">
        <v>6.82</v>
      </c>
      <c r="I720" s="3">
        <v>2</v>
      </c>
      <c r="J720" s="3" t="s">
        <v>3</v>
      </c>
      <c r="K720" s="3" t="s">
        <v>3</v>
      </c>
      <c r="L720" s="3">
        <v>111</v>
      </c>
      <c r="M720" s="3">
        <v>82</v>
      </c>
      <c r="N720" s="3" t="s">
        <v>21</v>
      </c>
      <c r="O720" s="3" t="str">
        <f>_xlfn.IFS('Data set'!$H720&lt;5.7,"Normal",'Data set'!$H720&lt;=6.4,"Prediabetes",'Data set'!$H720&lt;=7.5,"Diabetes",'Data set'!$H720&gt;=7.5,"Uncontrolled")</f>
        <v>Diabetes</v>
      </c>
      <c r="P720" s="3" t="str">
        <f>_xlfn.IFS('Data set'!$F720&lt;120,"Low",'Data set'!$F720&lt;=200,"Normal",'Data set'!$F720&lt;=240,"Boarderline",'Data set'!$F720&gt;=241,"High")</f>
        <v>Boarderline</v>
      </c>
      <c r="Q720" s="3" t="str">
        <f>_xlfn.IFS('Data set'!$D720&lt;=18.5,"Low",'Data set'!$D720&lt;=24.9,"Normal",'Data set'!$D720&lt;=29.9,"High",'Data set'!$D720&gt;29.9,"Very High")</f>
        <v>Normal</v>
      </c>
    </row>
    <row r="721" spans="1:17" x14ac:dyDescent="0.25">
      <c r="A721" s="5">
        <v>68</v>
      </c>
      <c r="B721" s="5" t="s">
        <v>0</v>
      </c>
      <c r="C721" s="6">
        <v>279.94</v>
      </c>
      <c r="D721" s="6">
        <v>19.21</v>
      </c>
      <c r="E721" s="5" t="s">
        <v>1</v>
      </c>
      <c r="F721" s="5">
        <v>135</v>
      </c>
      <c r="G721" s="5" t="s">
        <v>380</v>
      </c>
      <c r="H721" s="6">
        <v>8.34</v>
      </c>
      <c r="I721" s="5">
        <v>3</v>
      </c>
      <c r="J721" s="5" t="s">
        <v>4</v>
      </c>
      <c r="K721" s="5" t="s">
        <v>4</v>
      </c>
      <c r="L721" s="5">
        <v>139</v>
      </c>
      <c r="M721" s="5">
        <v>70</v>
      </c>
      <c r="N721" s="5" t="s">
        <v>21</v>
      </c>
      <c r="O721" s="5" t="str">
        <f>_xlfn.IFS('Data set'!$H721&lt;5.7,"Normal",'Data set'!$H721&lt;=6.4,"Prediabetes",'Data set'!$H721&lt;=7.5,"Diabetes",'Data set'!$H721&gt;=7.5,"Uncontrolled")</f>
        <v>Uncontrolled</v>
      </c>
      <c r="P721" s="5" t="str">
        <f>_xlfn.IFS('Data set'!$F721&lt;120,"Low",'Data set'!$F721&lt;=200,"Normal",'Data set'!$F721&lt;=240,"Boarderline",'Data set'!$F721&gt;=241,"High")</f>
        <v>Normal</v>
      </c>
      <c r="Q721" s="5" t="str">
        <f>_xlfn.IFS('Data set'!$D721&lt;=18.5,"Low",'Data set'!$D721&lt;=24.9,"Normal",'Data set'!$D721&lt;=29.9,"High",'Data set'!$D721&gt;29.9,"Very High")</f>
        <v>Normal</v>
      </c>
    </row>
    <row r="722" spans="1:17" x14ac:dyDescent="0.25">
      <c r="A722" s="3">
        <v>69</v>
      </c>
      <c r="B722" s="3" t="s">
        <v>0</v>
      </c>
      <c r="C722" s="4">
        <v>118.18</v>
      </c>
      <c r="D722" s="4">
        <v>33.020000000000003</v>
      </c>
      <c r="E722" s="3" t="s">
        <v>14</v>
      </c>
      <c r="F722" s="3">
        <v>295</v>
      </c>
      <c r="G722" s="3" t="s">
        <v>302</v>
      </c>
      <c r="H722" s="4">
        <v>4.9800000000000004</v>
      </c>
      <c r="I722" s="3">
        <v>0</v>
      </c>
      <c r="J722" s="3" t="s">
        <v>4</v>
      </c>
      <c r="K722" s="3" t="s">
        <v>3</v>
      </c>
      <c r="L722" s="3">
        <v>104</v>
      </c>
      <c r="M722" s="3">
        <v>73</v>
      </c>
      <c r="N722" s="3" t="s">
        <v>21</v>
      </c>
      <c r="O722" s="3" t="str">
        <f>_xlfn.IFS('Data set'!$H722&lt;5.7,"Normal",'Data set'!$H722&lt;=6.4,"Prediabetes",'Data set'!$H722&lt;=7.5,"Diabetes",'Data set'!$H722&gt;=7.5,"Uncontrolled")</f>
        <v>Normal</v>
      </c>
      <c r="P722" s="3" t="str">
        <f>_xlfn.IFS('Data set'!$F722&lt;120,"Low",'Data set'!$F722&lt;=200,"Normal",'Data set'!$F722&lt;=240,"Boarderline",'Data set'!$F722&gt;=241,"High")</f>
        <v>High</v>
      </c>
      <c r="Q722" s="3" t="str">
        <f>_xlfn.IFS('Data set'!$D722&lt;=18.5,"Low",'Data set'!$D722&lt;=24.9,"Normal",'Data set'!$D722&lt;=29.9,"High",'Data set'!$D722&gt;29.9,"Very High")</f>
        <v>Very High</v>
      </c>
    </row>
    <row r="723" spans="1:17" x14ac:dyDescent="0.25">
      <c r="A723" s="5">
        <v>66</v>
      </c>
      <c r="B723" s="5" t="s">
        <v>9</v>
      </c>
      <c r="C723" s="6">
        <v>206.8</v>
      </c>
      <c r="D723" s="6">
        <v>33.42</v>
      </c>
      <c r="E723" s="5" t="s">
        <v>6</v>
      </c>
      <c r="F723" s="5">
        <v>280</v>
      </c>
      <c r="G723" s="5" t="s">
        <v>593</v>
      </c>
      <c r="H723" s="6">
        <v>7.06</v>
      </c>
      <c r="I723" s="5">
        <v>6</v>
      </c>
      <c r="J723" s="5" t="s">
        <v>4</v>
      </c>
      <c r="K723" s="5" t="s">
        <v>3</v>
      </c>
      <c r="L723" s="5">
        <v>92</v>
      </c>
      <c r="M723" s="5">
        <v>75</v>
      </c>
      <c r="N723" s="5" t="s">
        <v>21</v>
      </c>
      <c r="O723" s="5" t="str">
        <f>_xlfn.IFS('Data set'!$H723&lt;5.7,"Normal",'Data set'!$H723&lt;=6.4,"Prediabetes",'Data set'!$H723&lt;=7.5,"Diabetes",'Data set'!$H723&gt;=7.5,"Uncontrolled")</f>
        <v>Diabetes</v>
      </c>
      <c r="P723" s="5" t="str">
        <f>_xlfn.IFS('Data set'!$F723&lt;120,"Low",'Data set'!$F723&lt;=200,"Normal",'Data set'!$F723&lt;=240,"Boarderline",'Data set'!$F723&gt;=241,"High")</f>
        <v>High</v>
      </c>
      <c r="Q723" s="5" t="str">
        <f>_xlfn.IFS('Data set'!$D723&lt;=18.5,"Low",'Data set'!$D723&lt;=24.9,"Normal",'Data set'!$D723&lt;=29.9,"High",'Data set'!$D723&gt;29.9,"Very High")</f>
        <v>Very High</v>
      </c>
    </row>
    <row r="724" spans="1:17" x14ac:dyDescent="0.25">
      <c r="A724" s="3">
        <v>51</v>
      </c>
      <c r="B724" s="3" t="s">
        <v>9</v>
      </c>
      <c r="C724" s="4">
        <v>96.35</v>
      </c>
      <c r="D724" s="4">
        <v>30.7</v>
      </c>
      <c r="E724" s="3" t="s">
        <v>1</v>
      </c>
      <c r="F724" s="3">
        <v>231</v>
      </c>
      <c r="G724" s="3" t="s">
        <v>594</v>
      </c>
      <c r="H724" s="4">
        <v>9.7100000000000009</v>
      </c>
      <c r="I724" s="3">
        <v>0</v>
      </c>
      <c r="J724" s="3" t="s">
        <v>4</v>
      </c>
      <c r="K724" s="3" t="s">
        <v>3</v>
      </c>
      <c r="L724" s="3">
        <v>98</v>
      </c>
      <c r="M724" s="3">
        <v>69</v>
      </c>
      <c r="N724" s="3" t="s">
        <v>8</v>
      </c>
      <c r="O724" s="3" t="str">
        <f>_xlfn.IFS('Data set'!$H724&lt;5.7,"Normal",'Data set'!$H724&lt;=6.4,"Prediabetes",'Data set'!$H724&lt;=7.5,"Diabetes",'Data set'!$H724&gt;=7.5,"Uncontrolled")</f>
        <v>Uncontrolled</v>
      </c>
      <c r="P724" s="3" t="str">
        <f>_xlfn.IFS('Data set'!$F724&lt;120,"Low",'Data set'!$F724&lt;=200,"Normal",'Data set'!$F724&lt;=240,"Boarderline",'Data set'!$F724&gt;=241,"High")</f>
        <v>Boarderline</v>
      </c>
      <c r="Q724" s="3" t="str">
        <f>_xlfn.IFS('Data set'!$D724&lt;=18.5,"Low",'Data set'!$D724&lt;=24.9,"Normal",'Data set'!$D724&lt;=29.9,"High",'Data set'!$D724&gt;29.9,"Very High")</f>
        <v>Very High</v>
      </c>
    </row>
    <row r="725" spans="1:17" x14ac:dyDescent="0.25">
      <c r="A725" s="5">
        <v>65</v>
      </c>
      <c r="B725" s="5" t="s">
        <v>9</v>
      </c>
      <c r="C725" s="6">
        <v>115.18</v>
      </c>
      <c r="D725" s="6">
        <v>20.47</v>
      </c>
      <c r="E725" s="5" t="s">
        <v>14</v>
      </c>
      <c r="F725" s="5">
        <v>128</v>
      </c>
      <c r="G725" s="5" t="s">
        <v>595</v>
      </c>
      <c r="H725" s="6">
        <v>8.93</v>
      </c>
      <c r="I725" s="5">
        <v>2</v>
      </c>
      <c r="J725" s="5" t="s">
        <v>4</v>
      </c>
      <c r="K725" s="5" t="s">
        <v>4</v>
      </c>
      <c r="L725" s="5">
        <v>110</v>
      </c>
      <c r="M725" s="5">
        <v>81</v>
      </c>
      <c r="N725" s="5" t="s">
        <v>21</v>
      </c>
      <c r="O725" s="5" t="str">
        <f>_xlfn.IFS('Data set'!$H725&lt;5.7,"Normal",'Data set'!$H725&lt;=6.4,"Prediabetes",'Data set'!$H725&lt;=7.5,"Diabetes",'Data set'!$H725&gt;=7.5,"Uncontrolled")</f>
        <v>Uncontrolled</v>
      </c>
      <c r="P725" s="5" t="str">
        <f>_xlfn.IFS('Data set'!$F725&lt;120,"Low",'Data set'!$F725&lt;=200,"Normal",'Data set'!$F725&lt;=240,"Boarderline",'Data set'!$F725&gt;=241,"High")</f>
        <v>Normal</v>
      </c>
      <c r="Q725" s="5" t="str">
        <f>_xlfn.IFS('Data set'!$D725&lt;=18.5,"Low",'Data set'!$D725&lt;=24.9,"Normal",'Data set'!$D725&lt;=29.9,"High",'Data set'!$D725&gt;29.9,"Very High")</f>
        <v>Normal</v>
      </c>
    </row>
    <row r="726" spans="1:17" x14ac:dyDescent="0.25">
      <c r="A726" s="3">
        <v>51</v>
      </c>
      <c r="B726" s="3" t="s">
        <v>9</v>
      </c>
      <c r="C726" s="4">
        <v>193.47</v>
      </c>
      <c r="D726" s="4">
        <v>19.39</v>
      </c>
      <c r="E726" s="3" t="s">
        <v>14</v>
      </c>
      <c r="F726" s="3">
        <v>249</v>
      </c>
      <c r="G726" s="3" t="s">
        <v>596</v>
      </c>
      <c r="H726" s="4">
        <v>4.84</v>
      </c>
      <c r="I726" s="3">
        <v>7</v>
      </c>
      <c r="J726" s="3" t="s">
        <v>3</v>
      </c>
      <c r="K726" s="3" t="s">
        <v>3</v>
      </c>
      <c r="L726" s="3">
        <v>137</v>
      </c>
      <c r="M726" s="3">
        <v>84</v>
      </c>
      <c r="N726" s="3" t="s">
        <v>8</v>
      </c>
      <c r="O726" s="3" t="str">
        <f>_xlfn.IFS('Data set'!$H726&lt;5.7,"Normal",'Data set'!$H726&lt;=6.4,"Prediabetes",'Data set'!$H726&lt;=7.5,"Diabetes",'Data set'!$H726&gt;=7.5,"Uncontrolled")</f>
        <v>Normal</v>
      </c>
      <c r="P726" s="3" t="str">
        <f>_xlfn.IFS('Data set'!$F726&lt;120,"Low",'Data set'!$F726&lt;=200,"Normal",'Data set'!$F726&lt;=240,"Boarderline",'Data set'!$F726&gt;=241,"High")</f>
        <v>High</v>
      </c>
      <c r="Q726" s="3" t="str">
        <f>_xlfn.IFS('Data set'!$D726&lt;=18.5,"Low",'Data set'!$D726&lt;=24.9,"Normal",'Data set'!$D726&lt;=29.9,"High",'Data set'!$D726&gt;29.9,"Very High")</f>
        <v>Normal</v>
      </c>
    </row>
    <row r="727" spans="1:17" x14ac:dyDescent="0.25">
      <c r="A727" s="5">
        <v>46</v>
      </c>
      <c r="B727" s="5" t="s">
        <v>0</v>
      </c>
      <c r="C727" s="6">
        <v>291.97000000000003</v>
      </c>
      <c r="D727" s="6">
        <v>22.3</v>
      </c>
      <c r="E727" s="5" t="s">
        <v>1</v>
      </c>
      <c r="F727" s="5">
        <v>196</v>
      </c>
      <c r="G727" s="5" t="s">
        <v>485</v>
      </c>
      <c r="H727" s="6">
        <v>7.6</v>
      </c>
      <c r="I727" s="5">
        <v>2</v>
      </c>
      <c r="J727" s="5" t="s">
        <v>4</v>
      </c>
      <c r="K727" s="5" t="s">
        <v>4</v>
      </c>
      <c r="L727" s="5">
        <v>124</v>
      </c>
      <c r="M727" s="5">
        <v>82</v>
      </c>
      <c r="N727" s="5" t="s">
        <v>23</v>
      </c>
      <c r="O727" s="5" t="str">
        <f>_xlfn.IFS('Data set'!$H727&lt;5.7,"Normal",'Data set'!$H727&lt;=6.4,"Prediabetes",'Data set'!$H727&lt;=7.5,"Diabetes",'Data set'!$H727&gt;=7.5,"Uncontrolled")</f>
        <v>Uncontrolled</v>
      </c>
      <c r="P727" s="5" t="str">
        <f>_xlfn.IFS('Data set'!$F727&lt;120,"Low",'Data set'!$F727&lt;=200,"Normal",'Data set'!$F727&lt;=240,"Boarderline",'Data set'!$F727&gt;=241,"High")</f>
        <v>Normal</v>
      </c>
      <c r="Q727" s="5" t="str">
        <f>_xlfn.IFS('Data set'!$D727&lt;=18.5,"Low",'Data set'!$D727&lt;=24.9,"Normal",'Data set'!$D727&lt;=29.9,"High",'Data set'!$D727&gt;29.9,"Very High")</f>
        <v>Normal</v>
      </c>
    </row>
    <row r="728" spans="1:17" x14ac:dyDescent="0.25">
      <c r="A728" s="3">
        <v>79</v>
      </c>
      <c r="B728" s="3" t="s">
        <v>9</v>
      </c>
      <c r="C728" s="4">
        <v>167.89</v>
      </c>
      <c r="D728" s="4">
        <v>34.450000000000003</v>
      </c>
      <c r="E728" s="3" t="s">
        <v>1</v>
      </c>
      <c r="F728" s="3">
        <v>221</v>
      </c>
      <c r="G728" s="3" t="s">
        <v>597</v>
      </c>
      <c r="H728" s="4">
        <v>6.31</v>
      </c>
      <c r="I728" s="3">
        <v>1</v>
      </c>
      <c r="J728" s="3" t="s">
        <v>4</v>
      </c>
      <c r="K728" s="3" t="s">
        <v>3</v>
      </c>
      <c r="L728" s="3">
        <v>117</v>
      </c>
      <c r="M728" s="3">
        <v>76</v>
      </c>
      <c r="N728" s="3" t="s">
        <v>5</v>
      </c>
      <c r="O728" s="3" t="str">
        <f>_xlfn.IFS('Data set'!$H728&lt;5.7,"Normal",'Data set'!$H728&lt;=6.4,"Prediabetes",'Data set'!$H728&lt;=7.5,"Diabetes",'Data set'!$H728&gt;=7.5,"Uncontrolled")</f>
        <v>Prediabetes</v>
      </c>
      <c r="P728" s="3" t="str">
        <f>_xlfn.IFS('Data set'!$F728&lt;120,"Low",'Data set'!$F728&lt;=200,"Normal",'Data set'!$F728&lt;=240,"Boarderline",'Data set'!$F728&gt;=241,"High")</f>
        <v>Boarderline</v>
      </c>
      <c r="Q728" s="3" t="str">
        <f>_xlfn.IFS('Data set'!$D728&lt;=18.5,"Low",'Data set'!$D728&lt;=24.9,"Normal",'Data set'!$D728&lt;=29.9,"High",'Data set'!$D728&gt;29.9,"Very High")</f>
        <v>Very High</v>
      </c>
    </row>
    <row r="729" spans="1:17" x14ac:dyDescent="0.25">
      <c r="A729" s="5">
        <v>40</v>
      </c>
      <c r="B729" s="5" t="s">
        <v>9</v>
      </c>
      <c r="C729" s="6">
        <v>75.77</v>
      </c>
      <c r="D729" s="6">
        <v>18.98</v>
      </c>
      <c r="E729" s="5" t="s">
        <v>1</v>
      </c>
      <c r="F729" s="5">
        <v>118</v>
      </c>
      <c r="G729" s="5" t="s">
        <v>598</v>
      </c>
      <c r="H729" s="6">
        <v>8.25</v>
      </c>
      <c r="I729" s="5">
        <v>0</v>
      </c>
      <c r="J729" s="5" t="s">
        <v>3</v>
      </c>
      <c r="K729" s="5" t="s">
        <v>3</v>
      </c>
      <c r="L729" s="5">
        <v>110</v>
      </c>
      <c r="M729" s="5">
        <v>79</v>
      </c>
      <c r="N729" s="5" t="s">
        <v>12</v>
      </c>
      <c r="O729" s="5" t="str">
        <f>_xlfn.IFS('Data set'!$H729&lt;5.7,"Normal",'Data set'!$H729&lt;=6.4,"Prediabetes",'Data set'!$H729&lt;=7.5,"Diabetes",'Data set'!$H729&gt;=7.5,"Uncontrolled")</f>
        <v>Uncontrolled</v>
      </c>
      <c r="P729" s="5" t="str">
        <f>_xlfn.IFS('Data set'!$F729&lt;120,"Low",'Data set'!$F729&lt;=200,"Normal",'Data set'!$F729&lt;=240,"Boarderline",'Data set'!$F729&gt;=241,"High")</f>
        <v>Low</v>
      </c>
      <c r="Q729" s="5" t="str">
        <f>_xlfn.IFS('Data set'!$D729&lt;=18.5,"Low",'Data set'!$D729&lt;=24.9,"Normal",'Data set'!$D729&lt;=29.9,"High",'Data set'!$D729&gt;29.9,"Very High")</f>
        <v>Normal</v>
      </c>
    </row>
    <row r="730" spans="1:17" x14ac:dyDescent="0.25">
      <c r="A730" s="3">
        <v>45</v>
      </c>
      <c r="B730" s="3" t="s">
        <v>0</v>
      </c>
      <c r="C730" s="4">
        <v>114.94</v>
      </c>
      <c r="D730" s="4">
        <v>31.93</v>
      </c>
      <c r="E730" s="3" t="s">
        <v>10</v>
      </c>
      <c r="F730" s="3">
        <v>106</v>
      </c>
      <c r="G730" s="3" t="s">
        <v>528</v>
      </c>
      <c r="H730" s="4">
        <v>9.24</v>
      </c>
      <c r="I730" s="3">
        <v>5</v>
      </c>
      <c r="J730" s="3" t="s">
        <v>4</v>
      </c>
      <c r="K730" s="3" t="s">
        <v>3</v>
      </c>
      <c r="L730" s="3">
        <v>138</v>
      </c>
      <c r="M730" s="3">
        <v>64</v>
      </c>
      <c r="N730" s="3" t="s">
        <v>23</v>
      </c>
      <c r="O730" s="3" t="str">
        <f>_xlfn.IFS('Data set'!$H730&lt;5.7,"Normal",'Data set'!$H730&lt;=6.4,"Prediabetes",'Data set'!$H730&lt;=7.5,"Diabetes",'Data set'!$H730&gt;=7.5,"Uncontrolled")</f>
        <v>Uncontrolled</v>
      </c>
      <c r="P730" s="3" t="str">
        <f>_xlfn.IFS('Data set'!$F730&lt;120,"Low",'Data set'!$F730&lt;=200,"Normal",'Data set'!$F730&lt;=240,"Boarderline",'Data set'!$F730&gt;=241,"High")</f>
        <v>Low</v>
      </c>
      <c r="Q730" s="3" t="str">
        <f>_xlfn.IFS('Data set'!$D730&lt;=18.5,"Low",'Data set'!$D730&lt;=24.9,"Normal",'Data set'!$D730&lt;=29.9,"High",'Data set'!$D730&gt;29.9,"Very High")</f>
        <v>Very High</v>
      </c>
    </row>
    <row r="731" spans="1:17" x14ac:dyDescent="0.25">
      <c r="A731" s="5">
        <v>27</v>
      </c>
      <c r="B731" s="5" t="s">
        <v>0</v>
      </c>
      <c r="C731" s="6">
        <v>250.05</v>
      </c>
      <c r="D731" s="6">
        <v>35.29</v>
      </c>
      <c r="E731" s="5" t="s">
        <v>6</v>
      </c>
      <c r="F731" s="5">
        <v>185</v>
      </c>
      <c r="G731" s="5" t="s">
        <v>599</v>
      </c>
      <c r="H731" s="6">
        <v>8.84</v>
      </c>
      <c r="I731" s="5">
        <v>6</v>
      </c>
      <c r="J731" s="5" t="s">
        <v>3</v>
      </c>
      <c r="K731" s="5" t="s">
        <v>3</v>
      </c>
      <c r="L731" s="5">
        <v>122</v>
      </c>
      <c r="M731" s="5">
        <v>65</v>
      </c>
      <c r="N731" s="5" t="s">
        <v>17</v>
      </c>
      <c r="O731" s="5" t="str">
        <f>_xlfn.IFS('Data set'!$H731&lt;5.7,"Normal",'Data set'!$H731&lt;=6.4,"Prediabetes",'Data set'!$H731&lt;=7.5,"Diabetes",'Data set'!$H731&gt;=7.5,"Uncontrolled")</f>
        <v>Uncontrolled</v>
      </c>
      <c r="P731" s="5" t="str">
        <f>_xlfn.IFS('Data set'!$F731&lt;120,"Low",'Data set'!$F731&lt;=200,"Normal",'Data set'!$F731&lt;=240,"Boarderline",'Data set'!$F731&gt;=241,"High")</f>
        <v>Normal</v>
      </c>
      <c r="Q731" s="5" t="str">
        <f>_xlfn.IFS('Data set'!$D731&lt;=18.5,"Low",'Data set'!$D731&lt;=24.9,"Normal",'Data set'!$D731&lt;=29.9,"High",'Data set'!$D731&gt;29.9,"Very High")</f>
        <v>Very High</v>
      </c>
    </row>
    <row r="732" spans="1:17" x14ac:dyDescent="0.25">
      <c r="A732" s="3">
        <v>30</v>
      </c>
      <c r="B732" s="3" t="s">
        <v>0</v>
      </c>
      <c r="C732" s="4">
        <v>290.75</v>
      </c>
      <c r="D732" s="4">
        <v>18.7</v>
      </c>
      <c r="E732" s="3" t="s">
        <v>10</v>
      </c>
      <c r="F732" s="3">
        <v>168</v>
      </c>
      <c r="G732" s="3" t="s">
        <v>599</v>
      </c>
      <c r="H732" s="4">
        <v>7.32</v>
      </c>
      <c r="I732" s="3">
        <v>1</v>
      </c>
      <c r="J732" s="3" t="s">
        <v>3</v>
      </c>
      <c r="K732" s="3" t="s">
        <v>3</v>
      </c>
      <c r="L732" s="3">
        <v>122</v>
      </c>
      <c r="M732" s="3">
        <v>65</v>
      </c>
      <c r="N732" s="3" t="s">
        <v>17</v>
      </c>
      <c r="O732" s="3" t="str">
        <f>_xlfn.IFS('Data set'!$H732&lt;5.7,"Normal",'Data set'!$H732&lt;=6.4,"Prediabetes",'Data set'!$H732&lt;=7.5,"Diabetes",'Data set'!$H732&gt;=7.5,"Uncontrolled")</f>
        <v>Diabetes</v>
      </c>
      <c r="P732" s="3" t="str">
        <f>_xlfn.IFS('Data set'!$F732&lt;120,"Low",'Data set'!$F732&lt;=200,"Normal",'Data set'!$F732&lt;=240,"Boarderline",'Data set'!$F732&gt;=241,"High")</f>
        <v>Normal</v>
      </c>
      <c r="Q732" s="3" t="str">
        <f>_xlfn.IFS('Data set'!$D732&lt;=18.5,"Low",'Data set'!$D732&lt;=24.9,"Normal",'Data set'!$D732&lt;=29.9,"High",'Data set'!$D732&gt;29.9,"Very High")</f>
        <v>Normal</v>
      </c>
    </row>
    <row r="733" spans="1:17" x14ac:dyDescent="0.25">
      <c r="A733" s="5">
        <v>41</v>
      </c>
      <c r="B733" s="5" t="s">
        <v>0</v>
      </c>
      <c r="C733" s="6">
        <v>222.49</v>
      </c>
      <c r="D733" s="6">
        <v>21.96</v>
      </c>
      <c r="E733" s="5" t="s">
        <v>6</v>
      </c>
      <c r="F733" s="5">
        <v>272</v>
      </c>
      <c r="G733" s="5" t="s">
        <v>340</v>
      </c>
      <c r="H733" s="6">
        <v>9.85</v>
      </c>
      <c r="I733" s="5">
        <v>1</v>
      </c>
      <c r="J733" s="5" t="s">
        <v>3</v>
      </c>
      <c r="K733" s="5" t="s">
        <v>3</v>
      </c>
      <c r="L733" s="5">
        <v>95</v>
      </c>
      <c r="M733" s="5">
        <v>78</v>
      </c>
      <c r="N733" s="5" t="s">
        <v>23</v>
      </c>
      <c r="O733" s="5" t="str">
        <f>_xlfn.IFS('Data set'!$H733&lt;5.7,"Normal",'Data set'!$H733&lt;=6.4,"Prediabetes",'Data set'!$H733&lt;=7.5,"Diabetes",'Data set'!$H733&gt;=7.5,"Uncontrolled")</f>
        <v>Uncontrolled</v>
      </c>
      <c r="P733" s="5" t="str">
        <f>_xlfn.IFS('Data set'!$F733&lt;120,"Low",'Data set'!$F733&lt;=200,"Normal",'Data set'!$F733&lt;=240,"Boarderline",'Data set'!$F733&gt;=241,"High")</f>
        <v>High</v>
      </c>
      <c r="Q733" s="5" t="str">
        <f>_xlfn.IFS('Data set'!$D733&lt;=18.5,"Low",'Data set'!$D733&lt;=24.9,"Normal",'Data set'!$D733&lt;=29.9,"High",'Data set'!$D733&gt;29.9,"Very High")</f>
        <v>Normal</v>
      </c>
    </row>
    <row r="734" spans="1:17" x14ac:dyDescent="0.25">
      <c r="A734" s="3">
        <v>21</v>
      </c>
      <c r="B734" s="3" t="s">
        <v>9</v>
      </c>
      <c r="C734" s="4">
        <v>137.34</v>
      </c>
      <c r="D734" s="4">
        <v>31.78</v>
      </c>
      <c r="E734" s="3" t="s">
        <v>10</v>
      </c>
      <c r="F734" s="3">
        <v>165</v>
      </c>
      <c r="G734" s="3" t="s">
        <v>364</v>
      </c>
      <c r="H734" s="4">
        <v>4.1100000000000003</v>
      </c>
      <c r="I734" s="3">
        <v>6</v>
      </c>
      <c r="J734" s="3" t="s">
        <v>4</v>
      </c>
      <c r="K734" s="3" t="s">
        <v>4</v>
      </c>
      <c r="L734" s="3">
        <v>120</v>
      </c>
      <c r="M734" s="3">
        <v>75</v>
      </c>
      <c r="N734" s="3" t="s">
        <v>17</v>
      </c>
      <c r="O734" s="3" t="str">
        <f>_xlfn.IFS('Data set'!$H734&lt;5.7,"Normal",'Data set'!$H734&lt;=6.4,"Prediabetes",'Data set'!$H734&lt;=7.5,"Diabetes",'Data set'!$H734&gt;=7.5,"Uncontrolled")</f>
        <v>Normal</v>
      </c>
      <c r="P734" s="3" t="str">
        <f>_xlfn.IFS('Data set'!$F734&lt;120,"Low",'Data set'!$F734&lt;=200,"Normal",'Data set'!$F734&lt;=240,"Boarderline",'Data set'!$F734&gt;=241,"High")</f>
        <v>Normal</v>
      </c>
      <c r="Q734" s="3" t="str">
        <f>_xlfn.IFS('Data set'!$D734&lt;=18.5,"Low",'Data set'!$D734&lt;=24.9,"Normal",'Data set'!$D734&lt;=29.9,"High",'Data set'!$D734&gt;29.9,"Very High")</f>
        <v>Very High</v>
      </c>
    </row>
    <row r="735" spans="1:17" x14ac:dyDescent="0.25">
      <c r="A735" s="5">
        <v>39</v>
      </c>
      <c r="B735" s="5" t="s">
        <v>0</v>
      </c>
      <c r="C735" s="6">
        <v>139.46</v>
      </c>
      <c r="D735" s="6">
        <v>32.21</v>
      </c>
      <c r="E735" s="5" t="s">
        <v>10</v>
      </c>
      <c r="F735" s="5">
        <v>239</v>
      </c>
      <c r="G735" s="5" t="s">
        <v>600</v>
      </c>
      <c r="H735" s="6">
        <v>4.6900000000000004</v>
      </c>
      <c r="I735" s="5">
        <v>0</v>
      </c>
      <c r="J735" s="5" t="s">
        <v>4</v>
      </c>
      <c r="K735" s="5" t="s">
        <v>3</v>
      </c>
      <c r="L735" s="5">
        <v>103</v>
      </c>
      <c r="M735" s="5">
        <v>72</v>
      </c>
      <c r="N735" s="5" t="s">
        <v>12</v>
      </c>
      <c r="O735" s="5" t="str">
        <f>_xlfn.IFS('Data set'!$H735&lt;5.7,"Normal",'Data set'!$H735&lt;=6.4,"Prediabetes",'Data set'!$H735&lt;=7.5,"Diabetes",'Data set'!$H735&gt;=7.5,"Uncontrolled")</f>
        <v>Normal</v>
      </c>
      <c r="P735" s="5" t="str">
        <f>_xlfn.IFS('Data set'!$F735&lt;120,"Low",'Data set'!$F735&lt;=200,"Normal",'Data set'!$F735&lt;=240,"Boarderline",'Data set'!$F735&gt;=241,"High")</f>
        <v>Boarderline</v>
      </c>
      <c r="Q735" s="5" t="str">
        <f>_xlfn.IFS('Data set'!$D735&lt;=18.5,"Low",'Data set'!$D735&lt;=24.9,"Normal",'Data set'!$D735&lt;=29.9,"High",'Data set'!$D735&gt;29.9,"Very High")</f>
        <v>Very High</v>
      </c>
    </row>
    <row r="736" spans="1:17" x14ac:dyDescent="0.25">
      <c r="A736" s="3">
        <v>20</v>
      </c>
      <c r="B736" s="3" t="s">
        <v>9</v>
      </c>
      <c r="C736" s="4">
        <v>95.21</v>
      </c>
      <c r="D736" s="4">
        <v>30.93</v>
      </c>
      <c r="E736" s="3" t="s">
        <v>6</v>
      </c>
      <c r="F736" s="3">
        <v>104</v>
      </c>
      <c r="G736" s="3" t="s">
        <v>601</v>
      </c>
      <c r="H736" s="4">
        <v>4.0999999999999996</v>
      </c>
      <c r="I736" s="3">
        <v>0</v>
      </c>
      <c r="J736" s="3" t="s">
        <v>4</v>
      </c>
      <c r="K736" s="3" t="s">
        <v>4</v>
      </c>
      <c r="L736" s="3">
        <v>130</v>
      </c>
      <c r="M736" s="3">
        <v>74</v>
      </c>
      <c r="N736" s="3" t="s">
        <v>17</v>
      </c>
      <c r="O736" s="3" t="str">
        <f>_xlfn.IFS('Data set'!$H736&lt;5.7,"Normal",'Data set'!$H736&lt;=6.4,"Prediabetes",'Data set'!$H736&lt;=7.5,"Diabetes",'Data set'!$H736&gt;=7.5,"Uncontrolled")</f>
        <v>Normal</v>
      </c>
      <c r="P736" s="3" t="str">
        <f>_xlfn.IFS('Data set'!$F736&lt;120,"Low",'Data set'!$F736&lt;=200,"Normal",'Data set'!$F736&lt;=240,"Boarderline",'Data set'!$F736&gt;=241,"High")</f>
        <v>Low</v>
      </c>
      <c r="Q736" s="3" t="str">
        <f>_xlfn.IFS('Data set'!$D736&lt;=18.5,"Low",'Data set'!$D736&lt;=24.9,"Normal",'Data set'!$D736&lt;=29.9,"High",'Data set'!$D736&gt;29.9,"Very High")</f>
        <v>Very High</v>
      </c>
    </row>
    <row r="737" spans="1:17" x14ac:dyDescent="0.25">
      <c r="A737" s="5">
        <v>25</v>
      </c>
      <c r="B737" s="5" t="s">
        <v>9</v>
      </c>
      <c r="C737" s="6">
        <v>290.54000000000002</v>
      </c>
      <c r="D737" s="6">
        <v>20.2</v>
      </c>
      <c r="E737" s="5" t="s">
        <v>1</v>
      </c>
      <c r="F737" s="5">
        <v>188</v>
      </c>
      <c r="G737" s="5" t="s">
        <v>602</v>
      </c>
      <c r="H737" s="6">
        <v>6.5</v>
      </c>
      <c r="I737" s="5">
        <v>6</v>
      </c>
      <c r="J737" s="5" t="s">
        <v>4</v>
      </c>
      <c r="K737" s="5" t="s">
        <v>3</v>
      </c>
      <c r="L737" s="5">
        <v>113</v>
      </c>
      <c r="M737" s="5">
        <v>60</v>
      </c>
      <c r="N737" s="5" t="s">
        <v>17</v>
      </c>
      <c r="O737" s="5" t="str">
        <f>_xlfn.IFS('Data set'!$H737&lt;5.7,"Normal",'Data set'!$H737&lt;=6.4,"Prediabetes",'Data set'!$H737&lt;=7.5,"Diabetes",'Data set'!$H737&gt;=7.5,"Uncontrolled")</f>
        <v>Diabetes</v>
      </c>
      <c r="P737" s="5" t="str">
        <f>_xlfn.IFS('Data set'!$F737&lt;120,"Low",'Data set'!$F737&lt;=200,"Normal",'Data set'!$F737&lt;=240,"Boarderline",'Data set'!$F737&gt;=241,"High")</f>
        <v>Normal</v>
      </c>
      <c r="Q737" s="5" t="str">
        <f>_xlfn.IFS('Data set'!$D737&lt;=18.5,"Low",'Data set'!$D737&lt;=24.9,"Normal",'Data set'!$D737&lt;=29.9,"High",'Data set'!$D737&gt;29.9,"Very High")</f>
        <v>Normal</v>
      </c>
    </row>
    <row r="738" spans="1:17" x14ac:dyDescent="0.25">
      <c r="A738" s="3">
        <v>79</v>
      </c>
      <c r="B738" s="3" t="s">
        <v>9</v>
      </c>
      <c r="C738" s="4">
        <v>275.76</v>
      </c>
      <c r="D738" s="4">
        <v>25.63</v>
      </c>
      <c r="E738" s="3" t="s">
        <v>6</v>
      </c>
      <c r="F738" s="3">
        <v>239</v>
      </c>
      <c r="G738" s="3" t="s">
        <v>603</v>
      </c>
      <c r="H738" s="4">
        <v>7.17</v>
      </c>
      <c r="I738" s="3">
        <v>6</v>
      </c>
      <c r="J738" s="3" t="s">
        <v>4</v>
      </c>
      <c r="K738" s="3" t="s">
        <v>3</v>
      </c>
      <c r="L738" s="3">
        <v>102</v>
      </c>
      <c r="M738" s="3">
        <v>80</v>
      </c>
      <c r="N738" s="3" t="s">
        <v>5</v>
      </c>
      <c r="O738" s="3" t="str">
        <f>_xlfn.IFS('Data set'!$H738&lt;5.7,"Normal",'Data set'!$H738&lt;=6.4,"Prediabetes",'Data set'!$H738&lt;=7.5,"Diabetes",'Data set'!$H738&gt;=7.5,"Uncontrolled")</f>
        <v>Diabetes</v>
      </c>
      <c r="P738" s="3" t="str">
        <f>_xlfn.IFS('Data set'!$F738&lt;120,"Low",'Data set'!$F738&lt;=200,"Normal",'Data set'!$F738&lt;=240,"Boarderline",'Data set'!$F738&gt;=241,"High")</f>
        <v>Boarderline</v>
      </c>
      <c r="Q738" s="3" t="str">
        <f>_xlfn.IFS('Data set'!$D738&lt;=18.5,"Low",'Data set'!$D738&lt;=24.9,"Normal",'Data set'!$D738&lt;=29.9,"High",'Data set'!$D738&gt;29.9,"Very High")</f>
        <v>High</v>
      </c>
    </row>
    <row r="739" spans="1:17" x14ac:dyDescent="0.25">
      <c r="A739" s="5">
        <v>37</v>
      </c>
      <c r="B739" s="5" t="s">
        <v>9</v>
      </c>
      <c r="C739" s="6">
        <v>168.54</v>
      </c>
      <c r="D739" s="6">
        <v>38.35</v>
      </c>
      <c r="E739" s="5" t="s">
        <v>6</v>
      </c>
      <c r="F739" s="5">
        <v>231</v>
      </c>
      <c r="G739" s="5" t="s">
        <v>433</v>
      </c>
      <c r="H739" s="6">
        <v>6.57</v>
      </c>
      <c r="I739" s="5">
        <v>7</v>
      </c>
      <c r="J739" s="5" t="s">
        <v>4</v>
      </c>
      <c r="K739" s="5" t="s">
        <v>3</v>
      </c>
      <c r="L739" s="5">
        <v>139</v>
      </c>
      <c r="M739" s="5">
        <v>60</v>
      </c>
      <c r="N739" s="5" t="s">
        <v>12</v>
      </c>
      <c r="O739" s="5" t="str">
        <f>_xlfn.IFS('Data set'!$H739&lt;5.7,"Normal",'Data set'!$H739&lt;=6.4,"Prediabetes",'Data set'!$H739&lt;=7.5,"Diabetes",'Data set'!$H739&gt;=7.5,"Uncontrolled")</f>
        <v>Diabetes</v>
      </c>
      <c r="P739" s="5" t="str">
        <f>_xlfn.IFS('Data set'!$F739&lt;120,"Low",'Data set'!$F739&lt;=200,"Normal",'Data set'!$F739&lt;=240,"Boarderline",'Data set'!$F739&gt;=241,"High")</f>
        <v>Boarderline</v>
      </c>
      <c r="Q739" s="5" t="str">
        <f>_xlfn.IFS('Data set'!$D739&lt;=18.5,"Low",'Data set'!$D739&lt;=24.9,"Normal",'Data set'!$D739&lt;=29.9,"High",'Data set'!$D739&gt;29.9,"Very High")</f>
        <v>Very High</v>
      </c>
    </row>
    <row r="740" spans="1:17" x14ac:dyDescent="0.25">
      <c r="A740" s="3">
        <v>45</v>
      </c>
      <c r="B740" s="3" t="s">
        <v>9</v>
      </c>
      <c r="C740" s="4">
        <v>190.61</v>
      </c>
      <c r="D740" s="4">
        <v>35.700000000000003</v>
      </c>
      <c r="E740" s="3" t="s">
        <v>10</v>
      </c>
      <c r="F740" s="3">
        <v>296</v>
      </c>
      <c r="G740" s="3" t="s">
        <v>604</v>
      </c>
      <c r="H740" s="4">
        <v>7.98</v>
      </c>
      <c r="I740" s="3">
        <v>2</v>
      </c>
      <c r="J740" s="3" t="s">
        <v>3</v>
      </c>
      <c r="K740" s="3" t="s">
        <v>3</v>
      </c>
      <c r="L740" s="3">
        <v>135</v>
      </c>
      <c r="M740" s="3">
        <v>73</v>
      </c>
      <c r="N740" s="3" t="s">
        <v>23</v>
      </c>
      <c r="O740" s="3" t="str">
        <f>_xlfn.IFS('Data set'!$H740&lt;5.7,"Normal",'Data set'!$H740&lt;=6.4,"Prediabetes",'Data set'!$H740&lt;=7.5,"Diabetes",'Data set'!$H740&gt;=7.5,"Uncontrolled")</f>
        <v>Uncontrolled</v>
      </c>
      <c r="P740" s="3" t="str">
        <f>_xlfn.IFS('Data set'!$F740&lt;120,"Low",'Data set'!$F740&lt;=200,"Normal",'Data set'!$F740&lt;=240,"Boarderline",'Data set'!$F740&gt;=241,"High")</f>
        <v>High</v>
      </c>
      <c r="Q740" s="3" t="str">
        <f>_xlfn.IFS('Data set'!$D740&lt;=18.5,"Low",'Data set'!$D740&lt;=24.9,"Normal",'Data set'!$D740&lt;=29.9,"High",'Data set'!$D740&gt;29.9,"Very High")</f>
        <v>Very High</v>
      </c>
    </row>
    <row r="741" spans="1:17" x14ac:dyDescent="0.25">
      <c r="A741" s="5">
        <v>58</v>
      </c>
      <c r="B741" s="5" t="s">
        <v>0</v>
      </c>
      <c r="C741" s="6">
        <v>295.55</v>
      </c>
      <c r="D741" s="6">
        <v>35.21</v>
      </c>
      <c r="E741" s="5" t="s">
        <v>6</v>
      </c>
      <c r="F741" s="5">
        <v>231</v>
      </c>
      <c r="G741" s="5" t="s">
        <v>605</v>
      </c>
      <c r="H741" s="6">
        <v>8.42</v>
      </c>
      <c r="I741" s="5">
        <v>6</v>
      </c>
      <c r="J741" s="5" t="s">
        <v>4</v>
      </c>
      <c r="K741" s="5" t="s">
        <v>3</v>
      </c>
      <c r="L741" s="5">
        <v>96</v>
      </c>
      <c r="M741" s="5">
        <v>63</v>
      </c>
      <c r="N741" s="5" t="s">
        <v>8</v>
      </c>
      <c r="O741" s="5" t="str">
        <f>_xlfn.IFS('Data set'!$H741&lt;5.7,"Normal",'Data set'!$H741&lt;=6.4,"Prediabetes",'Data set'!$H741&lt;=7.5,"Diabetes",'Data set'!$H741&gt;=7.5,"Uncontrolled")</f>
        <v>Uncontrolled</v>
      </c>
      <c r="P741" s="5" t="str">
        <f>_xlfn.IFS('Data set'!$F741&lt;120,"Low",'Data set'!$F741&lt;=200,"Normal",'Data set'!$F741&lt;=240,"Boarderline",'Data set'!$F741&gt;=241,"High")</f>
        <v>Boarderline</v>
      </c>
      <c r="Q741" s="5" t="str">
        <f>_xlfn.IFS('Data set'!$D741&lt;=18.5,"Low",'Data set'!$D741&lt;=24.9,"Normal",'Data set'!$D741&lt;=29.9,"High",'Data set'!$D741&gt;29.9,"Very High")</f>
        <v>Very High</v>
      </c>
    </row>
    <row r="742" spans="1:17" x14ac:dyDescent="0.25">
      <c r="A742" s="3">
        <v>52</v>
      </c>
      <c r="B742" s="3" t="s">
        <v>9</v>
      </c>
      <c r="C742" s="4">
        <v>117.39</v>
      </c>
      <c r="D742" s="4">
        <v>27</v>
      </c>
      <c r="E742" s="3" t="s">
        <v>10</v>
      </c>
      <c r="F742" s="3">
        <v>255</v>
      </c>
      <c r="G742" s="3" t="s">
        <v>606</v>
      </c>
      <c r="H742" s="4">
        <v>5.33</v>
      </c>
      <c r="I742" s="3">
        <v>6</v>
      </c>
      <c r="J742" s="3" t="s">
        <v>3</v>
      </c>
      <c r="K742" s="3" t="s">
        <v>4</v>
      </c>
      <c r="L742" s="3">
        <v>122</v>
      </c>
      <c r="M742" s="3">
        <v>72</v>
      </c>
      <c r="N742" s="3" t="s">
        <v>8</v>
      </c>
      <c r="O742" s="3" t="str">
        <f>_xlfn.IFS('Data set'!$H742&lt;5.7,"Normal",'Data set'!$H742&lt;=6.4,"Prediabetes",'Data set'!$H742&lt;=7.5,"Diabetes",'Data set'!$H742&gt;=7.5,"Uncontrolled")</f>
        <v>Normal</v>
      </c>
      <c r="P742" s="3" t="str">
        <f>_xlfn.IFS('Data set'!$F742&lt;120,"Low",'Data set'!$F742&lt;=200,"Normal",'Data set'!$F742&lt;=240,"Boarderline",'Data set'!$F742&gt;=241,"High")</f>
        <v>High</v>
      </c>
      <c r="Q742" s="3" t="str">
        <f>_xlfn.IFS('Data set'!$D742&lt;=18.5,"Low",'Data set'!$D742&lt;=24.9,"Normal",'Data set'!$D742&lt;=29.9,"High",'Data set'!$D742&gt;29.9,"Very High")</f>
        <v>High</v>
      </c>
    </row>
    <row r="743" spans="1:17" x14ac:dyDescent="0.25">
      <c r="A743" s="5">
        <v>71</v>
      </c>
      <c r="B743" s="5" t="s">
        <v>0</v>
      </c>
      <c r="C743" s="6">
        <v>288.74</v>
      </c>
      <c r="D743" s="6">
        <v>31.15</v>
      </c>
      <c r="E743" s="5" t="s">
        <v>1</v>
      </c>
      <c r="F743" s="5">
        <v>240</v>
      </c>
      <c r="G743" s="5" t="s">
        <v>163</v>
      </c>
      <c r="H743" s="6">
        <v>9.35</v>
      </c>
      <c r="I743" s="5">
        <v>4</v>
      </c>
      <c r="J743" s="5" t="s">
        <v>3</v>
      </c>
      <c r="K743" s="5" t="s">
        <v>3</v>
      </c>
      <c r="L743" s="5">
        <v>139</v>
      </c>
      <c r="M743" s="5">
        <v>68</v>
      </c>
      <c r="N743" s="5" t="s">
        <v>5</v>
      </c>
      <c r="O743" s="5" t="str">
        <f>_xlfn.IFS('Data set'!$H743&lt;5.7,"Normal",'Data set'!$H743&lt;=6.4,"Prediabetes",'Data set'!$H743&lt;=7.5,"Diabetes",'Data set'!$H743&gt;=7.5,"Uncontrolled")</f>
        <v>Uncontrolled</v>
      </c>
      <c r="P743" s="5" t="str">
        <f>_xlfn.IFS('Data set'!$F743&lt;120,"Low",'Data set'!$F743&lt;=200,"Normal",'Data set'!$F743&lt;=240,"Boarderline",'Data set'!$F743&gt;=241,"High")</f>
        <v>Boarderline</v>
      </c>
      <c r="Q743" s="5" t="str">
        <f>_xlfn.IFS('Data set'!$D743&lt;=18.5,"Low",'Data set'!$D743&lt;=24.9,"Normal",'Data set'!$D743&lt;=29.9,"High",'Data set'!$D743&gt;29.9,"Very High")</f>
        <v>Very High</v>
      </c>
    </row>
    <row r="744" spans="1:17" x14ac:dyDescent="0.25">
      <c r="A744" s="3">
        <v>28</v>
      </c>
      <c r="B744" s="3" t="s">
        <v>0</v>
      </c>
      <c r="C744" s="4">
        <v>126.51</v>
      </c>
      <c r="D744" s="4">
        <v>39.18</v>
      </c>
      <c r="E744" s="3" t="s">
        <v>10</v>
      </c>
      <c r="F744" s="3">
        <v>243</v>
      </c>
      <c r="G744" s="3" t="s">
        <v>607</v>
      </c>
      <c r="H744" s="4">
        <v>8.43</v>
      </c>
      <c r="I744" s="3">
        <v>6</v>
      </c>
      <c r="J744" s="3" t="s">
        <v>3</v>
      </c>
      <c r="K744" s="3" t="s">
        <v>4</v>
      </c>
      <c r="L744" s="3">
        <v>132</v>
      </c>
      <c r="M744" s="3">
        <v>87</v>
      </c>
      <c r="N744" s="3" t="s">
        <v>17</v>
      </c>
      <c r="O744" s="3" t="str">
        <f>_xlfn.IFS('Data set'!$H744&lt;5.7,"Normal",'Data set'!$H744&lt;=6.4,"Prediabetes",'Data set'!$H744&lt;=7.5,"Diabetes",'Data set'!$H744&gt;=7.5,"Uncontrolled")</f>
        <v>Uncontrolled</v>
      </c>
      <c r="P744" s="3" t="str">
        <f>_xlfn.IFS('Data set'!$F744&lt;120,"Low",'Data set'!$F744&lt;=200,"Normal",'Data set'!$F744&lt;=240,"Boarderline",'Data set'!$F744&gt;=241,"High")</f>
        <v>High</v>
      </c>
      <c r="Q744" s="3" t="str">
        <f>_xlfn.IFS('Data set'!$D744&lt;=18.5,"Low",'Data set'!$D744&lt;=24.9,"Normal",'Data set'!$D744&lt;=29.9,"High",'Data set'!$D744&gt;29.9,"Very High")</f>
        <v>Very High</v>
      </c>
    </row>
    <row r="745" spans="1:17" x14ac:dyDescent="0.25">
      <c r="A745" s="5">
        <v>50</v>
      </c>
      <c r="B745" s="5" t="s">
        <v>0</v>
      </c>
      <c r="C745" s="6">
        <v>232.68</v>
      </c>
      <c r="D745" s="6">
        <v>25.54</v>
      </c>
      <c r="E745" s="5" t="s">
        <v>6</v>
      </c>
      <c r="F745" s="5">
        <v>165</v>
      </c>
      <c r="G745" s="5" t="s">
        <v>608</v>
      </c>
      <c r="H745" s="6">
        <v>7.66</v>
      </c>
      <c r="I745" s="5">
        <v>4</v>
      </c>
      <c r="J745" s="5" t="s">
        <v>3</v>
      </c>
      <c r="K745" s="5" t="s">
        <v>3</v>
      </c>
      <c r="L745" s="5">
        <v>138</v>
      </c>
      <c r="M745" s="5">
        <v>66</v>
      </c>
      <c r="N745" s="5" t="s">
        <v>23</v>
      </c>
      <c r="O745" s="5" t="str">
        <f>_xlfn.IFS('Data set'!$H745&lt;5.7,"Normal",'Data set'!$H745&lt;=6.4,"Prediabetes",'Data set'!$H745&lt;=7.5,"Diabetes",'Data set'!$H745&gt;=7.5,"Uncontrolled")</f>
        <v>Uncontrolled</v>
      </c>
      <c r="P745" s="5" t="str">
        <f>_xlfn.IFS('Data set'!$F745&lt;120,"Low",'Data set'!$F745&lt;=200,"Normal",'Data set'!$F745&lt;=240,"Boarderline",'Data set'!$F745&gt;=241,"High")</f>
        <v>Normal</v>
      </c>
      <c r="Q745" s="5" t="str">
        <f>_xlfn.IFS('Data set'!$D745&lt;=18.5,"Low",'Data set'!$D745&lt;=24.9,"Normal",'Data set'!$D745&lt;=29.9,"High",'Data set'!$D745&gt;29.9,"Very High")</f>
        <v>High</v>
      </c>
    </row>
    <row r="746" spans="1:17" x14ac:dyDescent="0.25">
      <c r="A746" s="3">
        <v>33</v>
      </c>
      <c r="B746" s="3" t="s">
        <v>0</v>
      </c>
      <c r="C746" s="4">
        <v>192.64</v>
      </c>
      <c r="D746" s="4">
        <v>26.67</v>
      </c>
      <c r="E746" s="3" t="s">
        <v>14</v>
      </c>
      <c r="F746" s="3">
        <v>236</v>
      </c>
      <c r="G746" s="3" t="s">
        <v>497</v>
      </c>
      <c r="H746" s="4">
        <v>7.28</v>
      </c>
      <c r="I746" s="3">
        <v>1</v>
      </c>
      <c r="J746" s="3" t="s">
        <v>4</v>
      </c>
      <c r="K746" s="3" t="s">
        <v>4</v>
      </c>
      <c r="L746" s="3">
        <v>138</v>
      </c>
      <c r="M746" s="3">
        <v>90</v>
      </c>
      <c r="N746" s="3" t="s">
        <v>12</v>
      </c>
      <c r="O746" s="3" t="str">
        <f>_xlfn.IFS('Data set'!$H746&lt;5.7,"Normal",'Data set'!$H746&lt;=6.4,"Prediabetes",'Data set'!$H746&lt;=7.5,"Diabetes",'Data set'!$H746&gt;=7.5,"Uncontrolled")</f>
        <v>Diabetes</v>
      </c>
      <c r="P746" s="3" t="str">
        <f>_xlfn.IFS('Data set'!$F746&lt;120,"Low",'Data set'!$F746&lt;=200,"Normal",'Data set'!$F746&lt;=240,"Boarderline",'Data set'!$F746&gt;=241,"High")</f>
        <v>Boarderline</v>
      </c>
      <c r="Q746" s="3" t="str">
        <f>_xlfn.IFS('Data set'!$D746&lt;=18.5,"Low",'Data set'!$D746&lt;=24.9,"Normal",'Data set'!$D746&lt;=29.9,"High",'Data set'!$D746&gt;29.9,"Very High")</f>
        <v>High</v>
      </c>
    </row>
    <row r="747" spans="1:17" x14ac:dyDescent="0.25">
      <c r="A747" s="5">
        <v>29</v>
      </c>
      <c r="B747" s="5" t="s">
        <v>9</v>
      </c>
      <c r="C747" s="6">
        <v>187.95</v>
      </c>
      <c r="D747" s="6">
        <v>18.309999999999999</v>
      </c>
      <c r="E747" s="5" t="s">
        <v>6</v>
      </c>
      <c r="F747" s="5">
        <v>190</v>
      </c>
      <c r="G747" s="5" t="s">
        <v>609</v>
      </c>
      <c r="H747" s="6">
        <v>9.4499999999999993</v>
      </c>
      <c r="I747" s="5">
        <v>4</v>
      </c>
      <c r="J747" s="5" t="s">
        <v>3</v>
      </c>
      <c r="K747" s="5" t="s">
        <v>3</v>
      </c>
      <c r="L747" s="5">
        <v>126</v>
      </c>
      <c r="M747" s="5">
        <v>73</v>
      </c>
      <c r="N747" s="5" t="s">
        <v>17</v>
      </c>
      <c r="O747" s="5" t="str">
        <f>_xlfn.IFS('Data set'!$H747&lt;5.7,"Normal",'Data set'!$H747&lt;=6.4,"Prediabetes",'Data set'!$H747&lt;=7.5,"Diabetes",'Data set'!$H747&gt;=7.5,"Uncontrolled")</f>
        <v>Uncontrolled</v>
      </c>
      <c r="P747" s="5" t="str">
        <f>_xlfn.IFS('Data set'!$F747&lt;120,"Low",'Data set'!$F747&lt;=200,"Normal",'Data set'!$F747&lt;=240,"Boarderline",'Data set'!$F747&gt;=241,"High")</f>
        <v>Normal</v>
      </c>
      <c r="Q747" s="5" t="str">
        <f>_xlfn.IFS('Data set'!$D747&lt;=18.5,"Low",'Data set'!$D747&lt;=24.9,"Normal",'Data set'!$D747&lt;=29.9,"High",'Data set'!$D747&gt;29.9,"Very High")</f>
        <v>Low</v>
      </c>
    </row>
    <row r="748" spans="1:17" x14ac:dyDescent="0.25">
      <c r="A748" s="3">
        <v>49</v>
      </c>
      <c r="B748" s="3" t="s">
        <v>9</v>
      </c>
      <c r="C748" s="4">
        <v>267.58999999999997</v>
      </c>
      <c r="D748" s="4">
        <v>25.73</v>
      </c>
      <c r="E748" s="3" t="s">
        <v>10</v>
      </c>
      <c r="F748" s="3">
        <v>225</v>
      </c>
      <c r="G748" s="3" t="s">
        <v>610</v>
      </c>
      <c r="H748" s="4">
        <v>8.8699999999999992</v>
      </c>
      <c r="I748" s="3">
        <v>5</v>
      </c>
      <c r="J748" s="3" t="s">
        <v>3</v>
      </c>
      <c r="K748" s="3" t="s">
        <v>4</v>
      </c>
      <c r="L748" s="3">
        <v>115</v>
      </c>
      <c r="M748" s="3">
        <v>90</v>
      </c>
      <c r="N748" s="3" t="s">
        <v>23</v>
      </c>
      <c r="O748" s="3" t="str">
        <f>_xlfn.IFS('Data set'!$H748&lt;5.7,"Normal",'Data set'!$H748&lt;=6.4,"Prediabetes",'Data set'!$H748&lt;=7.5,"Diabetes",'Data set'!$H748&gt;=7.5,"Uncontrolled")</f>
        <v>Uncontrolled</v>
      </c>
      <c r="P748" s="3" t="str">
        <f>_xlfn.IFS('Data set'!$F748&lt;120,"Low",'Data set'!$F748&lt;=200,"Normal",'Data set'!$F748&lt;=240,"Boarderline",'Data set'!$F748&gt;=241,"High")</f>
        <v>Boarderline</v>
      </c>
      <c r="Q748" s="3" t="str">
        <f>_xlfn.IFS('Data set'!$D748&lt;=18.5,"Low",'Data set'!$D748&lt;=24.9,"Normal",'Data set'!$D748&lt;=29.9,"High",'Data set'!$D748&gt;29.9,"Very High")</f>
        <v>High</v>
      </c>
    </row>
    <row r="749" spans="1:17" x14ac:dyDescent="0.25">
      <c r="A749" s="5">
        <v>51</v>
      </c>
      <c r="B749" s="5" t="s">
        <v>9</v>
      </c>
      <c r="C749" s="6">
        <v>106.8</v>
      </c>
      <c r="D749" s="6">
        <v>34.020000000000003</v>
      </c>
      <c r="E749" s="5" t="s">
        <v>1</v>
      </c>
      <c r="F749" s="5">
        <v>300</v>
      </c>
      <c r="G749" s="5" t="s">
        <v>611</v>
      </c>
      <c r="H749" s="6">
        <v>5.94</v>
      </c>
      <c r="I749" s="5">
        <v>3</v>
      </c>
      <c r="J749" s="5" t="s">
        <v>4</v>
      </c>
      <c r="K749" s="5" t="s">
        <v>3</v>
      </c>
      <c r="L749" s="5">
        <v>90</v>
      </c>
      <c r="M749" s="5">
        <v>67</v>
      </c>
      <c r="N749" s="5" t="s">
        <v>8</v>
      </c>
      <c r="O749" s="5" t="str">
        <f>_xlfn.IFS('Data set'!$H749&lt;5.7,"Normal",'Data set'!$H749&lt;=6.4,"Prediabetes",'Data set'!$H749&lt;=7.5,"Diabetes",'Data set'!$H749&gt;=7.5,"Uncontrolled")</f>
        <v>Prediabetes</v>
      </c>
      <c r="P749" s="5" t="str">
        <f>_xlfn.IFS('Data set'!$F749&lt;120,"Low",'Data set'!$F749&lt;=200,"Normal",'Data set'!$F749&lt;=240,"Boarderline",'Data set'!$F749&gt;=241,"High")</f>
        <v>High</v>
      </c>
      <c r="Q749" s="5" t="str">
        <f>_xlfn.IFS('Data set'!$D749&lt;=18.5,"Low",'Data set'!$D749&lt;=24.9,"Normal",'Data set'!$D749&lt;=29.9,"High",'Data set'!$D749&gt;29.9,"Very High")</f>
        <v>Very High</v>
      </c>
    </row>
    <row r="750" spans="1:17" x14ac:dyDescent="0.25">
      <c r="A750" s="3">
        <v>43</v>
      </c>
      <c r="B750" s="3" t="s">
        <v>0</v>
      </c>
      <c r="C750" s="4">
        <v>158.16999999999999</v>
      </c>
      <c r="D750" s="4">
        <v>28.17</v>
      </c>
      <c r="E750" s="3" t="s">
        <v>6</v>
      </c>
      <c r="F750" s="3">
        <v>122</v>
      </c>
      <c r="G750" s="3" t="s">
        <v>612</v>
      </c>
      <c r="H750" s="4">
        <v>7.18</v>
      </c>
      <c r="I750" s="3">
        <v>1</v>
      </c>
      <c r="J750" s="3" t="s">
        <v>3</v>
      </c>
      <c r="K750" s="3" t="s">
        <v>4</v>
      </c>
      <c r="L750" s="3">
        <v>110</v>
      </c>
      <c r="M750" s="3">
        <v>88</v>
      </c>
      <c r="N750" s="3" t="s">
        <v>23</v>
      </c>
      <c r="O750" s="3" t="str">
        <f>_xlfn.IFS('Data set'!$H750&lt;5.7,"Normal",'Data set'!$H750&lt;=6.4,"Prediabetes",'Data set'!$H750&lt;=7.5,"Diabetes",'Data set'!$H750&gt;=7.5,"Uncontrolled")</f>
        <v>Diabetes</v>
      </c>
      <c r="P750" s="3" t="str">
        <f>_xlfn.IFS('Data set'!$F750&lt;120,"Low",'Data set'!$F750&lt;=200,"Normal",'Data set'!$F750&lt;=240,"Boarderline",'Data set'!$F750&gt;=241,"High")</f>
        <v>Normal</v>
      </c>
      <c r="Q750" s="3" t="str">
        <f>_xlfn.IFS('Data set'!$D750&lt;=18.5,"Low",'Data set'!$D750&lt;=24.9,"Normal",'Data set'!$D750&lt;=29.9,"High",'Data set'!$D750&gt;29.9,"Very High")</f>
        <v>High</v>
      </c>
    </row>
    <row r="751" spans="1:17" x14ac:dyDescent="0.25">
      <c r="A751" s="5">
        <v>44</v>
      </c>
      <c r="B751" s="5" t="s">
        <v>9</v>
      </c>
      <c r="C751" s="6">
        <v>128.63999999999999</v>
      </c>
      <c r="D751" s="6">
        <v>23</v>
      </c>
      <c r="E751" s="5" t="s">
        <v>14</v>
      </c>
      <c r="F751" s="5">
        <v>242</v>
      </c>
      <c r="G751" s="5" t="s">
        <v>408</v>
      </c>
      <c r="H751" s="6">
        <v>6.89</v>
      </c>
      <c r="I751" s="5">
        <v>2</v>
      </c>
      <c r="J751" s="5" t="s">
        <v>4</v>
      </c>
      <c r="K751" s="5" t="s">
        <v>4</v>
      </c>
      <c r="L751" s="5">
        <v>90</v>
      </c>
      <c r="M751" s="5">
        <v>69</v>
      </c>
      <c r="N751" s="5" t="s">
        <v>23</v>
      </c>
      <c r="O751" s="5" t="str">
        <f>_xlfn.IFS('Data set'!$H751&lt;5.7,"Normal",'Data set'!$H751&lt;=6.4,"Prediabetes",'Data set'!$H751&lt;=7.5,"Diabetes",'Data set'!$H751&gt;=7.5,"Uncontrolled")</f>
        <v>Diabetes</v>
      </c>
      <c r="P751" s="5" t="str">
        <f>_xlfn.IFS('Data set'!$F751&lt;120,"Low",'Data set'!$F751&lt;=200,"Normal",'Data set'!$F751&lt;=240,"Boarderline",'Data set'!$F751&gt;=241,"High")</f>
        <v>High</v>
      </c>
      <c r="Q751" s="5" t="str">
        <f>_xlfn.IFS('Data set'!$D751&lt;=18.5,"Low",'Data set'!$D751&lt;=24.9,"Normal",'Data set'!$D751&lt;=29.9,"High",'Data set'!$D751&gt;29.9,"Very High")</f>
        <v>Normal</v>
      </c>
    </row>
    <row r="752" spans="1:17" x14ac:dyDescent="0.25">
      <c r="A752" s="3">
        <v>45</v>
      </c>
      <c r="B752" s="3" t="s">
        <v>9</v>
      </c>
      <c r="C752" s="4">
        <v>129.33000000000001</v>
      </c>
      <c r="D752" s="4">
        <v>25.91</v>
      </c>
      <c r="E752" s="3" t="s">
        <v>14</v>
      </c>
      <c r="F752" s="3">
        <v>208</v>
      </c>
      <c r="G752" s="3" t="s">
        <v>495</v>
      </c>
      <c r="H752" s="4">
        <v>7.35</v>
      </c>
      <c r="I752" s="3">
        <v>7</v>
      </c>
      <c r="J752" s="3" t="s">
        <v>4</v>
      </c>
      <c r="K752" s="3" t="s">
        <v>4</v>
      </c>
      <c r="L752" s="3">
        <v>126</v>
      </c>
      <c r="M752" s="3">
        <v>61</v>
      </c>
      <c r="N752" s="3" t="s">
        <v>23</v>
      </c>
      <c r="O752" s="3" t="str">
        <f>_xlfn.IFS('Data set'!$H752&lt;5.7,"Normal",'Data set'!$H752&lt;=6.4,"Prediabetes",'Data set'!$H752&lt;=7.5,"Diabetes",'Data set'!$H752&gt;=7.5,"Uncontrolled")</f>
        <v>Diabetes</v>
      </c>
      <c r="P752" s="3" t="str">
        <f>_xlfn.IFS('Data set'!$F752&lt;120,"Low",'Data set'!$F752&lt;=200,"Normal",'Data set'!$F752&lt;=240,"Boarderline",'Data set'!$F752&gt;=241,"High")</f>
        <v>Boarderline</v>
      </c>
      <c r="Q752" s="3" t="str">
        <f>_xlfn.IFS('Data set'!$D752&lt;=18.5,"Low",'Data set'!$D752&lt;=24.9,"Normal",'Data set'!$D752&lt;=29.9,"High",'Data set'!$D752&gt;29.9,"Very High")</f>
        <v>High</v>
      </c>
    </row>
    <row r="753" spans="1:17" x14ac:dyDescent="0.25">
      <c r="A753" s="5">
        <v>25</v>
      </c>
      <c r="B753" s="5" t="s">
        <v>0</v>
      </c>
      <c r="C753" s="6">
        <v>189.45</v>
      </c>
      <c r="D753" s="6">
        <v>35.11</v>
      </c>
      <c r="E753" s="5" t="s">
        <v>14</v>
      </c>
      <c r="F753" s="5">
        <v>203</v>
      </c>
      <c r="G753" s="5" t="s">
        <v>482</v>
      </c>
      <c r="H753" s="6">
        <v>6.61</v>
      </c>
      <c r="I753" s="5">
        <v>5</v>
      </c>
      <c r="J753" s="5" t="s">
        <v>3</v>
      </c>
      <c r="K753" s="5" t="s">
        <v>4</v>
      </c>
      <c r="L753" s="5">
        <v>132</v>
      </c>
      <c r="M753" s="5">
        <v>79</v>
      </c>
      <c r="N753" s="5" t="s">
        <v>17</v>
      </c>
      <c r="O753" s="5" t="str">
        <f>_xlfn.IFS('Data set'!$H753&lt;5.7,"Normal",'Data set'!$H753&lt;=6.4,"Prediabetes",'Data set'!$H753&lt;=7.5,"Diabetes",'Data set'!$H753&gt;=7.5,"Uncontrolled")</f>
        <v>Diabetes</v>
      </c>
      <c r="P753" s="5" t="str">
        <f>_xlfn.IFS('Data set'!$F753&lt;120,"Low",'Data set'!$F753&lt;=200,"Normal",'Data set'!$F753&lt;=240,"Boarderline",'Data set'!$F753&gt;=241,"High")</f>
        <v>Boarderline</v>
      </c>
      <c r="Q753" s="5" t="str">
        <f>_xlfn.IFS('Data set'!$D753&lt;=18.5,"Low",'Data set'!$D753&lt;=24.9,"Normal",'Data set'!$D753&lt;=29.9,"High",'Data set'!$D753&gt;29.9,"Very High")</f>
        <v>Very High</v>
      </c>
    </row>
    <row r="754" spans="1:17" x14ac:dyDescent="0.25">
      <c r="A754" s="3">
        <v>56</v>
      </c>
      <c r="B754" s="3" t="s">
        <v>0</v>
      </c>
      <c r="C754" s="4">
        <v>244.78</v>
      </c>
      <c r="D754" s="4">
        <v>25.59</v>
      </c>
      <c r="E754" s="3" t="s">
        <v>6</v>
      </c>
      <c r="F754" s="3">
        <v>222</v>
      </c>
      <c r="G754" s="3" t="s">
        <v>439</v>
      </c>
      <c r="H754" s="4">
        <v>7.57</v>
      </c>
      <c r="I754" s="3">
        <v>0</v>
      </c>
      <c r="J754" s="3" t="s">
        <v>4</v>
      </c>
      <c r="K754" s="3" t="s">
        <v>3</v>
      </c>
      <c r="L754" s="3">
        <v>99</v>
      </c>
      <c r="M754" s="3">
        <v>88</v>
      </c>
      <c r="N754" s="3" t="s">
        <v>8</v>
      </c>
      <c r="O754" s="3" t="str">
        <f>_xlfn.IFS('Data set'!$H754&lt;5.7,"Normal",'Data set'!$H754&lt;=6.4,"Prediabetes",'Data set'!$H754&lt;=7.5,"Diabetes",'Data set'!$H754&gt;=7.5,"Uncontrolled")</f>
        <v>Uncontrolled</v>
      </c>
      <c r="P754" s="3" t="str">
        <f>_xlfn.IFS('Data set'!$F754&lt;120,"Low",'Data set'!$F754&lt;=200,"Normal",'Data set'!$F754&lt;=240,"Boarderline",'Data set'!$F754&gt;=241,"High")</f>
        <v>Boarderline</v>
      </c>
      <c r="Q754" s="3" t="str">
        <f>_xlfn.IFS('Data set'!$D754&lt;=18.5,"Low",'Data set'!$D754&lt;=24.9,"Normal",'Data set'!$D754&lt;=29.9,"High",'Data set'!$D754&gt;29.9,"Very High")</f>
        <v>High</v>
      </c>
    </row>
    <row r="755" spans="1:17" x14ac:dyDescent="0.25">
      <c r="A755" s="5">
        <v>38</v>
      </c>
      <c r="B755" s="5" t="s">
        <v>0</v>
      </c>
      <c r="C755" s="6">
        <v>272.08</v>
      </c>
      <c r="D755" s="6">
        <v>21.12</v>
      </c>
      <c r="E755" s="5" t="s">
        <v>6</v>
      </c>
      <c r="F755" s="5">
        <v>194</v>
      </c>
      <c r="G755" s="5" t="s">
        <v>613</v>
      </c>
      <c r="H755" s="6">
        <v>8.7200000000000006</v>
      </c>
      <c r="I755" s="5">
        <v>3</v>
      </c>
      <c r="J755" s="5" t="s">
        <v>3</v>
      </c>
      <c r="K755" s="5" t="s">
        <v>4</v>
      </c>
      <c r="L755" s="5">
        <v>108</v>
      </c>
      <c r="M755" s="5">
        <v>75</v>
      </c>
      <c r="N755" s="5" t="s">
        <v>12</v>
      </c>
      <c r="O755" s="5" t="str">
        <f>_xlfn.IFS('Data set'!$H755&lt;5.7,"Normal",'Data set'!$H755&lt;=6.4,"Prediabetes",'Data set'!$H755&lt;=7.5,"Diabetes",'Data set'!$H755&gt;=7.5,"Uncontrolled")</f>
        <v>Uncontrolled</v>
      </c>
      <c r="P755" s="5" t="str">
        <f>_xlfn.IFS('Data set'!$F755&lt;120,"Low",'Data set'!$F755&lt;=200,"Normal",'Data set'!$F755&lt;=240,"Boarderline",'Data set'!$F755&gt;=241,"High")</f>
        <v>Normal</v>
      </c>
      <c r="Q755" s="5" t="str">
        <f>_xlfn.IFS('Data set'!$D755&lt;=18.5,"Low",'Data set'!$D755&lt;=24.9,"Normal",'Data set'!$D755&lt;=29.9,"High",'Data set'!$D755&gt;29.9,"Very High")</f>
        <v>Normal</v>
      </c>
    </row>
    <row r="756" spans="1:17" x14ac:dyDescent="0.25">
      <c r="A756" s="3">
        <v>30</v>
      </c>
      <c r="B756" s="3" t="s">
        <v>0</v>
      </c>
      <c r="C756" s="4">
        <v>82.73</v>
      </c>
      <c r="D756" s="4">
        <v>33.36</v>
      </c>
      <c r="E756" s="3" t="s">
        <v>1</v>
      </c>
      <c r="F756" s="3">
        <v>224</v>
      </c>
      <c r="G756" s="3" t="s">
        <v>614</v>
      </c>
      <c r="H756" s="4">
        <v>7.36</v>
      </c>
      <c r="I756" s="3">
        <v>4</v>
      </c>
      <c r="J756" s="3" t="s">
        <v>3</v>
      </c>
      <c r="K756" s="3" t="s">
        <v>4</v>
      </c>
      <c r="L756" s="3">
        <v>128</v>
      </c>
      <c r="M756" s="3">
        <v>70</v>
      </c>
      <c r="N756" s="3" t="s">
        <v>17</v>
      </c>
      <c r="O756" s="3" t="str">
        <f>_xlfn.IFS('Data set'!$H756&lt;5.7,"Normal",'Data set'!$H756&lt;=6.4,"Prediabetes",'Data set'!$H756&lt;=7.5,"Diabetes",'Data set'!$H756&gt;=7.5,"Uncontrolled")</f>
        <v>Diabetes</v>
      </c>
      <c r="P756" s="3" t="str">
        <f>_xlfn.IFS('Data set'!$F756&lt;120,"Low",'Data set'!$F756&lt;=200,"Normal",'Data set'!$F756&lt;=240,"Boarderline",'Data set'!$F756&gt;=241,"High")</f>
        <v>Boarderline</v>
      </c>
      <c r="Q756" s="3" t="str">
        <f>_xlfn.IFS('Data set'!$D756&lt;=18.5,"Low",'Data set'!$D756&lt;=24.9,"Normal",'Data set'!$D756&lt;=29.9,"High",'Data set'!$D756&gt;29.9,"Very High")</f>
        <v>Very High</v>
      </c>
    </row>
    <row r="757" spans="1:17" x14ac:dyDescent="0.25">
      <c r="A757" s="5">
        <v>35</v>
      </c>
      <c r="B757" s="5" t="s">
        <v>9</v>
      </c>
      <c r="C757" s="6">
        <v>213.16</v>
      </c>
      <c r="D757" s="6">
        <v>31.43</v>
      </c>
      <c r="E757" s="5" t="s">
        <v>10</v>
      </c>
      <c r="F757" s="5">
        <v>129</v>
      </c>
      <c r="G757" s="5" t="s">
        <v>615</v>
      </c>
      <c r="H757" s="6">
        <v>6.42</v>
      </c>
      <c r="I757" s="5">
        <v>2</v>
      </c>
      <c r="J757" s="5" t="s">
        <v>3</v>
      </c>
      <c r="K757" s="5" t="s">
        <v>4</v>
      </c>
      <c r="L757" s="5">
        <v>138</v>
      </c>
      <c r="M757" s="5">
        <v>72</v>
      </c>
      <c r="N757" s="5" t="s">
        <v>12</v>
      </c>
      <c r="O757" s="5" t="str">
        <f>_xlfn.IFS('Data set'!$H757&lt;5.7,"Normal",'Data set'!$H757&lt;=6.4,"Prediabetes",'Data set'!$H757&lt;=7.5,"Diabetes",'Data set'!$H757&gt;=7.5,"Uncontrolled")</f>
        <v>Diabetes</v>
      </c>
      <c r="P757" s="5" t="str">
        <f>_xlfn.IFS('Data set'!$F757&lt;120,"Low",'Data set'!$F757&lt;=200,"Normal",'Data set'!$F757&lt;=240,"Boarderline",'Data set'!$F757&gt;=241,"High")</f>
        <v>Normal</v>
      </c>
      <c r="Q757" s="5" t="str">
        <f>_xlfn.IFS('Data set'!$D757&lt;=18.5,"Low",'Data set'!$D757&lt;=24.9,"Normal",'Data set'!$D757&lt;=29.9,"High",'Data set'!$D757&gt;29.9,"Very High")</f>
        <v>Very High</v>
      </c>
    </row>
    <row r="758" spans="1:17" x14ac:dyDescent="0.25">
      <c r="A758" s="3">
        <v>73</v>
      </c>
      <c r="B758" s="3" t="s">
        <v>0</v>
      </c>
      <c r="C758" s="4">
        <v>146.1</v>
      </c>
      <c r="D758" s="4">
        <v>21.1</v>
      </c>
      <c r="E758" s="3" t="s">
        <v>6</v>
      </c>
      <c r="F758" s="3">
        <v>297</v>
      </c>
      <c r="G758" s="3" t="s">
        <v>499</v>
      </c>
      <c r="H758" s="4">
        <v>4.43</v>
      </c>
      <c r="I758" s="3">
        <v>3</v>
      </c>
      <c r="J758" s="3" t="s">
        <v>3</v>
      </c>
      <c r="K758" s="3" t="s">
        <v>3</v>
      </c>
      <c r="L758" s="3">
        <v>118</v>
      </c>
      <c r="M758" s="3">
        <v>84</v>
      </c>
      <c r="N758" s="3" t="s">
        <v>5</v>
      </c>
      <c r="O758" s="3" t="str">
        <f>_xlfn.IFS('Data set'!$H758&lt;5.7,"Normal",'Data set'!$H758&lt;=6.4,"Prediabetes",'Data set'!$H758&lt;=7.5,"Diabetes",'Data set'!$H758&gt;=7.5,"Uncontrolled")</f>
        <v>Normal</v>
      </c>
      <c r="P758" s="3" t="str">
        <f>_xlfn.IFS('Data set'!$F758&lt;120,"Low",'Data set'!$F758&lt;=200,"Normal",'Data set'!$F758&lt;=240,"Boarderline",'Data set'!$F758&gt;=241,"High")</f>
        <v>High</v>
      </c>
      <c r="Q758" s="3" t="str">
        <f>_xlfn.IFS('Data set'!$D758&lt;=18.5,"Low",'Data set'!$D758&lt;=24.9,"Normal",'Data set'!$D758&lt;=29.9,"High",'Data set'!$D758&gt;29.9,"Very High")</f>
        <v>Normal</v>
      </c>
    </row>
    <row r="759" spans="1:17" x14ac:dyDescent="0.25">
      <c r="A759" s="5">
        <v>56</v>
      </c>
      <c r="B759" s="5" t="s">
        <v>9</v>
      </c>
      <c r="C759" s="6">
        <v>112.31</v>
      </c>
      <c r="D759" s="6">
        <v>39.590000000000003</v>
      </c>
      <c r="E759" s="5" t="s">
        <v>1</v>
      </c>
      <c r="F759" s="5">
        <v>288</v>
      </c>
      <c r="G759" s="5" t="s">
        <v>288</v>
      </c>
      <c r="H759" s="6">
        <v>7.61</v>
      </c>
      <c r="I759" s="5">
        <v>7</v>
      </c>
      <c r="J759" s="5" t="s">
        <v>3</v>
      </c>
      <c r="K759" s="5" t="s">
        <v>3</v>
      </c>
      <c r="L759" s="5">
        <v>131</v>
      </c>
      <c r="M759" s="5">
        <v>77</v>
      </c>
      <c r="N759" s="5" t="s">
        <v>8</v>
      </c>
      <c r="O759" s="5" t="str">
        <f>_xlfn.IFS('Data set'!$H759&lt;5.7,"Normal",'Data set'!$H759&lt;=6.4,"Prediabetes",'Data set'!$H759&lt;=7.5,"Diabetes",'Data set'!$H759&gt;=7.5,"Uncontrolled")</f>
        <v>Uncontrolled</v>
      </c>
      <c r="P759" s="5" t="str">
        <f>_xlfn.IFS('Data set'!$F759&lt;120,"Low",'Data set'!$F759&lt;=200,"Normal",'Data set'!$F759&lt;=240,"Boarderline",'Data set'!$F759&gt;=241,"High")</f>
        <v>High</v>
      </c>
      <c r="Q759" s="5" t="str">
        <f>_xlfn.IFS('Data set'!$D759&lt;=18.5,"Low",'Data set'!$D759&lt;=24.9,"Normal",'Data set'!$D759&lt;=29.9,"High",'Data set'!$D759&gt;29.9,"Very High")</f>
        <v>Very High</v>
      </c>
    </row>
    <row r="760" spans="1:17" x14ac:dyDescent="0.25">
      <c r="A760" s="3">
        <v>21</v>
      </c>
      <c r="B760" s="3" t="s">
        <v>9</v>
      </c>
      <c r="C760" s="4">
        <v>132.34</v>
      </c>
      <c r="D760" s="4">
        <v>18.18</v>
      </c>
      <c r="E760" s="3" t="s">
        <v>14</v>
      </c>
      <c r="F760" s="3">
        <v>269</v>
      </c>
      <c r="G760" s="3" t="s">
        <v>616</v>
      </c>
      <c r="H760" s="4">
        <v>6.57</v>
      </c>
      <c r="I760" s="3">
        <v>2</v>
      </c>
      <c r="J760" s="3" t="s">
        <v>4</v>
      </c>
      <c r="K760" s="3" t="s">
        <v>4</v>
      </c>
      <c r="L760" s="3">
        <v>134</v>
      </c>
      <c r="M760" s="3">
        <v>82</v>
      </c>
      <c r="N760" s="3" t="s">
        <v>17</v>
      </c>
      <c r="O760" s="3" t="str">
        <f>_xlfn.IFS('Data set'!$H760&lt;5.7,"Normal",'Data set'!$H760&lt;=6.4,"Prediabetes",'Data set'!$H760&lt;=7.5,"Diabetes",'Data set'!$H760&gt;=7.5,"Uncontrolled")</f>
        <v>Diabetes</v>
      </c>
      <c r="P760" s="3" t="str">
        <f>_xlfn.IFS('Data set'!$F760&lt;120,"Low",'Data set'!$F760&lt;=200,"Normal",'Data set'!$F760&lt;=240,"Boarderline",'Data set'!$F760&gt;=241,"High")</f>
        <v>High</v>
      </c>
      <c r="Q760" s="3" t="str">
        <f>_xlfn.IFS('Data set'!$D760&lt;=18.5,"Low",'Data set'!$D760&lt;=24.9,"Normal",'Data set'!$D760&lt;=29.9,"High",'Data set'!$D760&gt;29.9,"Very High")</f>
        <v>Low</v>
      </c>
    </row>
    <row r="761" spans="1:17" x14ac:dyDescent="0.25">
      <c r="A761" s="5">
        <v>62</v>
      </c>
      <c r="B761" s="5" t="s">
        <v>0</v>
      </c>
      <c r="C761" s="6">
        <v>155.88999999999999</v>
      </c>
      <c r="D761" s="6">
        <v>39.979999999999997</v>
      </c>
      <c r="E761" s="5" t="s">
        <v>1</v>
      </c>
      <c r="F761" s="5">
        <v>159</v>
      </c>
      <c r="G761" s="5" t="s">
        <v>617</v>
      </c>
      <c r="H761" s="6">
        <v>4.67</v>
      </c>
      <c r="I761" s="5">
        <v>1</v>
      </c>
      <c r="J761" s="5" t="s">
        <v>3</v>
      </c>
      <c r="K761" s="5" t="s">
        <v>4</v>
      </c>
      <c r="L761" s="5">
        <v>139</v>
      </c>
      <c r="M761" s="5">
        <v>69</v>
      </c>
      <c r="N761" s="5" t="s">
        <v>21</v>
      </c>
      <c r="O761" s="5" t="str">
        <f>_xlfn.IFS('Data set'!$H761&lt;5.7,"Normal",'Data set'!$H761&lt;=6.4,"Prediabetes",'Data set'!$H761&lt;=7.5,"Diabetes",'Data set'!$H761&gt;=7.5,"Uncontrolled")</f>
        <v>Normal</v>
      </c>
      <c r="P761" s="5" t="str">
        <f>_xlfn.IFS('Data set'!$F761&lt;120,"Low",'Data set'!$F761&lt;=200,"Normal",'Data set'!$F761&lt;=240,"Boarderline",'Data set'!$F761&gt;=241,"High")</f>
        <v>Normal</v>
      </c>
      <c r="Q761" s="5" t="str">
        <f>_xlfn.IFS('Data set'!$D761&lt;=18.5,"Low",'Data set'!$D761&lt;=24.9,"Normal",'Data set'!$D761&lt;=29.9,"High",'Data set'!$D761&gt;29.9,"Very High")</f>
        <v>Very High</v>
      </c>
    </row>
    <row r="762" spans="1:17" x14ac:dyDescent="0.25">
      <c r="A762" s="3">
        <v>23</v>
      </c>
      <c r="B762" s="3" t="s">
        <v>9</v>
      </c>
      <c r="C762" s="4">
        <v>176.91</v>
      </c>
      <c r="D762" s="4">
        <v>29.98</v>
      </c>
      <c r="E762" s="3" t="s">
        <v>6</v>
      </c>
      <c r="F762" s="3">
        <v>250</v>
      </c>
      <c r="G762" s="3" t="s">
        <v>618</v>
      </c>
      <c r="H762" s="4">
        <v>5.24</v>
      </c>
      <c r="I762" s="3">
        <v>5</v>
      </c>
      <c r="J762" s="3" t="s">
        <v>3</v>
      </c>
      <c r="K762" s="3" t="s">
        <v>3</v>
      </c>
      <c r="L762" s="3">
        <v>91</v>
      </c>
      <c r="M762" s="3">
        <v>83</v>
      </c>
      <c r="N762" s="3" t="s">
        <v>17</v>
      </c>
      <c r="O762" s="3" t="str">
        <f>_xlfn.IFS('Data set'!$H762&lt;5.7,"Normal",'Data set'!$H762&lt;=6.4,"Prediabetes",'Data set'!$H762&lt;=7.5,"Diabetes",'Data set'!$H762&gt;=7.5,"Uncontrolled")</f>
        <v>Normal</v>
      </c>
      <c r="P762" s="3" t="str">
        <f>_xlfn.IFS('Data set'!$F762&lt;120,"Low",'Data set'!$F762&lt;=200,"Normal",'Data set'!$F762&lt;=240,"Boarderline",'Data set'!$F762&gt;=241,"High")</f>
        <v>High</v>
      </c>
      <c r="Q762" s="3" t="str">
        <f>_xlfn.IFS('Data set'!$D762&lt;=18.5,"Low",'Data set'!$D762&lt;=24.9,"Normal",'Data set'!$D762&lt;=29.9,"High",'Data set'!$D762&gt;29.9,"Very High")</f>
        <v>Very High</v>
      </c>
    </row>
    <row r="763" spans="1:17" x14ac:dyDescent="0.25">
      <c r="A763" s="5">
        <v>56</v>
      </c>
      <c r="B763" s="5" t="s">
        <v>0</v>
      </c>
      <c r="C763" s="6">
        <v>161.29</v>
      </c>
      <c r="D763" s="6">
        <v>20</v>
      </c>
      <c r="E763" s="5" t="s">
        <v>10</v>
      </c>
      <c r="F763" s="5">
        <v>211</v>
      </c>
      <c r="G763" s="5" t="s">
        <v>619</v>
      </c>
      <c r="H763" s="6">
        <v>4.25</v>
      </c>
      <c r="I763" s="5">
        <v>6</v>
      </c>
      <c r="J763" s="5" t="s">
        <v>4</v>
      </c>
      <c r="K763" s="5" t="s">
        <v>3</v>
      </c>
      <c r="L763" s="5">
        <v>107</v>
      </c>
      <c r="M763" s="5">
        <v>86</v>
      </c>
      <c r="N763" s="5" t="s">
        <v>8</v>
      </c>
      <c r="O763" s="5" t="str">
        <f>_xlfn.IFS('Data set'!$H763&lt;5.7,"Normal",'Data set'!$H763&lt;=6.4,"Prediabetes",'Data set'!$H763&lt;=7.5,"Diabetes",'Data set'!$H763&gt;=7.5,"Uncontrolled")</f>
        <v>Normal</v>
      </c>
      <c r="P763" s="5" t="str">
        <f>_xlfn.IFS('Data set'!$F763&lt;120,"Low",'Data set'!$F763&lt;=200,"Normal",'Data set'!$F763&lt;=240,"Boarderline",'Data set'!$F763&gt;=241,"High")</f>
        <v>Boarderline</v>
      </c>
      <c r="Q763" s="5" t="str">
        <f>_xlfn.IFS('Data set'!$D763&lt;=18.5,"Low",'Data set'!$D763&lt;=24.9,"Normal",'Data set'!$D763&lt;=29.9,"High",'Data set'!$D763&gt;29.9,"Very High")</f>
        <v>Normal</v>
      </c>
    </row>
    <row r="764" spans="1:17" x14ac:dyDescent="0.25">
      <c r="A764" s="3">
        <v>78</v>
      </c>
      <c r="B764" s="3" t="s">
        <v>9</v>
      </c>
      <c r="C764" s="4">
        <v>189.26</v>
      </c>
      <c r="D764" s="4">
        <v>36.340000000000003</v>
      </c>
      <c r="E764" s="3" t="s">
        <v>1</v>
      </c>
      <c r="F764" s="3">
        <v>241</v>
      </c>
      <c r="G764" s="3" t="s">
        <v>620</v>
      </c>
      <c r="H764" s="4">
        <v>7.94</v>
      </c>
      <c r="I764" s="3">
        <v>3</v>
      </c>
      <c r="J764" s="3" t="s">
        <v>3</v>
      </c>
      <c r="K764" s="3" t="s">
        <v>3</v>
      </c>
      <c r="L764" s="3">
        <v>129</v>
      </c>
      <c r="M764" s="3">
        <v>80</v>
      </c>
      <c r="N764" s="3" t="s">
        <v>5</v>
      </c>
      <c r="O764" s="3" t="str">
        <f>_xlfn.IFS('Data set'!$H764&lt;5.7,"Normal",'Data set'!$H764&lt;=6.4,"Prediabetes",'Data set'!$H764&lt;=7.5,"Diabetes",'Data set'!$H764&gt;=7.5,"Uncontrolled")</f>
        <v>Uncontrolled</v>
      </c>
      <c r="P764" s="3" t="str">
        <f>_xlfn.IFS('Data set'!$F764&lt;120,"Low",'Data set'!$F764&lt;=200,"Normal",'Data set'!$F764&lt;=240,"Boarderline",'Data set'!$F764&gt;=241,"High")</f>
        <v>High</v>
      </c>
      <c r="Q764" s="3" t="str">
        <f>_xlfn.IFS('Data set'!$D764&lt;=18.5,"Low",'Data set'!$D764&lt;=24.9,"Normal",'Data set'!$D764&lt;=29.9,"High",'Data set'!$D764&gt;29.9,"Very High")</f>
        <v>Very High</v>
      </c>
    </row>
    <row r="765" spans="1:17" x14ac:dyDescent="0.25">
      <c r="A765" s="5">
        <v>45</v>
      </c>
      <c r="B765" s="5" t="s">
        <v>9</v>
      </c>
      <c r="C765" s="6">
        <v>153.59</v>
      </c>
      <c r="D765" s="6">
        <v>30.41</v>
      </c>
      <c r="E765" s="5" t="s">
        <v>14</v>
      </c>
      <c r="F765" s="5">
        <v>111</v>
      </c>
      <c r="G765" s="5" t="s">
        <v>346</v>
      </c>
      <c r="H765" s="6">
        <v>9.7799999999999994</v>
      </c>
      <c r="I765" s="5">
        <v>3</v>
      </c>
      <c r="J765" s="5" t="s">
        <v>4</v>
      </c>
      <c r="K765" s="5" t="s">
        <v>3</v>
      </c>
      <c r="L765" s="5">
        <v>132</v>
      </c>
      <c r="M765" s="5">
        <v>85</v>
      </c>
      <c r="N765" s="5" t="s">
        <v>23</v>
      </c>
      <c r="O765" s="5" t="str">
        <f>_xlfn.IFS('Data set'!$H765&lt;5.7,"Normal",'Data set'!$H765&lt;=6.4,"Prediabetes",'Data set'!$H765&lt;=7.5,"Diabetes",'Data set'!$H765&gt;=7.5,"Uncontrolled")</f>
        <v>Uncontrolled</v>
      </c>
      <c r="P765" s="5" t="str">
        <f>_xlfn.IFS('Data set'!$F765&lt;120,"Low",'Data set'!$F765&lt;=200,"Normal",'Data set'!$F765&lt;=240,"Boarderline",'Data set'!$F765&gt;=241,"High")</f>
        <v>Low</v>
      </c>
      <c r="Q765" s="5" t="str">
        <f>_xlfn.IFS('Data set'!$D765&lt;=18.5,"Low",'Data set'!$D765&lt;=24.9,"Normal",'Data set'!$D765&lt;=29.9,"High",'Data set'!$D765&gt;29.9,"Very High")</f>
        <v>Very High</v>
      </c>
    </row>
    <row r="766" spans="1:17" x14ac:dyDescent="0.25">
      <c r="A766" s="3">
        <v>67</v>
      </c>
      <c r="B766" s="3" t="s">
        <v>0</v>
      </c>
      <c r="C766" s="4">
        <v>215.03</v>
      </c>
      <c r="D766" s="4">
        <v>22.79</v>
      </c>
      <c r="E766" s="3" t="s">
        <v>1</v>
      </c>
      <c r="F766" s="3">
        <v>144</v>
      </c>
      <c r="G766" s="3" t="s">
        <v>621</v>
      </c>
      <c r="H766" s="4">
        <v>5.22</v>
      </c>
      <c r="I766" s="3">
        <v>2</v>
      </c>
      <c r="J766" s="3" t="s">
        <v>4</v>
      </c>
      <c r="K766" s="3" t="s">
        <v>4</v>
      </c>
      <c r="L766" s="3">
        <v>114</v>
      </c>
      <c r="M766" s="3">
        <v>63</v>
      </c>
      <c r="N766" s="3" t="s">
        <v>21</v>
      </c>
      <c r="O766" s="3" t="str">
        <f>_xlfn.IFS('Data set'!$H766&lt;5.7,"Normal",'Data set'!$H766&lt;=6.4,"Prediabetes",'Data set'!$H766&lt;=7.5,"Diabetes",'Data set'!$H766&gt;=7.5,"Uncontrolled")</f>
        <v>Normal</v>
      </c>
      <c r="P766" s="3" t="str">
        <f>_xlfn.IFS('Data set'!$F766&lt;120,"Low",'Data set'!$F766&lt;=200,"Normal",'Data set'!$F766&lt;=240,"Boarderline",'Data set'!$F766&gt;=241,"High")</f>
        <v>Normal</v>
      </c>
      <c r="Q766" s="3" t="str">
        <f>_xlfn.IFS('Data set'!$D766&lt;=18.5,"Low",'Data set'!$D766&lt;=24.9,"Normal",'Data set'!$D766&lt;=29.9,"High",'Data set'!$D766&gt;29.9,"Very High")</f>
        <v>Normal</v>
      </c>
    </row>
    <row r="767" spans="1:17" x14ac:dyDescent="0.25">
      <c r="A767" s="5">
        <v>56</v>
      </c>
      <c r="B767" s="5" t="s">
        <v>0</v>
      </c>
      <c r="C767" s="6">
        <v>235.75</v>
      </c>
      <c r="D767" s="6">
        <v>25.73</v>
      </c>
      <c r="E767" s="5" t="s">
        <v>6</v>
      </c>
      <c r="F767" s="5">
        <v>135</v>
      </c>
      <c r="G767" s="5" t="s">
        <v>622</v>
      </c>
      <c r="H767" s="6">
        <v>8.82</v>
      </c>
      <c r="I767" s="5">
        <v>6</v>
      </c>
      <c r="J767" s="5" t="s">
        <v>3</v>
      </c>
      <c r="K767" s="5" t="s">
        <v>3</v>
      </c>
      <c r="L767" s="5">
        <v>129</v>
      </c>
      <c r="M767" s="5">
        <v>77</v>
      </c>
      <c r="N767" s="5" t="s">
        <v>8</v>
      </c>
      <c r="O767" s="5" t="str">
        <f>_xlfn.IFS('Data set'!$H767&lt;5.7,"Normal",'Data set'!$H767&lt;=6.4,"Prediabetes",'Data set'!$H767&lt;=7.5,"Diabetes",'Data set'!$H767&gt;=7.5,"Uncontrolled")</f>
        <v>Uncontrolled</v>
      </c>
      <c r="P767" s="5" t="str">
        <f>_xlfn.IFS('Data set'!$F767&lt;120,"Low",'Data set'!$F767&lt;=200,"Normal",'Data set'!$F767&lt;=240,"Boarderline",'Data set'!$F767&gt;=241,"High")</f>
        <v>Normal</v>
      </c>
      <c r="Q767" s="5" t="str">
        <f>_xlfn.IFS('Data set'!$D767&lt;=18.5,"Low",'Data set'!$D767&lt;=24.9,"Normal",'Data set'!$D767&lt;=29.9,"High",'Data set'!$D767&gt;29.9,"Very High")</f>
        <v>High</v>
      </c>
    </row>
    <row r="768" spans="1:17" x14ac:dyDescent="0.25">
      <c r="A768" s="3">
        <v>49</v>
      </c>
      <c r="B768" s="3" t="s">
        <v>0</v>
      </c>
      <c r="C768" s="4">
        <v>91.06</v>
      </c>
      <c r="D768" s="4">
        <v>24.13</v>
      </c>
      <c r="E768" s="3" t="s">
        <v>1</v>
      </c>
      <c r="F768" s="3">
        <v>213</v>
      </c>
      <c r="G768" s="3" t="s">
        <v>33</v>
      </c>
      <c r="H768" s="4">
        <v>9.34</v>
      </c>
      <c r="I768" s="3">
        <v>4</v>
      </c>
      <c r="J768" s="3" t="s">
        <v>4</v>
      </c>
      <c r="K768" s="3" t="s">
        <v>3</v>
      </c>
      <c r="L768" s="3">
        <v>137</v>
      </c>
      <c r="M768" s="3">
        <v>82</v>
      </c>
      <c r="N768" s="3" t="s">
        <v>23</v>
      </c>
      <c r="O768" s="3" t="str">
        <f>_xlfn.IFS('Data set'!$H768&lt;5.7,"Normal",'Data set'!$H768&lt;=6.4,"Prediabetes",'Data set'!$H768&lt;=7.5,"Diabetes",'Data set'!$H768&gt;=7.5,"Uncontrolled")</f>
        <v>Uncontrolled</v>
      </c>
      <c r="P768" s="3" t="str">
        <f>_xlfn.IFS('Data set'!$F768&lt;120,"Low",'Data set'!$F768&lt;=200,"Normal",'Data set'!$F768&lt;=240,"Boarderline",'Data set'!$F768&gt;=241,"High")</f>
        <v>Boarderline</v>
      </c>
      <c r="Q768" s="3" t="str">
        <f>_xlfn.IFS('Data set'!$D768&lt;=18.5,"Low",'Data set'!$D768&lt;=24.9,"Normal",'Data set'!$D768&lt;=29.9,"High",'Data set'!$D768&gt;29.9,"Very High")</f>
        <v>Normal</v>
      </c>
    </row>
    <row r="769" spans="1:17" x14ac:dyDescent="0.25">
      <c r="A769" s="5">
        <v>64</v>
      </c>
      <c r="B769" s="5" t="s">
        <v>9</v>
      </c>
      <c r="C769" s="6">
        <v>192.41</v>
      </c>
      <c r="D769" s="6">
        <v>24.94</v>
      </c>
      <c r="E769" s="5" t="s">
        <v>6</v>
      </c>
      <c r="F769" s="5">
        <v>216</v>
      </c>
      <c r="G769" s="5" t="s">
        <v>427</v>
      </c>
      <c r="H769" s="6">
        <v>6.52</v>
      </c>
      <c r="I769" s="5">
        <v>1</v>
      </c>
      <c r="J769" s="5" t="s">
        <v>4</v>
      </c>
      <c r="K769" s="5" t="s">
        <v>3</v>
      </c>
      <c r="L769" s="5">
        <v>126</v>
      </c>
      <c r="M769" s="5">
        <v>75</v>
      </c>
      <c r="N769" s="5" t="s">
        <v>21</v>
      </c>
      <c r="O769" s="5" t="str">
        <f>_xlfn.IFS('Data set'!$H769&lt;5.7,"Normal",'Data set'!$H769&lt;=6.4,"Prediabetes",'Data set'!$H769&lt;=7.5,"Diabetes",'Data set'!$H769&gt;=7.5,"Uncontrolled")</f>
        <v>Diabetes</v>
      </c>
      <c r="P769" s="5" t="str">
        <f>_xlfn.IFS('Data set'!$F769&lt;120,"Low",'Data set'!$F769&lt;=200,"Normal",'Data set'!$F769&lt;=240,"Boarderline",'Data set'!$F769&gt;=241,"High")</f>
        <v>Boarderline</v>
      </c>
      <c r="Q769" s="5" t="str">
        <f>_xlfn.IFS('Data set'!$D769&lt;=18.5,"Low",'Data set'!$D769&lt;=24.9,"Normal",'Data set'!$D769&lt;=29.9,"High",'Data set'!$D769&gt;29.9,"Very High")</f>
        <v>High</v>
      </c>
    </row>
    <row r="770" spans="1:17" x14ac:dyDescent="0.25">
      <c r="A770" s="3">
        <v>35</v>
      </c>
      <c r="B770" s="3" t="s">
        <v>9</v>
      </c>
      <c r="C770" s="4">
        <v>173.47</v>
      </c>
      <c r="D770" s="4">
        <v>26.41</v>
      </c>
      <c r="E770" s="3" t="s">
        <v>6</v>
      </c>
      <c r="F770" s="3">
        <v>252</v>
      </c>
      <c r="G770" s="3" t="s">
        <v>528</v>
      </c>
      <c r="H770" s="4">
        <v>7.41</v>
      </c>
      <c r="I770" s="3">
        <v>6</v>
      </c>
      <c r="J770" s="3" t="s">
        <v>3</v>
      </c>
      <c r="K770" s="3" t="s">
        <v>4</v>
      </c>
      <c r="L770" s="3">
        <v>138</v>
      </c>
      <c r="M770" s="3">
        <v>64</v>
      </c>
      <c r="N770" s="3" t="s">
        <v>12</v>
      </c>
      <c r="O770" s="3" t="str">
        <f>_xlfn.IFS('Data set'!$H770&lt;5.7,"Normal",'Data set'!$H770&lt;=6.4,"Prediabetes",'Data set'!$H770&lt;=7.5,"Diabetes",'Data set'!$H770&gt;=7.5,"Uncontrolled")</f>
        <v>Diabetes</v>
      </c>
      <c r="P770" s="3" t="str">
        <f>_xlfn.IFS('Data set'!$F770&lt;120,"Low",'Data set'!$F770&lt;=200,"Normal",'Data set'!$F770&lt;=240,"Boarderline",'Data set'!$F770&gt;=241,"High")</f>
        <v>High</v>
      </c>
      <c r="Q770" s="3" t="str">
        <f>_xlfn.IFS('Data set'!$D770&lt;=18.5,"Low",'Data set'!$D770&lt;=24.9,"Normal",'Data set'!$D770&lt;=29.9,"High",'Data set'!$D770&gt;29.9,"Very High")</f>
        <v>High</v>
      </c>
    </row>
    <row r="771" spans="1:17" x14ac:dyDescent="0.25">
      <c r="A771" s="5">
        <v>63</v>
      </c>
      <c r="B771" s="5" t="s">
        <v>0</v>
      </c>
      <c r="C771" s="6">
        <v>294.01</v>
      </c>
      <c r="D771" s="6">
        <v>35.270000000000003</v>
      </c>
      <c r="E771" s="5" t="s">
        <v>1</v>
      </c>
      <c r="F771" s="5">
        <v>248</v>
      </c>
      <c r="G771" s="5" t="s">
        <v>623</v>
      </c>
      <c r="H771" s="6">
        <v>4.1100000000000003</v>
      </c>
      <c r="I771" s="5">
        <v>4</v>
      </c>
      <c r="J771" s="5" t="s">
        <v>4</v>
      </c>
      <c r="K771" s="5" t="s">
        <v>4</v>
      </c>
      <c r="L771" s="5">
        <v>131</v>
      </c>
      <c r="M771" s="5">
        <v>76</v>
      </c>
      <c r="N771" s="5" t="s">
        <v>21</v>
      </c>
      <c r="O771" s="5" t="str">
        <f>_xlfn.IFS('Data set'!$H771&lt;5.7,"Normal",'Data set'!$H771&lt;=6.4,"Prediabetes",'Data set'!$H771&lt;=7.5,"Diabetes",'Data set'!$H771&gt;=7.5,"Uncontrolled")</f>
        <v>Normal</v>
      </c>
      <c r="P771" s="5" t="str">
        <f>_xlfn.IFS('Data set'!$F771&lt;120,"Low",'Data set'!$F771&lt;=200,"Normal",'Data set'!$F771&lt;=240,"Boarderline",'Data set'!$F771&gt;=241,"High")</f>
        <v>High</v>
      </c>
      <c r="Q771" s="5" t="str">
        <f>_xlfn.IFS('Data set'!$D771&lt;=18.5,"Low",'Data set'!$D771&lt;=24.9,"Normal",'Data set'!$D771&lt;=29.9,"High",'Data set'!$D771&gt;29.9,"Very High")</f>
        <v>Very High</v>
      </c>
    </row>
    <row r="772" spans="1:17" x14ac:dyDescent="0.25">
      <c r="A772" s="3">
        <v>60</v>
      </c>
      <c r="B772" s="3" t="s">
        <v>9</v>
      </c>
      <c r="C772" s="4">
        <v>227.69</v>
      </c>
      <c r="D772" s="4">
        <v>35.130000000000003</v>
      </c>
      <c r="E772" s="3" t="s">
        <v>6</v>
      </c>
      <c r="F772" s="3">
        <v>210</v>
      </c>
      <c r="G772" s="3" t="s">
        <v>624</v>
      </c>
      <c r="H772" s="4">
        <v>7.74</v>
      </c>
      <c r="I772" s="3">
        <v>6</v>
      </c>
      <c r="J772" s="3" t="s">
        <v>3</v>
      </c>
      <c r="K772" s="3" t="s">
        <v>4</v>
      </c>
      <c r="L772" s="3">
        <v>102</v>
      </c>
      <c r="M772" s="3">
        <v>60</v>
      </c>
      <c r="N772" s="3" t="s">
        <v>8</v>
      </c>
      <c r="O772" s="3" t="str">
        <f>_xlfn.IFS('Data set'!$H772&lt;5.7,"Normal",'Data set'!$H772&lt;=6.4,"Prediabetes",'Data set'!$H772&lt;=7.5,"Diabetes",'Data set'!$H772&gt;=7.5,"Uncontrolled")</f>
        <v>Uncontrolled</v>
      </c>
      <c r="P772" s="3" t="str">
        <f>_xlfn.IFS('Data set'!$F772&lt;120,"Low",'Data set'!$F772&lt;=200,"Normal",'Data set'!$F772&lt;=240,"Boarderline",'Data set'!$F772&gt;=241,"High")</f>
        <v>Boarderline</v>
      </c>
      <c r="Q772" s="3" t="str">
        <f>_xlfn.IFS('Data set'!$D772&lt;=18.5,"Low",'Data set'!$D772&lt;=24.9,"Normal",'Data set'!$D772&lt;=29.9,"High",'Data set'!$D772&gt;29.9,"Very High")</f>
        <v>Very High</v>
      </c>
    </row>
    <row r="773" spans="1:17" x14ac:dyDescent="0.25">
      <c r="A773" s="5">
        <v>29</v>
      </c>
      <c r="B773" s="5" t="s">
        <v>0</v>
      </c>
      <c r="C773" s="6">
        <v>80.84</v>
      </c>
      <c r="D773" s="6">
        <v>34.869999999999997</v>
      </c>
      <c r="E773" s="5" t="s">
        <v>1</v>
      </c>
      <c r="F773" s="5">
        <v>264</v>
      </c>
      <c r="G773" s="5" t="s">
        <v>56</v>
      </c>
      <c r="H773" s="6">
        <v>7.79</v>
      </c>
      <c r="I773" s="5">
        <v>5</v>
      </c>
      <c r="J773" s="5" t="s">
        <v>4</v>
      </c>
      <c r="K773" s="5" t="s">
        <v>4</v>
      </c>
      <c r="L773" s="5">
        <v>96</v>
      </c>
      <c r="M773" s="5">
        <v>76</v>
      </c>
      <c r="N773" s="5" t="s">
        <v>17</v>
      </c>
      <c r="O773" s="5" t="str">
        <f>_xlfn.IFS('Data set'!$H773&lt;5.7,"Normal",'Data set'!$H773&lt;=6.4,"Prediabetes",'Data set'!$H773&lt;=7.5,"Diabetes",'Data set'!$H773&gt;=7.5,"Uncontrolled")</f>
        <v>Uncontrolled</v>
      </c>
      <c r="P773" s="5" t="str">
        <f>_xlfn.IFS('Data set'!$F773&lt;120,"Low",'Data set'!$F773&lt;=200,"Normal",'Data set'!$F773&lt;=240,"Boarderline",'Data set'!$F773&gt;=241,"High")</f>
        <v>High</v>
      </c>
      <c r="Q773" s="5" t="str">
        <f>_xlfn.IFS('Data set'!$D773&lt;=18.5,"Low",'Data set'!$D773&lt;=24.9,"Normal",'Data set'!$D773&lt;=29.9,"High",'Data set'!$D773&gt;29.9,"Very High")</f>
        <v>Very High</v>
      </c>
    </row>
    <row r="774" spans="1:17" x14ac:dyDescent="0.25">
      <c r="A774" s="3">
        <v>63</v>
      </c>
      <c r="B774" s="3" t="s">
        <v>9</v>
      </c>
      <c r="C774" s="4">
        <v>284.62</v>
      </c>
      <c r="D774" s="4">
        <v>37.630000000000003</v>
      </c>
      <c r="E774" s="3" t="s">
        <v>6</v>
      </c>
      <c r="F774" s="3">
        <v>276</v>
      </c>
      <c r="G774" s="3" t="s">
        <v>120</v>
      </c>
      <c r="H774" s="4">
        <v>6.18</v>
      </c>
      <c r="I774" s="3">
        <v>7</v>
      </c>
      <c r="J774" s="3" t="s">
        <v>3</v>
      </c>
      <c r="K774" s="3" t="s">
        <v>3</v>
      </c>
      <c r="L774" s="3">
        <v>95</v>
      </c>
      <c r="M774" s="3">
        <v>84</v>
      </c>
      <c r="N774" s="3" t="s">
        <v>21</v>
      </c>
      <c r="O774" s="3" t="str">
        <f>_xlfn.IFS('Data set'!$H774&lt;5.7,"Normal",'Data set'!$H774&lt;=6.4,"Prediabetes",'Data set'!$H774&lt;=7.5,"Diabetes",'Data set'!$H774&gt;=7.5,"Uncontrolled")</f>
        <v>Prediabetes</v>
      </c>
      <c r="P774" s="3" t="str">
        <f>_xlfn.IFS('Data set'!$F774&lt;120,"Low",'Data set'!$F774&lt;=200,"Normal",'Data set'!$F774&lt;=240,"Boarderline",'Data set'!$F774&gt;=241,"High")</f>
        <v>High</v>
      </c>
      <c r="Q774" s="3" t="str">
        <f>_xlfn.IFS('Data set'!$D774&lt;=18.5,"Low",'Data set'!$D774&lt;=24.9,"Normal",'Data set'!$D774&lt;=29.9,"High",'Data set'!$D774&gt;29.9,"Very High")</f>
        <v>Very High</v>
      </c>
    </row>
    <row r="775" spans="1:17" x14ac:dyDescent="0.25">
      <c r="A775" s="5">
        <v>19</v>
      </c>
      <c r="B775" s="5" t="s">
        <v>9</v>
      </c>
      <c r="C775" s="6">
        <v>99.62</v>
      </c>
      <c r="D775" s="6">
        <v>25.75</v>
      </c>
      <c r="E775" s="5" t="s">
        <v>1</v>
      </c>
      <c r="F775" s="5">
        <v>117</v>
      </c>
      <c r="G775" s="5" t="s">
        <v>439</v>
      </c>
      <c r="H775" s="6">
        <v>5.54</v>
      </c>
      <c r="I775" s="5">
        <v>3</v>
      </c>
      <c r="J775" s="5" t="s">
        <v>3</v>
      </c>
      <c r="K775" s="5" t="s">
        <v>3</v>
      </c>
      <c r="L775" s="5">
        <v>99</v>
      </c>
      <c r="M775" s="5">
        <v>88</v>
      </c>
      <c r="N775" s="5" t="s">
        <v>17</v>
      </c>
      <c r="O775" s="5" t="str">
        <f>_xlfn.IFS('Data set'!$H775&lt;5.7,"Normal",'Data set'!$H775&lt;=6.4,"Prediabetes",'Data set'!$H775&lt;=7.5,"Diabetes",'Data set'!$H775&gt;=7.5,"Uncontrolled")</f>
        <v>Normal</v>
      </c>
      <c r="P775" s="5" t="str">
        <f>_xlfn.IFS('Data set'!$F775&lt;120,"Low",'Data set'!$F775&lt;=200,"Normal",'Data set'!$F775&lt;=240,"Boarderline",'Data set'!$F775&gt;=241,"High")</f>
        <v>Low</v>
      </c>
      <c r="Q775" s="5" t="str">
        <f>_xlfn.IFS('Data set'!$D775&lt;=18.5,"Low",'Data set'!$D775&lt;=24.9,"Normal",'Data set'!$D775&lt;=29.9,"High",'Data set'!$D775&gt;29.9,"Very High")</f>
        <v>High</v>
      </c>
    </row>
    <row r="776" spans="1:17" x14ac:dyDescent="0.25">
      <c r="A776" s="3">
        <v>39</v>
      </c>
      <c r="B776" s="3" t="s">
        <v>9</v>
      </c>
      <c r="C776" s="4">
        <v>290.02999999999997</v>
      </c>
      <c r="D776" s="4">
        <v>18.850000000000001</v>
      </c>
      <c r="E776" s="3" t="s">
        <v>1</v>
      </c>
      <c r="F776" s="3">
        <v>248</v>
      </c>
      <c r="G776" s="3" t="s">
        <v>625</v>
      </c>
      <c r="H776" s="4">
        <v>8.9700000000000006</v>
      </c>
      <c r="I776" s="3">
        <v>5</v>
      </c>
      <c r="J776" s="3" t="s">
        <v>3</v>
      </c>
      <c r="K776" s="3" t="s">
        <v>3</v>
      </c>
      <c r="L776" s="3">
        <v>97</v>
      </c>
      <c r="M776" s="3">
        <v>72</v>
      </c>
      <c r="N776" s="3" t="s">
        <v>12</v>
      </c>
      <c r="O776" s="3" t="str">
        <f>_xlfn.IFS('Data set'!$H776&lt;5.7,"Normal",'Data set'!$H776&lt;=6.4,"Prediabetes",'Data set'!$H776&lt;=7.5,"Diabetes",'Data set'!$H776&gt;=7.5,"Uncontrolled")</f>
        <v>Uncontrolled</v>
      </c>
      <c r="P776" s="3" t="str">
        <f>_xlfn.IFS('Data set'!$F776&lt;120,"Low",'Data set'!$F776&lt;=200,"Normal",'Data set'!$F776&lt;=240,"Boarderline",'Data set'!$F776&gt;=241,"High")</f>
        <v>High</v>
      </c>
      <c r="Q776" s="3" t="str">
        <f>_xlfn.IFS('Data set'!$D776&lt;=18.5,"Low",'Data set'!$D776&lt;=24.9,"Normal",'Data set'!$D776&lt;=29.9,"High",'Data set'!$D776&gt;29.9,"Very High")</f>
        <v>Normal</v>
      </c>
    </row>
    <row r="777" spans="1:17" x14ac:dyDescent="0.25">
      <c r="A777" s="5">
        <v>36</v>
      </c>
      <c r="B777" s="5" t="s">
        <v>0</v>
      </c>
      <c r="C777" s="6">
        <v>223.11</v>
      </c>
      <c r="D777" s="6">
        <v>22.91</v>
      </c>
      <c r="E777" s="5" t="s">
        <v>6</v>
      </c>
      <c r="F777" s="5">
        <v>266</v>
      </c>
      <c r="G777" s="5" t="s">
        <v>626</v>
      </c>
      <c r="H777" s="6">
        <v>4.82</v>
      </c>
      <c r="I777" s="5">
        <v>5</v>
      </c>
      <c r="J777" s="5" t="s">
        <v>4</v>
      </c>
      <c r="K777" s="5" t="s">
        <v>4</v>
      </c>
      <c r="L777" s="5">
        <v>126</v>
      </c>
      <c r="M777" s="5">
        <v>74</v>
      </c>
      <c r="N777" s="5" t="s">
        <v>12</v>
      </c>
      <c r="O777" s="5" t="str">
        <f>_xlfn.IFS('Data set'!$H777&lt;5.7,"Normal",'Data set'!$H777&lt;=6.4,"Prediabetes",'Data set'!$H777&lt;=7.5,"Diabetes",'Data set'!$H777&gt;=7.5,"Uncontrolled")</f>
        <v>Normal</v>
      </c>
      <c r="P777" s="5" t="str">
        <f>_xlfn.IFS('Data set'!$F777&lt;120,"Low",'Data set'!$F777&lt;=200,"Normal",'Data set'!$F777&lt;=240,"Boarderline",'Data set'!$F777&gt;=241,"High")</f>
        <v>High</v>
      </c>
      <c r="Q777" s="5" t="str">
        <f>_xlfn.IFS('Data set'!$D777&lt;=18.5,"Low",'Data set'!$D777&lt;=24.9,"Normal",'Data set'!$D777&lt;=29.9,"High",'Data set'!$D777&gt;29.9,"Very High")</f>
        <v>Normal</v>
      </c>
    </row>
    <row r="778" spans="1:17" x14ac:dyDescent="0.25">
      <c r="A778" s="3">
        <v>24</v>
      </c>
      <c r="B778" s="3" t="s">
        <v>0</v>
      </c>
      <c r="C778" s="4">
        <v>268.61</v>
      </c>
      <c r="D778" s="4">
        <v>39.6</v>
      </c>
      <c r="E778" s="3" t="s">
        <v>1</v>
      </c>
      <c r="F778" s="3">
        <v>245</v>
      </c>
      <c r="G778" s="3" t="s">
        <v>550</v>
      </c>
      <c r="H778" s="4">
        <v>6.92</v>
      </c>
      <c r="I778" s="3">
        <v>4</v>
      </c>
      <c r="J778" s="3" t="s">
        <v>3</v>
      </c>
      <c r="K778" s="3" t="s">
        <v>3</v>
      </c>
      <c r="L778" s="3">
        <v>95</v>
      </c>
      <c r="M778" s="3">
        <v>62</v>
      </c>
      <c r="N778" s="3" t="s">
        <v>17</v>
      </c>
      <c r="O778" s="3" t="str">
        <f>_xlfn.IFS('Data set'!$H778&lt;5.7,"Normal",'Data set'!$H778&lt;=6.4,"Prediabetes",'Data set'!$H778&lt;=7.5,"Diabetes",'Data set'!$H778&gt;=7.5,"Uncontrolled")</f>
        <v>Diabetes</v>
      </c>
      <c r="P778" s="3" t="str">
        <f>_xlfn.IFS('Data set'!$F778&lt;120,"Low",'Data set'!$F778&lt;=200,"Normal",'Data set'!$F778&lt;=240,"Boarderline",'Data set'!$F778&gt;=241,"High")</f>
        <v>High</v>
      </c>
      <c r="Q778" s="3" t="str">
        <f>_xlfn.IFS('Data set'!$D778&lt;=18.5,"Low",'Data set'!$D778&lt;=24.9,"Normal",'Data set'!$D778&lt;=29.9,"High",'Data set'!$D778&gt;29.9,"Very High")</f>
        <v>Very High</v>
      </c>
    </row>
    <row r="779" spans="1:17" x14ac:dyDescent="0.25">
      <c r="A779" s="5">
        <v>56</v>
      </c>
      <c r="B779" s="5" t="s">
        <v>9</v>
      </c>
      <c r="C779" s="6">
        <v>198.57</v>
      </c>
      <c r="D779" s="6">
        <v>27.31</v>
      </c>
      <c r="E779" s="5" t="s">
        <v>14</v>
      </c>
      <c r="F779" s="5">
        <v>279</v>
      </c>
      <c r="G779" s="5" t="s">
        <v>455</v>
      </c>
      <c r="H779" s="6">
        <v>8.07</v>
      </c>
      <c r="I779" s="5">
        <v>5</v>
      </c>
      <c r="J779" s="5" t="s">
        <v>4</v>
      </c>
      <c r="K779" s="5" t="s">
        <v>4</v>
      </c>
      <c r="L779" s="5">
        <v>108</v>
      </c>
      <c r="M779" s="5">
        <v>71</v>
      </c>
      <c r="N779" s="5" t="s">
        <v>8</v>
      </c>
      <c r="O779" s="5" t="str">
        <f>_xlfn.IFS('Data set'!$H779&lt;5.7,"Normal",'Data set'!$H779&lt;=6.4,"Prediabetes",'Data set'!$H779&lt;=7.5,"Diabetes",'Data set'!$H779&gt;=7.5,"Uncontrolled")</f>
        <v>Uncontrolled</v>
      </c>
      <c r="P779" s="5" t="str">
        <f>_xlfn.IFS('Data set'!$F779&lt;120,"Low",'Data set'!$F779&lt;=200,"Normal",'Data set'!$F779&lt;=240,"Boarderline",'Data set'!$F779&gt;=241,"High")</f>
        <v>High</v>
      </c>
      <c r="Q779" s="5" t="str">
        <f>_xlfn.IFS('Data set'!$D779&lt;=18.5,"Low",'Data set'!$D779&lt;=24.9,"Normal",'Data set'!$D779&lt;=29.9,"High",'Data set'!$D779&gt;29.9,"Very High")</f>
        <v>High</v>
      </c>
    </row>
    <row r="780" spans="1:17" x14ac:dyDescent="0.25">
      <c r="A780" s="3">
        <v>43</v>
      </c>
      <c r="B780" s="3" t="s">
        <v>0</v>
      </c>
      <c r="C780" s="4">
        <v>182.55</v>
      </c>
      <c r="D780" s="4">
        <v>39.74</v>
      </c>
      <c r="E780" s="3" t="s">
        <v>1</v>
      </c>
      <c r="F780" s="3">
        <v>244</v>
      </c>
      <c r="G780" s="3" t="s">
        <v>627</v>
      </c>
      <c r="H780" s="4">
        <v>8.73</v>
      </c>
      <c r="I780" s="3">
        <v>1</v>
      </c>
      <c r="J780" s="3" t="s">
        <v>3</v>
      </c>
      <c r="K780" s="3" t="s">
        <v>3</v>
      </c>
      <c r="L780" s="3">
        <v>114</v>
      </c>
      <c r="M780" s="3">
        <v>89</v>
      </c>
      <c r="N780" s="3" t="s">
        <v>23</v>
      </c>
      <c r="O780" s="3" t="str">
        <f>_xlfn.IFS('Data set'!$H780&lt;5.7,"Normal",'Data set'!$H780&lt;=6.4,"Prediabetes",'Data set'!$H780&lt;=7.5,"Diabetes",'Data set'!$H780&gt;=7.5,"Uncontrolled")</f>
        <v>Uncontrolled</v>
      </c>
      <c r="P780" s="3" t="str">
        <f>_xlfn.IFS('Data set'!$F780&lt;120,"Low",'Data set'!$F780&lt;=200,"Normal",'Data set'!$F780&lt;=240,"Boarderline",'Data set'!$F780&gt;=241,"High")</f>
        <v>High</v>
      </c>
      <c r="Q780" s="3" t="str">
        <f>_xlfn.IFS('Data set'!$D780&lt;=18.5,"Low",'Data set'!$D780&lt;=24.9,"Normal",'Data set'!$D780&lt;=29.9,"High",'Data set'!$D780&gt;29.9,"Very High")</f>
        <v>Very High</v>
      </c>
    </row>
    <row r="781" spans="1:17" x14ac:dyDescent="0.25">
      <c r="A781" s="5">
        <v>42</v>
      </c>
      <c r="B781" s="5" t="s">
        <v>0</v>
      </c>
      <c r="C781" s="6">
        <v>100.06</v>
      </c>
      <c r="D781" s="6">
        <v>38.020000000000003</v>
      </c>
      <c r="E781" s="5" t="s">
        <v>10</v>
      </c>
      <c r="F781" s="5">
        <v>173</v>
      </c>
      <c r="G781" s="5" t="s">
        <v>628</v>
      </c>
      <c r="H781" s="6">
        <v>9.76</v>
      </c>
      <c r="I781" s="5">
        <v>5</v>
      </c>
      <c r="J781" s="5" t="s">
        <v>4</v>
      </c>
      <c r="K781" s="5" t="s">
        <v>4</v>
      </c>
      <c r="L781" s="5">
        <v>127</v>
      </c>
      <c r="M781" s="5">
        <v>65</v>
      </c>
      <c r="N781" s="5" t="s">
        <v>23</v>
      </c>
      <c r="O781" s="5" t="str">
        <f>_xlfn.IFS('Data set'!$H781&lt;5.7,"Normal",'Data set'!$H781&lt;=6.4,"Prediabetes",'Data set'!$H781&lt;=7.5,"Diabetes",'Data set'!$H781&gt;=7.5,"Uncontrolled")</f>
        <v>Uncontrolled</v>
      </c>
      <c r="P781" s="5" t="str">
        <f>_xlfn.IFS('Data set'!$F781&lt;120,"Low",'Data set'!$F781&lt;=200,"Normal",'Data set'!$F781&lt;=240,"Boarderline",'Data set'!$F781&gt;=241,"High")</f>
        <v>Normal</v>
      </c>
      <c r="Q781" s="5" t="str">
        <f>_xlfn.IFS('Data set'!$D781&lt;=18.5,"Low",'Data set'!$D781&lt;=24.9,"Normal",'Data set'!$D781&lt;=29.9,"High",'Data set'!$D781&gt;29.9,"Very High")</f>
        <v>Very High</v>
      </c>
    </row>
    <row r="782" spans="1:17" x14ac:dyDescent="0.25">
      <c r="A782" s="3">
        <v>18</v>
      </c>
      <c r="B782" s="3" t="s">
        <v>0</v>
      </c>
      <c r="C782" s="4">
        <v>108.56</v>
      </c>
      <c r="D782" s="4">
        <v>35.020000000000003</v>
      </c>
      <c r="E782" s="3" t="s">
        <v>6</v>
      </c>
      <c r="F782" s="3">
        <v>296</v>
      </c>
      <c r="G782" s="3" t="s">
        <v>532</v>
      </c>
      <c r="H782" s="4">
        <v>5.34</v>
      </c>
      <c r="I782" s="3">
        <v>0</v>
      </c>
      <c r="J782" s="3" t="s">
        <v>4</v>
      </c>
      <c r="K782" s="3" t="s">
        <v>4</v>
      </c>
      <c r="L782" s="3">
        <v>126</v>
      </c>
      <c r="M782" s="3">
        <v>67</v>
      </c>
      <c r="N782" s="3" t="s">
        <v>17</v>
      </c>
      <c r="O782" s="3" t="str">
        <f>_xlfn.IFS('Data set'!$H782&lt;5.7,"Normal",'Data set'!$H782&lt;=6.4,"Prediabetes",'Data set'!$H782&lt;=7.5,"Diabetes",'Data set'!$H782&gt;=7.5,"Uncontrolled")</f>
        <v>Normal</v>
      </c>
      <c r="P782" s="3" t="str">
        <f>_xlfn.IFS('Data set'!$F782&lt;120,"Low",'Data set'!$F782&lt;=200,"Normal",'Data set'!$F782&lt;=240,"Boarderline",'Data set'!$F782&gt;=241,"High")</f>
        <v>High</v>
      </c>
      <c r="Q782" s="3" t="str">
        <f>_xlfn.IFS('Data set'!$D782&lt;=18.5,"Low",'Data set'!$D782&lt;=24.9,"Normal",'Data set'!$D782&lt;=29.9,"High",'Data set'!$D782&gt;29.9,"Very High")</f>
        <v>Very High</v>
      </c>
    </row>
    <row r="783" spans="1:17" x14ac:dyDescent="0.25">
      <c r="A783" s="5">
        <v>74</v>
      </c>
      <c r="B783" s="5" t="s">
        <v>9</v>
      </c>
      <c r="C783" s="6">
        <v>256.22000000000003</v>
      </c>
      <c r="D783" s="6">
        <v>32.409999999999997</v>
      </c>
      <c r="E783" s="5" t="s">
        <v>14</v>
      </c>
      <c r="F783" s="5">
        <v>101</v>
      </c>
      <c r="G783" s="5" t="s">
        <v>629</v>
      </c>
      <c r="H783" s="6">
        <v>5.49</v>
      </c>
      <c r="I783" s="5">
        <v>6</v>
      </c>
      <c r="J783" s="5" t="s">
        <v>4</v>
      </c>
      <c r="K783" s="5" t="s">
        <v>4</v>
      </c>
      <c r="L783" s="5">
        <v>96</v>
      </c>
      <c r="M783" s="5">
        <v>60</v>
      </c>
      <c r="N783" s="5" t="s">
        <v>5</v>
      </c>
      <c r="O783" s="5" t="str">
        <f>_xlfn.IFS('Data set'!$H783&lt;5.7,"Normal",'Data set'!$H783&lt;=6.4,"Prediabetes",'Data set'!$H783&lt;=7.5,"Diabetes",'Data set'!$H783&gt;=7.5,"Uncontrolled")</f>
        <v>Normal</v>
      </c>
      <c r="P783" s="5" t="str">
        <f>_xlfn.IFS('Data set'!$F783&lt;120,"Low",'Data set'!$F783&lt;=200,"Normal",'Data set'!$F783&lt;=240,"Boarderline",'Data set'!$F783&gt;=241,"High")</f>
        <v>Low</v>
      </c>
      <c r="Q783" s="5" t="str">
        <f>_xlfn.IFS('Data set'!$D783&lt;=18.5,"Low",'Data set'!$D783&lt;=24.9,"Normal",'Data set'!$D783&lt;=29.9,"High",'Data set'!$D783&gt;29.9,"Very High")</f>
        <v>Very High</v>
      </c>
    </row>
    <row r="784" spans="1:17" x14ac:dyDescent="0.25">
      <c r="A784" s="3">
        <v>58</v>
      </c>
      <c r="B784" s="3" t="s">
        <v>9</v>
      </c>
      <c r="C784" s="4">
        <v>258.81</v>
      </c>
      <c r="D784" s="4">
        <v>30.59</v>
      </c>
      <c r="E784" s="3" t="s">
        <v>14</v>
      </c>
      <c r="F784" s="3">
        <v>260</v>
      </c>
      <c r="G784" s="3" t="s">
        <v>630</v>
      </c>
      <c r="H784" s="4">
        <v>5.0599999999999996</v>
      </c>
      <c r="I784" s="3">
        <v>4</v>
      </c>
      <c r="J784" s="3" t="s">
        <v>3</v>
      </c>
      <c r="K784" s="3" t="s">
        <v>3</v>
      </c>
      <c r="L784" s="3">
        <v>136</v>
      </c>
      <c r="M784" s="3">
        <v>84</v>
      </c>
      <c r="N784" s="3" t="s">
        <v>8</v>
      </c>
      <c r="O784" s="3" t="str">
        <f>_xlfn.IFS('Data set'!$H784&lt;5.7,"Normal",'Data set'!$H784&lt;=6.4,"Prediabetes",'Data set'!$H784&lt;=7.5,"Diabetes",'Data set'!$H784&gt;=7.5,"Uncontrolled")</f>
        <v>Normal</v>
      </c>
      <c r="P784" s="3" t="str">
        <f>_xlfn.IFS('Data set'!$F784&lt;120,"Low",'Data set'!$F784&lt;=200,"Normal",'Data set'!$F784&lt;=240,"Boarderline",'Data set'!$F784&gt;=241,"High")</f>
        <v>High</v>
      </c>
      <c r="Q784" s="3" t="str">
        <f>_xlfn.IFS('Data set'!$D784&lt;=18.5,"Low",'Data set'!$D784&lt;=24.9,"Normal",'Data set'!$D784&lt;=29.9,"High",'Data set'!$D784&gt;29.9,"Very High")</f>
        <v>Very High</v>
      </c>
    </row>
    <row r="785" spans="1:17" x14ac:dyDescent="0.25">
      <c r="A785" s="5">
        <v>21</v>
      </c>
      <c r="B785" s="5" t="s">
        <v>9</v>
      </c>
      <c r="C785" s="6">
        <v>210.99</v>
      </c>
      <c r="D785" s="6">
        <v>36.450000000000003</v>
      </c>
      <c r="E785" s="5" t="s">
        <v>1</v>
      </c>
      <c r="F785" s="5">
        <v>161</v>
      </c>
      <c r="G785" s="5" t="s">
        <v>152</v>
      </c>
      <c r="H785" s="6">
        <v>8.94</v>
      </c>
      <c r="I785" s="5">
        <v>5</v>
      </c>
      <c r="J785" s="5" t="s">
        <v>4</v>
      </c>
      <c r="K785" s="5" t="s">
        <v>4</v>
      </c>
      <c r="L785" s="5">
        <v>140</v>
      </c>
      <c r="M785" s="5">
        <v>71</v>
      </c>
      <c r="N785" s="5" t="s">
        <v>17</v>
      </c>
      <c r="O785" s="5" t="str">
        <f>_xlfn.IFS('Data set'!$H785&lt;5.7,"Normal",'Data set'!$H785&lt;=6.4,"Prediabetes",'Data set'!$H785&lt;=7.5,"Diabetes",'Data set'!$H785&gt;=7.5,"Uncontrolled")</f>
        <v>Uncontrolled</v>
      </c>
      <c r="P785" s="5" t="str">
        <f>_xlfn.IFS('Data set'!$F785&lt;120,"Low",'Data set'!$F785&lt;=200,"Normal",'Data set'!$F785&lt;=240,"Boarderline",'Data set'!$F785&gt;=241,"High")</f>
        <v>Normal</v>
      </c>
      <c r="Q785" s="5" t="str">
        <f>_xlfn.IFS('Data set'!$D785&lt;=18.5,"Low",'Data set'!$D785&lt;=24.9,"Normal",'Data set'!$D785&lt;=29.9,"High",'Data set'!$D785&gt;29.9,"Very High")</f>
        <v>Very High</v>
      </c>
    </row>
    <row r="786" spans="1:17" x14ac:dyDescent="0.25">
      <c r="A786" s="3">
        <v>18</v>
      </c>
      <c r="B786" s="3" t="s">
        <v>9</v>
      </c>
      <c r="C786" s="4">
        <v>203.08</v>
      </c>
      <c r="D786" s="4">
        <v>37.270000000000003</v>
      </c>
      <c r="E786" s="3" t="s">
        <v>10</v>
      </c>
      <c r="F786" s="3">
        <v>261</v>
      </c>
      <c r="G786" s="3" t="s">
        <v>623</v>
      </c>
      <c r="H786" s="4">
        <v>9.06</v>
      </c>
      <c r="I786" s="3">
        <v>0</v>
      </c>
      <c r="J786" s="3" t="s">
        <v>4</v>
      </c>
      <c r="K786" s="3" t="s">
        <v>3</v>
      </c>
      <c r="L786" s="3">
        <v>131</v>
      </c>
      <c r="M786" s="3">
        <v>76</v>
      </c>
      <c r="N786" s="3" t="s">
        <v>17</v>
      </c>
      <c r="O786" s="3" t="str">
        <f>_xlfn.IFS('Data set'!$H786&lt;5.7,"Normal",'Data set'!$H786&lt;=6.4,"Prediabetes",'Data set'!$H786&lt;=7.5,"Diabetes",'Data set'!$H786&gt;=7.5,"Uncontrolled")</f>
        <v>Uncontrolled</v>
      </c>
      <c r="P786" s="3" t="str">
        <f>_xlfn.IFS('Data set'!$F786&lt;120,"Low",'Data set'!$F786&lt;=200,"Normal",'Data set'!$F786&lt;=240,"Boarderline",'Data set'!$F786&gt;=241,"High")</f>
        <v>High</v>
      </c>
      <c r="Q786" s="3" t="str">
        <f>_xlfn.IFS('Data set'!$D786&lt;=18.5,"Low",'Data set'!$D786&lt;=24.9,"Normal",'Data set'!$D786&lt;=29.9,"High",'Data set'!$D786&gt;29.9,"Very High")</f>
        <v>Very High</v>
      </c>
    </row>
    <row r="787" spans="1:17" x14ac:dyDescent="0.25">
      <c r="A787" s="5">
        <v>36</v>
      </c>
      <c r="B787" s="5" t="s">
        <v>0</v>
      </c>
      <c r="C787" s="6">
        <v>120.82</v>
      </c>
      <c r="D787" s="6">
        <v>25.46</v>
      </c>
      <c r="E787" s="5" t="s">
        <v>1</v>
      </c>
      <c r="F787" s="5">
        <v>260</v>
      </c>
      <c r="G787" s="5" t="s">
        <v>631</v>
      </c>
      <c r="H787" s="6">
        <v>9.4499999999999993</v>
      </c>
      <c r="I787" s="5">
        <v>4</v>
      </c>
      <c r="J787" s="5" t="s">
        <v>4</v>
      </c>
      <c r="K787" s="5" t="s">
        <v>4</v>
      </c>
      <c r="L787" s="5">
        <v>95</v>
      </c>
      <c r="M787" s="5">
        <v>86</v>
      </c>
      <c r="N787" s="5" t="s">
        <v>12</v>
      </c>
      <c r="O787" s="5" t="str">
        <f>_xlfn.IFS('Data set'!$H787&lt;5.7,"Normal",'Data set'!$H787&lt;=6.4,"Prediabetes",'Data set'!$H787&lt;=7.5,"Diabetes",'Data set'!$H787&gt;=7.5,"Uncontrolled")</f>
        <v>Uncontrolled</v>
      </c>
      <c r="P787" s="5" t="str">
        <f>_xlfn.IFS('Data set'!$F787&lt;120,"Low",'Data set'!$F787&lt;=200,"Normal",'Data set'!$F787&lt;=240,"Boarderline",'Data set'!$F787&gt;=241,"High")</f>
        <v>High</v>
      </c>
      <c r="Q787" s="5" t="str">
        <f>_xlfn.IFS('Data set'!$D787&lt;=18.5,"Low",'Data set'!$D787&lt;=24.9,"Normal",'Data set'!$D787&lt;=29.9,"High",'Data set'!$D787&gt;29.9,"Very High")</f>
        <v>High</v>
      </c>
    </row>
    <row r="788" spans="1:17" x14ac:dyDescent="0.25">
      <c r="A788" s="3">
        <v>30</v>
      </c>
      <c r="B788" s="3" t="s">
        <v>0</v>
      </c>
      <c r="C788" s="4">
        <v>168.35</v>
      </c>
      <c r="D788" s="4">
        <v>18.190000000000001</v>
      </c>
      <c r="E788" s="3" t="s">
        <v>14</v>
      </c>
      <c r="F788" s="3">
        <v>264</v>
      </c>
      <c r="G788" s="3" t="s">
        <v>539</v>
      </c>
      <c r="H788" s="4">
        <v>8.18</v>
      </c>
      <c r="I788" s="3">
        <v>1</v>
      </c>
      <c r="J788" s="3" t="s">
        <v>3</v>
      </c>
      <c r="K788" s="3" t="s">
        <v>4</v>
      </c>
      <c r="L788" s="3">
        <v>122</v>
      </c>
      <c r="M788" s="3">
        <v>77</v>
      </c>
      <c r="N788" s="3" t="s">
        <v>17</v>
      </c>
      <c r="O788" s="3" t="str">
        <f>_xlfn.IFS('Data set'!$H788&lt;5.7,"Normal",'Data set'!$H788&lt;=6.4,"Prediabetes",'Data set'!$H788&lt;=7.5,"Diabetes",'Data set'!$H788&gt;=7.5,"Uncontrolled")</f>
        <v>Uncontrolled</v>
      </c>
      <c r="P788" s="3" t="str">
        <f>_xlfn.IFS('Data set'!$F788&lt;120,"Low",'Data set'!$F788&lt;=200,"Normal",'Data set'!$F788&lt;=240,"Boarderline",'Data set'!$F788&gt;=241,"High")</f>
        <v>High</v>
      </c>
      <c r="Q788" s="3" t="str">
        <f>_xlfn.IFS('Data set'!$D788&lt;=18.5,"Low",'Data set'!$D788&lt;=24.9,"Normal",'Data set'!$D788&lt;=29.9,"High",'Data set'!$D788&gt;29.9,"Very High")</f>
        <v>Low</v>
      </c>
    </row>
    <row r="789" spans="1:17" x14ac:dyDescent="0.25">
      <c r="A789" s="5">
        <v>32</v>
      </c>
      <c r="B789" s="5" t="s">
        <v>0</v>
      </c>
      <c r="C789" s="6">
        <v>96.99</v>
      </c>
      <c r="D789" s="6">
        <v>22.89</v>
      </c>
      <c r="E789" s="5" t="s">
        <v>14</v>
      </c>
      <c r="F789" s="5">
        <v>255</v>
      </c>
      <c r="G789" s="5" t="s">
        <v>140</v>
      </c>
      <c r="H789" s="6">
        <v>7.8</v>
      </c>
      <c r="I789" s="5">
        <v>6</v>
      </c>
      <c r="J789" s="5" t="s">
        <v>4</v>
      </c>
      <c r="K789" s="5" t="s">
        <v>3</v>
      </c>
      <c r="L789" s="5">
        <v>93</v>
      </c>
      <c r="M789" s="5">
        <v>73</v>
      </c>
      <c r="N789" s="5" t="s">
        <v>12</v>
      </c>
      <c r="O789" s="5" t="str">
        <f>_xlfn.IFS('Data set'!$H789&lt;5.7,"Normal",'Data set'!$H789&lt;=6.4,"Prediabetes",'Data set'!$H789&lt;=7.5,"Diabetes",'Data set'!$H789&gt;=7.5,"Uncontrolled")</f>
        <v>Uncontrolled</v>
      </c>
      <c r="P789" s="5" t="str">
        <f>_xlfn.IFS('Data set'!$F789&lt;120,"Low",'Data set'!$F789&lt;=200,"Normal",'Data set'!$F789&lt;=240,"Boarderline",'Data set'!$F789&gt;=241,"High")</f>
        <v>High</v>
      </c>
      <c r="Q789" s="5" t="str">
        <f>_xlfn.IFS('Data set'!$D789&lt;=18.5,"Low",'Data set'!$D789&lt;=24.9,"Normal",'Data set'!$D789&lt;=29.9,"High",'Data set'!$D789&gt;29.9,"Very High")</f>
        <v>Normal</v>
      </c>
    </row>
    <row r="790" spans="1:17" x14ac:dyDescent="0.25">
      <c r="A790" s="3">
        <v>40</v>
      </c>
      <c r="B790" s="3" t="s">
        <v>0</v>
      </c>
      <c r="C790" s="4">
        <v>177.53</v>
      </c>
      <c r="D790" s="4">
        <v>29.24</v>
      </c>
      <c r="E790" s="3" t="s">
        <v>10</v>
      </c>
      <c r="F790" s="3">
        <v>252</v>
      </c>
      <c r="G790" s="3" t="s">
        <v>632</v>
      </c>
      <c r="H790" s="4">
        <v>8.92</v>
      </c>
      <c r="I790" s="3">
        <v>3</v>
      </c>
      <c r="J790" s="3" t="s">
        <v>4</v>
      </c>
      <c r="K790" s="3" t="s">
        <v>3</v>
      </c>
      <c r="L790" s="3">
        <v>134</v>
      </c>
      <c r="M790" s="3">
        <v>80</v>
      </c>
      <c r="N790" s="3" t="s">
        <v>12</v>
      </c>
      <c r="O790" s="3" t="str">
        <f>_xlfn.IFS('Data set'!$H790&lt;5.7,"Normal",'Data set'!$H790&lt;=6.4,"Prediabetes",'Data set'!$H790&lt;=7.5,"Diabetes",'Data set'!$H790&gt;=7.5,"Uncontrolled")</f>
        <v>Uncontrolled</v>
      </c>
      <c r="P790" s="3" t="str">
        <f>_xlfn.IFS('Data set'!$F790&lt;120,"Low",'Data set'!$F790&lt;=200,"Normal",'Data set'!$F790&lt;=240,"Boarderline",'Data set'!$F790&gt;=241,"High")</f>
        <v>High</v>
      </c>
      <c r="Q790" s="3" t="str">
        <f>_xlfn.IFS('Data set'!$D790&lt;=18.5,"Low",'Data set'!$D790&lt;=24.9,"Normal",'Data set'!$D790&lt;=29.9,"High",'Data set'!$D790&gt;29.9,"Very High")</f>
        <v>High</v>
      </c>
    </row>
    <row r="791" spans="1:17" x14ac:dyDescent="0.25">
      <c r="A791" s="5">
        <v>51</v>
      </c>
      <c r="B791" s="5" t="s">
        <v>0</v>
      </c>
      <c r="C791" s="6">
        <v>264.44</v>
      </c>
      <c r="D791" s="6">
        <v>27.22</v>
      </c>
      <c r="E791" s="5" t="s">
        <v>1</v>
      </c>
      <c r="F791" s="5">
        <v>133</v>
      </c>
      <c r="G791" s="5" t="s">
        <v>589</v>
      </c>
      <c r="H791" s="6">
        <v>9.75</v>
      </c>
      <c r="I791" s="5">
        <v>3</v>
      </c>
      <c r="J791" s="5" t="s">
        <v>3</v>
      </c>
      <c r="K791" s="5" t="s">
        <v>3</v>
      </c>
      <c r="L791" s="5">
        <v>117</v>
      </c>
      <c r="M791" s="5">
        <v>77</v>
      </c>
      <c r="N791" s="5" t="s">
        <v>8</v>
      </c>
      <c r="O791" s="5" t="str">
        <f>_xlfn.IFS('Data set'!$H791&lt;5.7,"Normal",'Data set'!$H791&lt;=6.4,"Prediabetes",'Data set'!$H791&lt;=7.5,"Diabetes",'Data set'!$H791&gt;=7.5,"Uncontrolled")</f>
        <v>Uncontrolled</v>
      </c>
      <c r="P791" s="5" t="str">
        <f>_xlfn.IFS('Data set'!$F791&lt;120,"Low",'Data set'!$F791&lt;=200,"Normal",'Data set'!$F791&lt;=240,"Boarderline",'Data set'!$F791&gt;=241,"High")</f>
        <v>Normal</v>
      </c>
      <c r="Q791" s="5" t="str">
        <f>_xlfn.IFS('Data set'!$D791&lt;=18.5,"Low",'Data set'!$D791&lt;=24.9,"Normal",'Data set'!$D791&lt;=29.9,"High",'Data set'!$D791&gt;29.9,"Very High")</f>
        <v>High</v>
      </c>
    </row>
    <row r="792" spans="1:17" x14ac:dyDescent="0.25">
      <c r="A792" s="3">
        <v>21</v>
      </c>
      <c r="B792" s="3" t="s">
        <v>0</v>
      </c>
      <c r="C792" s="4">
        <v>128.25</v>
      </c>
      <c r="D792" s="4">
        <v>31.72</v>
      </c>
      <c r="E792" s="3" t="s">
        <v>10</v>
      </c>
      <c r="F792" s="3">
        <v>298</v>
      </c>
      <c r="G792" s="3" t="s">
        <v>65</v>
      </c>
      <c r="H792" s="4">
        <v>5.0999999999999996</v>
      </c>
      <c r="I792" s="3">
        <v>6</v>
      </c>
      <c r="J792" s="3" t="s">
        <v>4</v>
      </c>
      <c r="K792" s="3" t="s">
        <v>4</v>
      </c>
      <c r="L792" s="3">
        <v>124</v>
      </c>
      <c r="M792" s="3">
        <v>63</v>
      </c>
      <c r="N792" s="3" t="s">
        <v>17</v>
      </c>
      <c r="O792" s="3" t="str">
        <f>_xlfn.IFS('Data set'!$H792&lt;5.7,"Normal",'Data set'!$H792&lt;=6.4,"Prediabetes",'Data set'!$H792&lt;=7.5,"Diabetes",'Data set'!$H792&gt;=7.5,"Uncontrolled")</f>
        <v>Normal</v>
      </c>
      <c r="P792" s="3" t="str">
        <f>_xlfn.IFS('Data set'!$F792&lt;120,"Low",'Data set'!$F792&lt;=200,"Normal",'Data set'!$F792&lt;=240,"Boarderline",'Data set'!$F792&gt;=241,"High")</f>
        <v>High</v>
      </c>
      <c r="Q792" s="3" t="str">
        <f>_xlfn.IFS('Data set'!$D792&lt;=18.5,"Low",'Data set'!$D792&lt;=24.9,"Normal",'Data set'!$D792&lt;=29.9,"High",'Data set'!$D792&gt;29.9,"Very High")</f>
        <v>Very High</v>
      </c>
    </row>
    <row r="793" spans="1:17" x14ac:dyDescent="0.25">
      <c r="A793" s="5">
        <v>18</v>
      </c>
      <c r="B793" s="5" t="s">
        <v>9</v>
      </c>
      <c r="C793" s="6">
        <v>114.78</v>
      </c>
      <c r="D793" s="6">
        <v>18.38</v>
      </c>
      <c r="E793" s="5" t="s">
        <v>6</v>
      </c>
      <c r="F793" s="5">
        <v>248</v>
      </c>
      <c r="G793" s="5" t="s">
        <v>323</v>
      </c>
      <c r="H793" s="6">
        <v>8.34</v>
      </c>
      <c r="I793" s="5">
        <v>6</v>
      </c>
      <c r="J793" s="5" t="s">
        <v>4</v>
      </c>
      <c r="K793" s="5" t="s">
        <v>3</v>
      </c>
      <c r="L793" s="5">
        <v>99</v>
      </c>
      <c r="M793" s="5">
        <v>72</v>
      </c>
      <c r="N793" s="5" t="s">
        <v>17</v>
      </c>
      <c r="O793" s="5" t="str">
        <f>_xlfn.IFS('Data set'!$H793&lt;5.7,"Normal",'Data set'!$H793&lt;=6.4,"Prediabetes",'Data set'!$H793&lt;=7.5,"Diabetes",'Data set'!$H793&gt;=7.5,"Uncontrolled")</f>
        <v>Uncontrolled</v>
      </c>
      <c r="P793" s="5" t="str">
        <f>_xlfn.IFS('Data set'!$F793&lt;120,"Low",'Data set'!$F793&lt;=200,"Normal",'Data set'!$F793&lt;=240,"Boarderline",'Data set'!$F793&gt;=241,"High")</f>
        <v>High</v>
      </c>
      <c r="Q793" s="5" t="str">
        <f>_xlfn.IFS('Data set'!$D793&lt;=18.5,"Low",'Data set'!$D793&lt;=24.9,"Normal",'Data set'!$D793&lt;=29.9,"High",'Data set'!$D793&gt;29.9,"Very High")</f>
        <v>Low</v>
      </c>
    </row>
    <row r="794" spans="1:17" x14ac:dyDescent="0.25">
      <c r="A794" s="3">
        <v>71</v>
      </c>
      <c r="B794" s="3" t="s">
        <v>9</v>
      </c>
      <c r="C794" s="4">
        <v>269.43</v>
      </c>
      <c r="D794" s="4">
        <v>37.14</v>
      </c>
      <c r="E794" s="3" t="s">
        <v>6</v>
      </c>
      <c r="F794" s="3">
        <v>207</v>
      </c>
      <c r="G794" s="3" t="s">
        <v>633</v>
      </c>
      <c r="H794" s="4">
        <v>5.05</v>
      </c>
      <c r="I794" s="3">
        <v>7</v>
      </c>
      <c r="J794" s="3" t="s">
        <v>3</v>
      </c>
      <c r="K794" s="3" t="s">
        <v>3</v>
      </c>
      <c r="L794" s="3">
        <v>124</v>
      </c>
      <c r="M794" s="3">
        <v>83</v>
      </c>
      <c r="N794" s="3" t="s">
        <v>5</v>
      </c>
      <c r="O794" s="3" t="str">
        <f>_xlfn.IFS('Data set'!$H794&lt;5.7,"Normal",'Data set'!$H794&lt;=6.4,"Prediabetes",'Data set'!$H794&lt;=7.5,"Diabetes",'Data set'!$H794&gt;=7.5,"Uncontrolled")</f>
        <v>Normal</v>
      </c>
      <c r="P794" s="3" t="str">
        <f>_xlfn.IFS('Data set'!$F794&lt;120,"Low",'Data set'!$F794&lt;=200,"Normal",'Data set'!$F794&lt;=240,"Boarderline",'Data set'!$F794&gt;=241,"High")</f>
        <v>Boarderline</v>
      </c>
      <c r="Q794" s="3" t="str">
        <f>_xlfn.IFS('Data set'!$D794&lt;=18.5,"Low",'Data set'!$D794&lt;=24.9,"Normal",'Data set'!$D794&lt;=29.9,"High",'Data set'!$D794&gt;29.9,"Very High")</f>
        <v>Very High</v>
      </c>
    </row>
    <row r="795" spans="1:17" x14ac:dyDescent="0.25">
      <c r="A795" s="5">
        <v>74</v>
      </c>
      <c r="B795" s="5" t="s">
        <v>0</v>
      </c>
      <c r="C795" s="6">
        <v>182.86</v>
      </c>
      <c r="D795" s="6">
        <v>36.4</v>
      </c>
      <c r="E795" s="5" t="s">
        <v>10</v>
      </c>
      <c r="F795" s="5">
        <v>246</v>
      </c>
      <c r="G795" s="5" t="s">
        <v>634</v>
      </c>
      <c r="H795" s="6">
        <v>6.39</v>
      </c>
      <c r="I795" s="5">
        <v>1</v>
      </c>
      <c r="J795" s="5" t="s">
        <v>3</v>
      </c>
      <c r="K795" s="5" t="s">
        <v>4</v>
      </c>
      <c r="L795" s="5">
        <v>132</v>
      </c>
      <c r="M795" s="5">
        <v>65</v>
      </c>
      <c r="N795" s="5" t="s">
        <v>5</v>
      </c>
      <c r="O795" s="5" t="str">
        <f>_xlfn.IFS('Data set'!$H795&lt;5.7,"Normal",'Data set'!$H795&lt;=6.4,"Prediabetes",'Data set'!$H795&lt;=7.5,"Diabetes",'Data set'!$H795&gt;=7.5,"Uncontrolled")</f>
        <v>Prediabetes</v>
      </c>
      <c r="P795" s="5" t="str">
        <f>_xlfn.IFS('Data set'!$F795&lt;120,"Low",'Data set'!$F795&lt;=200,"Normal",'Data set'!$F795&lt;=240,"Boarderline",'Data set'!$F795&gt;=241,"High")</f>
        <v>High</v>
      </c>
      <c r="Q795" s="5" t="str">
        <f>_xlfn.IFS('Data set'!$D795&lt;=18.5,"Low",'Data set'!$D795&lt;=24.9,"Normal",'Data set'!$D795&lt;=29.9,"High",'Data set'!$D795&gt;29.9,"Very High")</f>
        <v>Very High</v>
      </c>
    </row>
    <row r="796" spans="1:17" x14ac:dyDescent="0.25">
      <c r="A796" s="3">
        <v>56</v>
      </c>
      <c r="B796" s="3" t="s">
        <v>0</v>
      </c>
      <c r="C796" s="4">
        <v>157.76</v>
      </c>
      <c r="D796" s="4">
        <v>29.69</v>
      </c>
      <c r="E796" s="3" t="s">
        <v>1</v>
      </c>
      <c r="F796" s="3">
        <v>186</v>
      </c>
      <c r="G796" s="3" t="s">
        <v>635</v>
      </c>
      <c r="H796" s="4">
        <v>4.28</v>
      </c>
      <c r="I796" s="3">
        <v>2</v>
      </c>
      <c r="J796" s="3" t="s">
        <v>4</v>
      </c>
      <c r="K796" s="3" t="s">
        <v>4</v>
      </c>
      <c r="L796" s="3">
        <v>102</v>
      </c>
      <c r="M796" s="3">
        <v>75</v>
      </c>
      <c r="N796" s="3" t="s">
        <v>8</v>
      </c>
      <c r="O796" s="3" t="str">
        <f>_xlfn.IFS('Data set'!$H796&lt;5.7,"Normal",'Data set'!$H796&lt;=6.4,"Prediabetes",'Data set'!$H796&lt;=7.5,"Diabetes",'Data set'!$H796&gt;=7.5,"Uncontrolled")</f>
        <v>Normal</v>
      </c>
      <c r="P796" s="3" t="str">
        <f>_xlfn.IFS('Data set'!$F796&lt;120,"Low",'Data set'!$F796&lt;=200,"Normal",'Data set'!$F796&lt;=240,"Boarderline",'Data set'!$F796&gt;=241,"High")</f>
        <v>Normal</v>
      </c>
      <c r="Q796" s="3" t="str">
        <f>_xlfn.IFS('Data set'!$D796&lt;=18.5,"Low",'Data set'!$D796&lt;=24.9,"Normal",'Data set'!$D796&lt;=29.9,"High",'Data set'!$D796&gt;29.9,"Very High")</f>
        <v>High</v>
      </c>
    </row>
    <row r="797" spans="1:17" x14ac:dyDescent="0.25">
      <c r="A797" s="5">
        <v>78</v>
      </c>
      <c r="B797" s="5" t="s">
        <v>0</v>
      </c>
      <c r="C797" s="6">
        <v>190.65</v>
      </c>
      <c r="D797" s="6">
        <v>21.77</v>
      </c>
      <c r="E797" s="5" t="s">
        <v>14</v>
      </c>
      <c r="F797" s="5">
        <v>170</v>
      </c>
      <c r="G797" s="5" t="s">
        <v>636</v>
      </c>
      <c r="H797" s="6">
        <v>9.44</v>
      </c>
      <c r="I797" s="5">
        <v>0</v>
      </c>
      <c r="J797" s="5" t="s">
        <v>4</v>
      </c>
      <c r="K797" s="5" t="s">
        <v>4</v>
      </c>
      <c r="L797" s="5">
        <v>111</v>
      </c>
      <c r="M797" s="5">
        <v>89</v>
      </c>
      <c r="N797" s="5" t="s">
        <v>5</v>
      </c>
      <c r="O797" s="5" t="str">
        <f>_xlfn.IFS('Data set'!$H797&lt;5.7,"Normal",'Data set'!$H797&lt;=6.4,"Prediabetes",'Data set'!$H797&lt;=7.5,"Diabetes",'Data set'!$H797&gt;=7.5,"Uncontrolled")</f>
        <v>Uncontrolled</v>
      </c>
      <c r="P797" s="5" t="str">
        <f>_xlfn.IFS('Data set'!$F797&lt;120,"Low",'Data set'!$F797&lt;=200,"Normal",'Data set'!$F797&lt;=240,"Boarderline",'Data set'!$F797&gt;=241,"High")</f>
        <v>Normal</v>
      </c>
      <c r="Q797" s="5" t="str">
        <f>_xlfn.IFS('Data set'!$D797&lt;=18.5,"Low",'Data set'!$D797&lt;=24.9,"Normal",'Data set'!$D797&lt;=29.9,"High",'Data set'!$D797&gt;29.9,"Very High")</f>
        <v>Normal</v>
      </c>
    </row>
    <row r="798" spans="1:17" x14ac:dyDescent="0.25">
      <c r="A798" s="3">
        <v>59</v>
      </c>
      <c r="B798" s="3" t="s">
        <v>0</v>
      </c>
      <c r="C798" s="4">
        <v>205.41</v>
      </c>
      <c r="D798" s="4">
        <v>25.13</v>
      </c>
      <c r="E798" s="3" t="s">
        <v>10</v>
      </c>
      <c r="F798" s="3">
        <v>117</v>
      </c>
      <c r="G798" s="3" t="s">
        <v>637</v>
      </c>
      <c r="H798" s="4">
        <v>6.48</v>
      </c>
      <c r="I798" s="3">
        <v>4</v>
      </c>
      <c r="J798" s="3" t="s">
        <v>4</v>
      </c>
      <c r="K798" s="3" t="s">
        <v>4</v>
      </c>
      <c r="L798" s="3">
        <v>129</v>
      </c>
      <c r="M798" s="3">
        <v>87</v>
      </c>
      <c r="N798" s="3" t="s">
        <v>8</v>
      </c>
      <c r="O798" s="3" t="str">
        <f>_xlfn.IFS('Data set'!$H798&lt;5.7,"Normal",'Data set'!$H798&lt;=6.4,"Prediabetes",'Data set'!$H798&lt;=7.5,"Diabetes",'Data set'!$H798&gt;=7.5,"Uncontrolled")</f>
        <v>Diabetes</v>
      </c>
      <c r="P798" s="3" t="str">
        <f>_xlfn.IFS('Data set'!$F798&lt;120,"Low",'Data set'!$F798&lt;=200,"Normal",'Data set'!$F798&lt;=240,"Boarderline",'Data set'!$F798&gt;=241,"High")</f>
        <v>Low</v>
      </c>
      <c r="Q798" s="3" t="str">
        <f>_xlfn.IFS('Data set'!$D798&lt;=18.5,"Low",'Data set'!$D798&lt;=24.9,"Normal",'Data set'!$D798&lt;=29.9,"High",'Data set'!$D798&gt;29.9,"Very High")</f>
        <v>High</v>
      </c>
    </row>
    <row r="799" spans="1:17" x14ac:dyDescent="0.25">
      <c r="A799" s="5">
        <v>51</v>
      </c>
      <c r="B799" s="5" t="s">
        <v>0</v>
      </c>
      <c r="C799" s="6">
        <v>207.31</v>
      </c>
      <c r="D799" s="6">
        <v>33.840000000000003</v>
      </c>
      <c r="E799" s="5" t="s">
        <v>6</v>
      </c>
      <c r="F799" s="5">
        <v>204</v>
      </c>
      <c r="G799" s="5" t="s">
        <v>638</v>
      </c>
      <c r="H799" s="6">
        <v>4.26</v>
      </c>
      <c r="I799" s="5">
        <v>7</v>
      </c>
      <c r="J799" s="5" t="s">
        <v>3</v>
      </c>
      <c r="K799" s="5" t="s">
        <v>4</v>
      </c>
      <c r="L799" s="5">
        <v>140</v>
      </c>
      <c r="M799" s="5">
        <v>60</v>
      </c>
      <c r="N799" s="5" t="s">
        <v>8</v>
      </c>
      <c r="O799" s="5" t="str">
        <f>_xlfn.IFS('Data set'!$H799&lt;5.7,"Normal",'Data set'!$H799&lt;=6.4,"Prediabetes",'Data set'!$H799&lt;=7.5,"Diabetes",'Data set'!$H799&gt;=7.5,"Uncontrolled")</f>
        <v>Normal</v>
      </c>
      <c r="P799" s="5" t="str">
        <f>_xlfn.IFS('Data set'!$F799&lt;120,"Low",'Data set'!$F799&lt;=200,"Normal",'Data set'!$F799&lt;=240,"Boarderline",'Data set'!$F799&gt;=241,"High")</f>
        <v>Boarderline</v>
      </c>
      <c r="Q799" s="5" t="str">
        <f>_xlfn.IFS('Data set'!$D799&lt;=18.5,"Low",'Data set'!$D799&lt;=24.9,"Normal",'Data set'!$D799&lt;=29.9,"High",'Data set'!$D799&gt;29.9,"Very High")</f>
        <v>Very High</v>
      </c>
    </row>
    <row r="800" spans="1:17" x14ac:dyDescent="0.25">
      <c r="A800" s="3">
        <v>35</v>
      </c>
      <c r="B800" s="3" t="s">
        <v>0</v>
      </c>
      <c r="C800" s="4">
        <v>215.76</v>
      </c>
      <c r="D800" s="4">
        <v>19.46</v>
      </c>
      <c r="E800" s="3" t="s">
        <v>10</v>
      </c>
      <c r="F800" s="3">
        <v>286</v>
      </c>
      <c r="G800" s="3" t="s">
        <v>226</v>
      </c>
      <c r="H800" s="4">
        <v>9.19</v>
      </c>
      <c r="I800" s="3">
        <v>5</v>
      </c>
      <c r="J800" s="3" t="s">
        <v>3</v>
      </c>
      <c r="K800" s="3" t="s">
        <v>4</v>
      </c>
      <c r="L800" s="3">
        <v>137</v>
      </c>
      <c r="M800" s="3">
        <v>67</v>
      </c>
      <c r="N800" s="3" t="s">
        <v>12</v>
      </c>
      <c r="O800" s="3" t="str">
        <f>_xlfn.IFS('Data set'!$H800&lt;5.7,"Normal",'Data set'!$H800&lt;=6.4,"Prediabetes",'Data set'!$H800&lt;=7.5,"Diabetes",'Data set'!$H800&gt;=7.5,"Uncontrolled")</f>
        <v>Uncontrolled</v>
      </c>
      <c r="P800" s="3" t="str">
        <f>_xlfn.IFS('Data set'!$F800&lt;120,"Low",'Data set'!$F800&lt;=200,"Normal",'Data set'!$F800&lt;=240,"Boarderline",'Data set'!$F800&gt;=241,"High")</f>
        <v>High</v>
      </c>
      <c r="Q800" s="3" t="str">
        <f>_xlfn.IFS('Data set'!$D800&lt;=18.5,"Low",'Data set'!$D800&lt;=24.9,"Normal",'Data set'!$D800&lt;=29.9,"High",'Data set'!$D800&gt;29.9,"Very High")</f>
        <v>Normal</v>
      </c>
    </row>
    <row r="801" spans="1:17" x14ac:dyDescent="0.25">
      <c r="A801" s="5">
        <v>63</v>
      </c>
      <c r="B801" s="5" t="s">
        <v>0</v>
      </c>
      <c r="C801" s="6">
        <v>262.89999999999998</v>
      </c>
      <c r="D801" s="6">
        <v>18.100000000000001</v>
      </c>
      <c r="E801" s="5" t="s">
        <v>10</v>
      </c>
      <c r="F801" s="5">
        <v>144</v>
      </c>
      <c r="G801" s="5" t="s">
        <v>579</v>
      </c>
      <c r="H801" s="6">
        <v>4.2</v>
      </c>
      <c r="I801" s="5">
        <v>5</v>
      </c>
      <c r="J801" s="5" t="s">
        <v>3</v>
      </c>
      <c r="K801" s="5" t="s">
        <v>3</v>
      </c>
      <c r="L801" s="5">
        <v>90</v>
      </c>
      <c r="M801" s="5">
        <v>80</v>
      </c>
      <c r="N801" s="5" t="s">
        <v>21</v>
      </c>
      <c r="O801" s="5" t="str">
        <f>_xlfn.IFS('Data set'!$H801&lt;5.7,"Normal",'Data set'!$H801&lt;=6.4,"Prediabetes",'Data set'!$H801&lt;=7.5,"Diabetes",'Data set'!$H801&gt;=7.5,"Uncontrolled")</f>
        <v>Normal</v>
      </c>
      <c r="P801" s="5" t="str">
        <f>_xlfn.IFS('Data set'!$F801&lt;120,"Low",'Data set'!$F801&lt;=200,"Normal",'Data set'!$F801&lt;=240,"Boarderline",'Data set'!$F801&gt;=241,"High")</f>
        <v>Normal</v>
      </c>
      <c r="Q801" s="5" t="str">
        <f>_xlfn.IFS('Data set'!$D801&lt;=18.5,"Low",'Data set'!$D801&lt;=24.9,"Normal",'Data set'!$D801&lt;=29.9,"High",'Data set'!$D801&gt;29.9,"Very High")</f>
        <v>Low</v>
      </c>
    </row>
    <row r="802" spans="1:17" x14ac:dyDescent="0.25">
      <c r="A802" s="3">
        <v>22</v>
      </c>
      <c r="B802" s="3" t="s">
        <v>9</v>
      </c>
      <c r="C802" s="4">
        <v>222.59</v>
      </c>
      <c r="D802" s="4">
        <v>35.11</v>
      </c>
      <c r="E802" s="3" t="s">
        <v>14</v>
      </c>
      <c r="F802" s="3">
        <v>192</v>
      </c>
      <c r="G802" s="3" t="s">
        <v>639</v>
      </c>
      <c r="H802" s="4">
        <v>4.9800000000000004</v>
      </c>
      <c r="I802" s="3">
        <v>0</v>
      </c>
      <c r="J802" s="3" t="s">
        <v>4</v>
      </c>
      <c r="K802" s="3" t="s">
        <v>3</v>
      </c>
      <c r="L802" s="3">
        <v>90</v>
      </c>
      <c r="M802" s="3">
        <v>89</v>
      </c>
      <c r="N802" s="3" t="s">
        <v>17</v>
      </c>
      <c r="O802" s="3" t="str">
        <f>_xlfn.IFS('Data set'!$H802&lt;5.7,"Normal",'Data set'!$H802&lt;=6.4,"Prediabetes",'Data set'!$H802&lt;=7.5,"Diabetes",'Data set'!$H802&gt;=7.5,"Uncontrolled")</f>
        <v>Normal</v>
      </c>
      <c r="P802" s="3" t="str">
        <f>_xlfn.IFS('Data set'!$F802&lt;120,"Low",'Data set'!$F802&lt;=200,"Normal",'Data set'!$F802&lt;=240,"Boarderline",'Data set'!$F802&gt;=241,"High")</f>
        <v>Normal</v>
      </c>
      <c r="Q802" s="3" t="str">
        <f>_xlfn.IFS('Data set'!$D802&lt;=18.5,"Low",'Data set'!$D802&lt;=24.9,"Normal",'Data set'!$D802&lt;=29.9,"High",'Data set'!$D802&gt;29.9,"Very High")</f>
        <v>Very High</v>
      </c>
    </row>
    <row r="803" spans="1:17" x14ac:dyDescent="0.25">
      <c r="A803" s="5">
        <v>35</v>
      </c>
      <c r="B803" s="5" t="s">
        <v>9</v>
      </c>
      <c r="C803" s="6">
        <v>214.73</v>
      </c>
      <c r="D803" s="6">
        <v>28.63</v>
      </c>
      <c r="E803" s="5" t="s">
        <v>6</v>
      </c>
      <c r="F803" s="5">
        <v>277</v>
      </c>
      <c r="G803" s="5" t="s">
        <v>624</v>
      </c>
      <c r="H803" s="6">
        <v>5.33</v>
      </c>
      <c r="I803" s="5">
        <v>2</v>
      </c>
      <c r="J803" s="5" t="s">
        <v>3</v>
      </c>
      <c r="K803" s="5" t="s">
        <v>3</v>
      </c>
      <c r="L803" s="5">
        <v>102</v>
      </c>
      <c r="M803" s="5">
        <v>60</v>
      </c>
      <c r="N803" s="5" t="s">
        <v>12</v>
      </c>
      <c r="O803" s="5" t="str">
        <f>_xlfn.IFS('Data set'!$H803&lt;5.7,"Normal",'Data set'!$H803&lt;=6.4,"Prediabetes",'Data set'!$H803&lt;=7.5,"Diabetes",'Data set'!$H803&gt;=7.5,"Uncontrolled")</f>
        <v>Normal</v>
      </c>
      <c r="P803" s="5" t="str">
        <f>_xlfn.IFS('Data set'!$F803&lt;120,"Low",'Data set'!$F803&lt;=200,"Normal",'Data set'!$F803&lt;=240,"Boarderline",'Data set'!$F803&gt;=241,"High")</f>
        <v>High</v>
      </c>
      <c r="Q803" s="5" t="str">
        <f>_xlfn.IFS('Data set'!$D803&lt;=18.5,"Low",'Data set'!$D803&lt;=24.9,"Normal",'Data set'!$D803&lt;=29.9,"High",'Data set'!$D803&gt;29.9,"Very High")</f>
        <v>High</v>
      </c>
    </row>
    <row r="804" spans="1:17" x14ac:dyDescent="0.25">
      <c r="A804" s="3">
        <v>24</v>
      </c>
      <c r="B804" s="3" t="s">
        <v>9</v>
      </c>
      <c r="C804" s="4">
        <v>248</v>
      </c>
      <c r="D804" s="4">
        <v>34.72</v>
      </c>
      <c r="E804" s="3" t="s">
        <v>10</v>
      </c>
      <c r="F804" s="3">
        <v>156</v>
      </c>
      <c r="G804" s="3" t="s">
        <v>226</v>
      </c>
      <c r="H804" s="4">
        <v>4.07</v>
      </c>
      <c r="I804" s="3">
        <v>3</v>
      </c>
      <c r="J804" s="3" t="s">
        <v>4</v>
      </c>
      <c r="K804" s="3" t="s">
        <v>4</v>
      </c>
      <c r="L804" s="3">
        <v>137</v>
      </c>
      <c r="M804" s="3">
        <v>67</v>
      </c>
      <c r="N804" s="3" t="s">
        <v>17</v>
      </c>
      <c r="O804" s="3" t="str">
        <f>_xlfn.IFS('Data set'!$H804&lt;5.7,"Normal",'Data set'!$H804&lt;=6.4,"Prediabetes",'Data set'!$H804&lt;=7.5,"Diabetes",'Data set'!$H804&gt;=7.5,"Uncontrolled")</f>
        <v>Normal</v>
      </c>
      <c r="P804" s="3" t="str">
        <f>_xlfn.IFS('Data set'!$F804&lt;120,"Low",'Data set'!$F804&lt;=200,"Normal",'Data set'!$F804&lt;=240,"Boarderline",'Data set'!$F804&gt;=241,"High")</f>
        <v>Normal</v>
      </c>
      <c r="Q804" s="3" t="str">
        <f>_xlfn.IFS('Data set'!$D804&lt;=18.5,"Low",'Data set'!$D804&lt;=24.9,"Normal",'Data set'!$D804&lt;=29.9,"High",'Data set'!$D804&gt;29.9,"Very High")</f>
        <v>Very High</v>
      </c>
    </row>
    <row r="805" spans="1:17" x14ac:dyDescent="0.25">
      <c r="A805" s="5">
        <v>64</v>
      </c>
      <c r="B805" s="5" t="s">
        <v>0</v>
      </c>
      <c r="C805" s="6">
        <v>261.61</v>
      </c>
      <c r="D805" s="6">
        <v>25.26</v>
      </c>
      <c r="E805" s="5" t="s">
        <v>10</v>
      </c>
      <c r="F805" s="5">
        <v>255</v>
      </c>
      <c r="G805" s="5" t="s">
        <v>640</v>
      </c>
      <c r="H805" s="6">
        <v>5.97</v>
      </c>
      <c r="I805" s="5">
        <v>7</v>
      </c>
      <c r="J805" s="5" t="s">
        <v>4</v>
      </c>
      <c r="K805" s="5" t="s">
        <v>4</v>
      </c>
      <c r="L805" s="5">
        <v>113</v>
      </c>
      <c r="M805" s="5">
        <v>88</v>
      </c>
      <c r="N805" s="5" t="s">
        <v>21</v>
      </c>
      <c r="O805" s="5" t="str">
        <f>_xlfn.IFS('Data set'!$H805&lt;5.7,"Normal",'Data set'!$H805&lt;=6.4,"Prediabetes",'Data set'!$H805&lt;=7.5,"Diabetes",'Data set'!$H805&gt;=7.5,"Uncontrolled")</f>
        <v>Prediabetes</v>
      </c>
      <c r="P805" s="5" t="str">
        <f>_xlfn.IFS('Data set'!$F805&lt;120,"Low",'Data set'!$F805&lt;=200,"Normal",'Data set'!$F805&lt;=240,"Boarderline",'Data set'!$F805&gt;=241,"High")</f>
        <v>High</v>
      </c>
      <c r="Q805" s="5" t="str">
        <f>_xlfn.IFS('Data set'!$D805&lt;=18.5,"Low",'Data set'!$D805&lt;=24.9,"Normal",'Data set'!$D805&lt;=29.9,"High",'Data set'!$D805&gt;29.9,"Very High")</f>
        <v>High</v>
      </c>
    </row>
    <row r="806" spans="1:17" x14ac:dyDescent="0.25">
      <c r="A806" s="3">
        <v>52</v>
      </c>
      <c r="B806" s="3" t="s">
        <v>0</v>
      </c>
      <c r="C806" s="4">
        <v>173.46</v>
      </c>
      <c r="D806" s="4">
        <v>25.38</v>
      </c>
      <c r="E806" s="3" t="s">
        <v>1</v>
      </c>
      <c r="F806" s="3">
        <v>277</v>
      </c>
      <c r="G806" s="3" t="s">
        <v>641</v>
      </c>
      <c r="H806" s="4">
        <v>5.15</v>
      </c>
      <c r="I806" s="3">
        <v>1</v>
      </c>
      <c r="J806" s="3" t="s">
        <v>3</v>
      </c>
      <c r="K806" s="3" t="s">
        <v>3</v>
      </c>
      <c r="L806" s="3">
        <v>140</v>
      </c>
      <c r="M806" s="3">
        <v>64</v>
      </c>
      <c r="N806" s="3" t="s">
        <v>8</v>
      </c>
      <c r="O806" s="3" t="str">
        <f>_xlfn.IFS('Data set'!$H806&lt;5.7,"Normal",'Data set'!$H806&lt;=6.4,"Prediabetes",'Data set'!$H806&lt;=7.5,"Diabetes",'Data set'!$H806&gt;=7.5,"Uncontrolled")</f>
        <v>Normal</v>
      </c>
      <c r="P806" s="3" t="str">
        <f>_xlfn.IFS('Data set'!$F806&lt;120,"Low",'Data set'!$F806&lt;=200,"Normal",'Data set'!$F806&lt;=240,"Boarderline",'Data set'!$F806&gt;=241,"High")</f>
        <v>High</v>
      </c>
      <c r="Q806" s="3" t="str">
        <f>_xlfn.IFS('Data set'!$D806&lt;=18.5,"Low",'Data set'!$D806&lt;=24.9,"Normal",'Data set'!$D806&lt;=29.9,"High",'Data set'!$D806&gt;29.9,"Very High")</f>
        <v>High</v>
      </c>
    </row>
    <row r="807" spans="1:17" x14ac:dyDescent="0.25">
      <c r="A807" s="5">
        <v>35</v>
      </c>
      <c r="B807" s="5" t="s">
        <v>9</v>
      </c>
      <c r="C807" s="6">
        <v>209.84</v>
      </c>
      <c r="D807" s="6">
        <v>19.41</v>
      </c>
      <c r="E807" s="5" t="s">
        <v>6</v>
      </c>
      <c r="F807" s="5">
        <v>269</v>
      </c>
      <c r="G807" s="5" t="s">
        <v>642</v>
      </c>
      <c r="H807" s="6">
        <v>4.8600000000000003</v>
      </c>
      <c r="I807" s="5">
        <v>6</v>
      </c>
      <c r="J807" s="5" t="s">
        <v>3</v>
      </c>
      <c r="K807" s="5" t="s">
        <v>3</v>
      </c>
      <c r="L807" s="5">
        <v>94</v>
      </c>
      <c r="M807" s="5">
        <v>67</v>
      </c>
      <c r="N807" s="5" t="s">
        <v>12</v>
      </c>
      <c r="O807" s="5" t="str">
        <f>_xlfn.IFS('Data set'!$H807&lt;5.7,"Normal",'Data set'!$H807&lt;=6.4,"Prediabetes",'Data set'!$H807&lt;=7.5,"Diabetes",'Data set'!$H807&gt;=7.5,"Uncontrolled")</f>
        <v>Normal</v>
      </c>
      <c r="P807" s="5" t="str">
        <f>_xlfn.IFS('Data set'!$F807&lt;120,"Low",'Data set'!$F807&lt;=200,"Normal",'Data set'!$F807&lt;=240,"Boarderline",'Data set'!$F807&gt;=241,"High")</f>
        <v>High</v>
      </c>
      <c r="Q807" s="5" t="str">
        <f>_xlfn.IFS('Data set'!$D807&lt;=18.5,"Low",'Data set'!$D807&lt;=24.9,"Normal",'Data set'!$D807&lt;=29.9,"High",'Data set'!$D807&gt;29.9,"Very High")</f>
        <v>Normal</v>
      </c>
    </row>
    <row r="808" spans="1:17" x14ac:dyDescent="0.25">
      <c r="A808" s="3">
        <v>34</v>
      </c>
      <c r="B808" s="3" t="s">
        <v>9</v>
      </c>
      <c r="C808" s="4">
        <v>183.98</v>
      </c>
      <c r="D808" s="4">
        <v>35.950000000000003</v>
      </c>
      <c r="E808" s="3" t="s">
        <v>6</v>
      </c>
      <c r="F808" s="3">
        <v>231</v>
      </c>
      <c r="G808" s="3" t="s">
        <v>643</v>
      </c>
      <c r="H808" s="4">
        <v>8.24</v>
      </c>
      <c r="I808" s="3">
        <v>0</v>
      </c>
      <c r="J808" s="3" t="s">
        <v>3</v>
      </c>
      <c r="K808" s="3" t="s">
        <v>4</v>
      </c>
      <c r="L808" s="3">
        <v>115</v>
      </c>
      <c r="M808" s="3">
        <v>72</v>
      </c>
      <c r="N808" s="3" t="s">
        <v>12</v>
      </c>
      <c r="O808" s="3" t="str">
        <f>_xlfn.IFS('Data set'!$H808&lt;5.7,"Normal",'Data set'!$H808&lt;=6.4,"Prediabetes",'Data set'!$H808&lt;=7.5,"Diabetes",'Data set'!$H808&gt;=7.5,"Uncontrolled")</f>
        <v>Uncontrolled</v>
      </c>
      <c r="P808" s="3" t="str">
        <f>_xlfn.IFS('Data set'!$F808&lt;120,"Low",'Data set'!$F808&lt;=200,"Normal",'Data set'!$F808&lt;=240,"Boarderline",'Data set'!$F808&gt;=241,"High")</f>
        <v>Boarderline</v>
      </c>
      <c r="Q808" s="3" t="str">
        <f>_xlfn.IFS('Data set'!$D808&lt;=18.5,"Low",'Data set'!$D808&lt;=24.9,"Normal",'Data set'!$D808&lt;=29.9,"High",'Data set'!$D808&gt;29.9,"Very High")</f>
        <v>Very High</v>
      </c>
    </row>
    <row r="809" spans="1:17" x14ac:dyDescent="0.25">
      <c r="A809" s="5">
        <v>48</v>
      </c>
      <c r="B809" s="5" t="s">
        <v>0</v>
      </c>
      <c r="C809" s="6">
        <v>204.2</v>
      </c>
      <c r="D809" s="6">
        <v>37</v>
      </c>
      <c r="E809" s="5" t="s">
        <v>1</v>
      </c>
      <c r="F809" s="5">
        <v>286</v>
      </c>
      <c r="G809" s="5" t="s">
        <v>644</v>
      </c>
      <c r="H809" s="6">
        <v>9.8699999999999992</v>
      </c>
      <c r="I809" s="5">
        <v>6</v>
      </c>
      <c r="J809" s="5" t="s">
        <v>3</v>
      </c>
      <c r="K809" s="5" t="s">
        <v>3</v>
      </c>
      <c r="L809" s="5">
        <v>137</v>
      </c>
      <c r="M809" s="5">
        <v>78</v>
      </c>
      <c r="N809" s="5" t="s">
        <v>23</v>
      </c>
      <c r="O809" s="5" t="str">
        <f>_xlfn.IFS('Data set'!$H809&lt;5.7,"Normal",'Data set'!$H809&lt;=6.4,"Prediabetes",'Data set'!$H809&lt;=7.5,"Diabetes",'Data set'!$H809&gt;=7.5,"Uncontrolled")</f>
        <v>Uncontrolled</v>
      </c>
      <c r="P809" s="5" t="str">
        <f>_xlfn.IFS('Data set'!$F809&lt;120,"Low",'Data set'!$F809&lt;=200,"Normal",'Data set'!$F809&lt;=240,"Boarderline",'Data set'!$F809&gt;=241,"High")</f>
        <v>High</v>
      </c>
      <c r="Q809" s="5" t="str">
        <f>_xlfn.IFS('Data set'!$D809&lt;=18.5,"Low",'Data set'!$D809&lt;=24.9,"Normal",'Data set'!$D809&lt;=29.9,"High",'Data set'!$D809&gt;29.9,"Very High")</f>
        <v>Very High</v>
      </c>
    </row>
    <row r="810" spans="1:17" x14ac:dyDescent="0.25">
      <c r="A810" s="3">
        <v>36</v>
      </c>
      <c r="B810" s="3" t="s">
        <v>9</v>
      </c>
      <c r="C810" s="4">
        <v>92.99</v>
      </c>
      <c r="D810" s="4">
        <v>33.15</v>
      </c>
      <c r="E810" s="3" t="s">
        <v>1</v>
      </c>
      <c r="F810" s="3">
        <v>239</v>
      </c>
      <c r="G810" s="3" t="s">
        <v>634</v>
      </c>
      <c r="H810" s="4">
        <v>4.01</v>
      </c>
      <c r="I810" s="3">
        <v>7</v>
      </c>
      <c r="J810" s="3" t="s">
        <v>4</v>
      </c>
      <c r="K810" s="3" t="s">
        <v>4</v>
      </c>
      <c r="L810" s="3">
        <v>132</v>
      </c>
      <c r="M810" s="3">
        <v>65</v>
      </c>
      <c r="N810" s="3" t="s">
        <v>12</v>
      </c>
      <c r="O810" s="3" t="str">
        <f>_xlfn.IFS('Data set'!$H810&lt;5.7,"Normal",'Data set'!$H810&lt;=6.4,"Prediabetes",'Data set'!$H810&lt;=7.5,"Diabetes",'Data set'!$H810&gt;=7.5,"Uncontrolled")</f>
        <v>Normal</v>
      </c>
      <c r="P810" s="3" t="str">
        <f>_xlfn.IFS('Data set'!$F810&lt;120,"Low",'Data set'!$F810&lt;=200,"Normal",'Data set'!$F810&lt;=240,"Boarderline",'Data set'!$F810&gt;=241,"High")</f>
        <v>Boarderline</v>
      </c>
      <c r="Q810" s="3" t="str">
        <f>_xlfn.IFS('Data set'!$D810&lt;=18.5,"Low",'Data set'!$D810&lt;=24.9,"Normal",'Data set'!$D810&lt;=29.9,"High",'Data set'!$D810&gt;29.9,"Very High")</f>
        <v>Very High</v>
      </c>
    </row>
    <row r="811" spans="1:17" x14ac:dyDescent="0.25">
      <c r="A811" s="5">
        <v>36</v>
      </c>
      <c r="B811" s="5" t="s">
        <v>9</v>
      </c>
      <c r="C811" s="6">
        <v>210.25</v>
      </c>
      <c r="D811" s="6">
        <v>19.52</v>
      </c>
      <c r="E811" s="5" t="s">
        <v>10</v>
      </c>
      <c r="F811" s="5">
        <v>263</v>
      </c>
      <c r="G811" s="5" t="s">
        <v>645</v>
      </c>
      <c r="H811" s="6">
        <v>8.16</v>
      </c>
      <c r="I811" s="5">
        <v>7</v>
      </c>
      <c r="J811" s="5" t="s">
        <v>4</v>
      </c>
      <c r="K811" s="5" t="s">
        <v>3</v>
      </c>
      <c r="L811" s="5">
        <v>92</v>
      </c>
      <c r="M811" s="5">
        <v>81</v>
      </c>
      <c r="N811" s="5" t="s">
        <v>12</v>
      </c>
      <c r="O811" s="5" t="str">
        <f>_xlfn.IFS('Data set'!$H811&lt;5.7,"Normal",'Data set'!$H811&lt;=6.4,"Prediabetes",'Data set'!$H811&lt;=7.5,"Diabetes",'Data set'!$H811&gt;=7.5,"Uncontrolled")</f>
        <v>Uncontrolled</v>
      </c>
      <c r="P811" s="5" t="str">
        <f>_xlfn.IFS('Data set'!$F811&lt;120,"Low",'Data set'!$F811&lt;=200,"Normal",'Data set'!$F811&lt;=240,"Boarderline",'Data set'!$F811&gt;=241,"High")</f>
        <v>High</v>
      </c>
      <c r="Q811" s="5" t="str">
        <f>_xlfn.IFS('Data set'!$D811&lt;=18.5,"Low",'Data set'!$D811&lt;=24.9,"Normal",'Data set'!$D811&lt;=29.9,"High",'Data set'!$D811&gt;29.9,"Very High")</f>
        <v>Normal</v>
      </c>
    </row>
    <row r="812" spans="1:17" x14ac:dyDescent="0.25">
      <c r="A812" s="3">
        <v>35</v>
      </c>
      <c r="B812" s="3" t="s">
        <v>0</v>
      </c>
      <c r="C812" s="4">
        <v>198.82</v>
      </c>
      <c r="D812" s="4">
        <v>24.23</v>
      </c>
      <c r="E812" s="3" t="s">
        <v>10</v>
      </c>
      <c r="F812" s="3">
        <v>189</v>
      </c>
      <c r="G812" s="3" t="s">
        <v>646</v>
      </c>
      <c r="H812" s="4">
        <v>5.36</v>
      </c>
      <c r="I812" s="3">
        <v>3</v>
      </c>
      <c r="J812" s="3" t="s">
        <v>4</v>
      </c>
      <c r="K812" s="3" t="s">
        <v>3</v>
      </c>
      <c r="L812" s="3">
        <v>95</v>
      </c>
      <c r="M812" s="3">
        <v>70</v>
      </c>
      <c r="N812" s="3" t="s">
        <v>12</v>
      </c>
      <c r="O812" s="3" t="str">
        <f>_xlfn.IFS('Data set'!$H812&lt;5.7,"Normal",'Data set'!$H812&lt;=6.4,"Prediabetes",'Data set'!$H812&lt;=7.5,"Diabetes",'Data set'!$H812&gt;=7.5,"Uncontrolled")</f>
        <v>Normal</v>
      </c>
      <c r="P812" s="3" t="str">
        <f>_xlfn.IFS('Data set'!$F812&lt;120,"Low",'Data set'!$F812&lt;=200,"Normal",'Data set'!$F812&lt;=240,"Boarderline",'Data set'!$F812&gt;=241,"High")</f>
        <v>Normal</v>
      </c>
      <c r="Q812" s="3" t="str">
        <f>_xlfn.IFS('Data set'!$D812&lt;=18.5,"Low",'Data set'!$D812&lt;=24.9,"Normal",'Data set'!$D812&lt;=29.9,"High",'Data set'!$D812&gt;29.9,"Very High")</f>
        <v>Normal</v>
      </c>
    </row>
    <row r="813" spans="1:17" x14ac:dyDescent="0.25">
      <c r="A813" s="5">
        <v>36</v>
      </c>
      <c r="B813" s="5" t="s">
        <v>0</v>
      </c>
      <c r="C813" s="6">
        <v>209.72</v>
      </c>
      <c r="D813" s="6">
        <v>22.05</v>
      </c>
      <c r="E813" s="5" t="s">
        <v>6</v>
      </c>
      <c r="F813" s="5">
        <v>140</v>
      </c>
      <c r="G813" s="5" t="s">
        <v>647</v>
      </c>
      <c r="H813" s="6">
        <v>9.91</v>
      </c>
      <c r="I813" s="5">
        <v>5</v>
      </c>
      <c r="J813" s="5" t="s">
        <v>3</v>
      </c>
      <c r="K813" s="5" t="s">
        <v>3</v>
      </c>
      <c r="L813" s="5">
        <v>115</v>
      </c>
      <c r="M813" s="5">
        <v>64</v>
      </c>
      <c r="N813" s="5" t="s">
        <v>12</v>
      </c>
      <c r="O813" s="5" t="str">
        <f>_xlfn.IFS('Data set'!$H813&lt;5.7,"Normal",'Data set'!$H813&lt;=6.4,"Prediabetes",'Data set'!$H813&lt;=7.5,"Diabetes",'Data set'!$H813&gt;=7.5,"Uncontrolled")</f>
        <v>Uncontrolled</v>
      </c>
      <c r="P813" s="5" t="str">
        <f>_xlfn.IFS('Data set'!$F813&lt;120,"Low",'Data set'!$F813&lt;=200,"Normal",'Data set'!$F813&lt;=240,"Boarderline",'Data set'!$F813&gt;=241,"High")</f>
        <v>Normal</v>
      </c>
      <c r="Q813" s="5" t="str">
        <f>_xlfn.IFS('Data set'!$D813&lt;=18.5,"Low",'Data set'!$D813&lt;=24.9,"Normal",'Data set'!$D813&lt;=29.9,"High",'Data set'!$D813&gt;29.9,"Very High")</f>
        <v>Normal</v>
      </c>
    </row>
    <row r="814" spans="1:17" x14ac:dyDescent="0.25">
      <c r="A814" s="3">
        <v>63</v>
      </c>
      <c r="B814" s="3" t="s">
        <v>9</v>
      </c>
      <c r="C814" s="4">
        <v>210.34</v>
      </c>
      <c r="D814" s="4">
        <v>22.99</v>
      </c>
      <c r="E814" s="3" t="s">
        <v>14</v>
      </c>
      <c r="F814" s="3">
        <v>234</v>
      </c>
      <c r="G814" s="3" t="s">
        <v>212</v>
      </c>
      <c r="H814" s="4">
        <v>6.41</v>
      </c>
      <c r="I814" s="3">
        <v>0</v>
      </c>
      <c r="J814" s="3" t="s">
        <v>4</v>
      </c>
      <c r="K814" s="3" t="s">
        <v>4</v>
      </c>
      <c r="L814" s="3">
        <v>136</v>
      </c>
      <c r="M814" s="3">
        <v>86</v>
      </c>
      <c r="N814" s="3" t="s">
        <v>21</v>
      </c>
      <c r="O814" s="3" t="str">
        <f>_xlfn.IFS('Data set'!$H814&lt;5.7,"Normal",'Data set'!$H814&lt;=6.4,"Prediabetes",'Data set'!$H814&lt;=7.5,"Diabetes",'Data set'!$H814&gt;=7.5,"Uncontrolled")</f>
        <v>Diabetes</v>
      </c>
      <c r="P814" s="3" t="str">
        <f>_xlfn.IFS('Data set'!$F814&lt;120,"Low",'Data set'!$F814&lt;=200,"Normal",'Data set'!$F814&lt;=240,"Boarderline",'Data set'!$F814&gt;=241,"High")</f>
        <v>Boarderline</v>
      </c>
      <c r="Q814" s="3" t="str">
        <f>_xlfn.IFS('Data set'!$D814&lt;=18.5,"Low",'Data set'!$D814&lt;=24.9,"Normal",'Data set'!$D814&lt;=29.9,"High",'Data set'!$D814&gt;29.9,"Very High")</f>
        <v>Normal</v>
      </c>
    </row>
    <row r="815" spans="1:17" x14ac:dyDescent="0.25">
      <c r="A815" s="5">
        <v>42</v>
      </c>
      <c r="B815" s="5" t="s">
        <v>0</v>
      </c>
      <c r="C815" s="6">
        <v>259.57</v>
      </c>
      <c r="D815" s="6">
        <v>27.22</v>
      </c>
      <c r="E815" s="5" t="s">
        <v>14</v>
      </c>
      <c r="F815" s="5">
        <v>264</v>
      </c>
      <c r="G815" s="5" t="s">
        <v>37</v>
      </c>
      <c r="H815" s="6">
        <v>4.05</v>
      </c>
      <c r="I815" s="5">
        <v>3</v>
      </c>
      <c r="J815" s="5" t="s">
        <v>4</v>
      </c>
      <c r="K815" s="5" t="s">
        <v>3</v>
      </c>
      <c r="L815" s="5">
        <v>94</v>
      </c>
      <c r="M815" s="5">
        <v>62</v>
      </c>
      <c r="N815" s="5" t="s">
        <v>23</v>
      </c>
      <c r="O815" s="5" t="str">
        <f>_xlfn.IFS('Data set'!$H815&lt;5.7,"Normal",'Data set'!$H815&lt;=6.4,"Prediabetes",'Data set'!$H815&lt;=7.5,"Diabetes",'Data set'!$H815&gt;=7.5,"Uncontrolled")</f>
        <v>Normal</v>
      </c>
      <c r="P815" s="5" t="str">
        <f>_xlfn.IFS('Data set'!$F815&lt;120,"Low",'Data set'!$F815&lt;=200,"Normal",'Data set'!$F815&lt;=240,"Boarderline",'Data set'!$F815&gt;=241,"High")</f>
        <v>High</v>
      </c>
      <c r="Q815" s="5" t="str">
        <f>_xlfn.IFS('Data set'!$D815&lt;=18.5,"Low",'Data set'!$D815&lt;=24.9,"Normal",'Data set'!$D815&lt;=29.9,"High",'Data set'!$D815&gt;29.9,"Very High")</f>
        <v>High</v>
      </c>
    </row>
    <row r="816" spans="1:17" x14ac:dyDescent="0.25">
      <c r="A816" s="3">
        <v>53</v>
      </c>
      <c r="B816" s="3" t="s">
        <v>0</v>
      </c>
      <c r="C816" s="4">
        <v>211.1</v>
      </c>
      <c r="D816" s="4">
        <v>29.1</v>
      </c>
      <c r="E816" s="3" t="s">
        <v>10</v>
      </c>
      <c r="F816" s="3">
        <v>115</v>
      </c>
      <c r="G816" s="3" t="s">
        <v>648</v>
      </c>
      <c r="H816" s="4">
        <v>7.48</v>
      </c>
      <c r="I816" s="3">
        <v>6</v>
      </c>
      <c r="J816" s="3" t="s">
        <v>3</v>
      </c>
      <c r="K816" s="3" t="s">
        <v>3</v>
      </c>
      <c r="L816" s="3">
        <v>132</v>
      </c>
      <c r="M816" s="3">
        <v>75</v>
      </c>
      <c r="N816" s="3" t="s">
        <v>8</v>
      </c>
      <c r="O816" s="3" t="str">
        <f>_xlfn.IFS('Data set'!$H816&lt;5.7,"Normal",'Data set'!$H816&lt;=6.4,"Prediabetes",'Data set'!$H816&lt;=7.5,"Diabetes",'Data set'!$H816&gt;=7.5,"Uncontrolled")</f>
        <v>Diabetes</v>
      </c>
      <c r="P816" s="3" t="str">
        <f>_xlfn.IFS('Data set'!$F816&lt;120,"Low",'Data set'!$F816&lt;=200,"Normal",'Data set'!$F816&lt;=240,"Boarderline",'Data set'!$F816&gt;=241,"High")</f>
        <v>Low</v>
      </c>
      <c r="Q816" s="3" t="str">
        <f>_xlfn.IFS('Data set'!$D816&lt;=18.5,"Low",'Data set'!$D816&lt;=24.9,"Normal",'Data set'!$D816&lt;=29.9,"High",'Data set'!$D816&gt;29.9,"Very High")</f>
        <v>High</v>
      </c>
    </row>
    <row r="817" spans="1:17" x14ac:dyDescent="0.25">
      <c r="A817" s="5">
        <v>23</v>
      </c>
      <c r="B817" s="5" t="s">
        <v>0</v>
      </c>
      <c r="C817" s="6">
        <v>207.69</v>
      </c>
      <c r="D817" s="6">
        <v>35.72</v>
      </c>
      <c r="E817" s="5" t="s">
        <v>1</v>
      </c>
      <c r="F817" s="5">
        <v>218</v>
      </c>
      <c r="G817" s="5" t="s">
        <v>254</v>
      </c>
      <c r="H817" s="6">
        <v>9.82</v>
      </c>
      <c r="I817" s="5">
        <v>6</v>
      </c>
      <c r="J817" s="5" t="s">
        <v>3</v>
      </c>
      <c r="K817" s="5" t="s">
        <v>4</v>
      </c>
      <c r="L817" s="5">
        <v>134</v>
      </c>
      <c r="M817" s="5">
        <v>66</v>
      </c>
      <c r="N817" s="5" t="s">
        <v>17</v>
      </c>
      <c r="O817" s="5" t="str">
        <f>_xlfn.IFS('Data set'!$H817&lt;5.7,"Normal",'Data set'!$H817&lt;=6.4,"Prediabetes",'Data set'!$H817&lt;=7.5,"Diabetes",'Data set'!$H817&gt;=7.5,"Uncontrolled")</f>
        <v>Uncontrolled</v>
      </c>
      <c r="P817" s="5" t="str">
        <f>_xlfn.IFS('Data set'!$F817&lt;120,"Low",'Data set'!$F817&lt;=200,"Normal",'Data set'!$F817&lt;=240,"Boarderline",'Data set'!$F817&gt;=241,"High")</f>
        <v>Boarderline</v>
      </c>
      <c r="Q817" s="5" t="str">
        <f>_xlfn.IFS('Data set'!$D817&lt;=18.5,"Low",'Data set'!$D817&lt;=24.9,"Normal",'Data set'!$D817&lt;=29.9,"High",'Data set'!$D817&gt;29.9,"Very High")</f>
        <v>Very High</v>
      </c>
    </row>
    <row r="818" spans="1:17" x14ac:dyDescent="0.25">
      <c r="A818" s="3">
        <v>69</v>
      </c>
      <c r="B818" s="3" t="s">
        <v>9</v>
      </c>
      <c r="C818" s="4">
        <v>89.42</v>
      </c>
      <c r="D818" s="4">
        <v>20.89</v>
      </c>
      <c r="E818" s="3" t="s">
        <v>1</v>
      </c>
      <c r="F818" s="3">
        <v>121</v>
      </c>
      <c r="G818" s="3" t="s">
        <v>224</v>
      </c>
      <c r="H818" s="4">
        <v>7.3</v>
      </c>
      <c r="I818" s="3">
        <v>6</v>
      </c>
      <c r="J818" s="3" t="s">
        <v>3</v>
      </c>
      <c r="K818" s="3" t="s">
        <v>4</v>
      </c>
      <c r="L818" s="3">
        <v>100</v>
      </c>
      <c r="M818" s="3">
        <v>60</v>
      </c>
      <c r="N818" s="3" t="s">
        <v>21</v>
      </c>
      <c r="O818" s="3" t="str">
        <f>_xlfn.IFS('Data set'!$H818&lt;5.7,"Normal",'Data set'!$H818&lt;=6.4,"Prediabetes",'Data set'!$H818&lt;=7.5,"Diabetes",'Data set'!$H818&gt;=7.5,"Uncontrolled")</f>
        <v>Diabetes</v>
      </c>
      <c r="P818" s="3" t="str">
        <f>_xlfn.IFS('Data set'!$F818&lt;120,"Low",'Data set'!$F818&lt;=200,"Normal",'Data set'!$F818&lt;=240,"Boarderline",'Data set'!$F818&gt;=241,"High")</f>
        <v>Normal</v>
      </c>
      <c r="Q818" s="3" t="str">
        <f>_xlfn.IFS('Data set'!$D818&lt;=18.5,"Low",'Data set'!$D818&lt;=24.9,"Normal",'Data set'!$D818&lt;=29.9,"High",'Data set'!$D818&gt;29.9,"Very High")</f>
        <v>Normal</v>
      </c>
    </row>
    <row r="819" spans="1:17" x14ac:dyDescent="0.25">
      <c r="A819" s="5">
        <v>52</v>
      </c>
      <c r="B819" s="5" t="s">
        <v>0</v>
      </c>
      <c r="C819" s="6">
        <v>104.33</v>
      </c>
      <c r="D819" s="6">
        <v>28.06</v>
      </c>
      <c r="E819" s="5" t="s">
        <v>10</v>
      </c>
      <c r="F819" s="5">
        <v>288</v>
      </c>
      <c r="G819" s="5" t="s">
        <v>649</v>
      </c>
      <c r="H819" s="6">
        <v>9.77</v>
      </c>
      <c r="I819" s="5">
        <v>0</v>
      </c>
      <c r="J819" s="5" t="s">
        <v>3</v>
      </c>
      <c r="K819" s="5" t="s">
        <v>4</v>
      </c>
      <c r="L819" s="5">
        <v>111</v>
      </c>
      <c r="M819" s="5">
        <v>67</v>
      </c>
      <c r="N819" s="5" t="s">
        <v>8</v>
      </c>
      <c r="O819" s="5" t="str">
        <f>_xlfn.IFS('Data set'!$H819&lt;5.7,"Normal",'Data set'!$H819&lt;=6.4,"Prediabetes",'Data set'!$H819&lt;=7.5,"Diabetes",'Data set'!$H819&gt;=7.5,"Uncontrolled")</f>
        <v>Uncontrolled</v>
      </c>
      <c r="P819" s="5" t="str">
        <f>_xlfn.IFS('Data set'!$F819&lt;120,"Low",'Data set'!$F819&lt;=200,"Normal",'Data set'!$F819&lt;=240,"Boarderline",'Data set'!$F819&gt;=241,"High")</f>
        <v>High</v>
      </c>
      <c r="Q819" s="5" t="str">
        <f>_xlfn.IFS('Data set'!$D819&lt;=18.5,"Low",'Data set'!$D819&lt;=24.9,"Normal",'Data set'!$D819&lt;=29.9,"High",'Data set'!$D819&gt;29.9,"Very High")</f>
        <v>High</v>
      </c>
    </row>
    <row r="820" spans="1:17" x14ac:dyDescent="0.25">
      <c r="A820" s="3">
        <v>18</v>
      </c>
      <c r="B820" s="3" t="s">
        <v>9</v>
      </c>
      <c r="C820" s="4">
        <v>127.02</v>
      </c>
      <c r="D820" s="4">
        <v>38.96</v>
      </c>
      <c r="E820" s="3" t="s">
        <v>1</v>
      </c>
      <c r="F820" s="3">
        <v>160</v>
      </c>
      <c r="G820" s="3" t="s">
        <v>650</v>
      </c>
      <c r="H820" s="4">
        <v>6.64</v>
      </c>
      <c r="I820" s="3">
        <v>6</v>
      </c>
      <c r="J820" s="3" t="s">
        <v>4</v>
      </c>
      <c r="K820" s="3" t="s">
        <v>3</v>
      </c>
      <c r="L820" s="3">
        <v>120</v>
      </c>
      <c r="M820" s="3">
        <v>81</v>
      </c>
      <c r="N820" s="3" t="s">
        <v>17</v>
      </c>
      <c r="O820" s="3" t="str">
        <f>_xlfn.IFS('Data set'!$H820&lt;5.7,"Normal",'Data set'!$H820&lt;=6.4,"Prediabetes",'Data set'!$H820&lt;=7.5,"Diabetes",'Data set'!$H820&gt;=7.5,"Uncontrolled")</f>
        <v>Diabetes</v>
      </c>
      <c r="P820" s="3" t="str">
        <f>_xlfn.IFS('Data set'!$F820&lt;120,"Low",'Data set'!$F820&lt;=200,"Normal",'Data set'!$F820&lt;=240,"Boarderline",'Data set'!$F820&gt;=241,"High")</f>
        <v>Normal</v>
      </c>
      <c r="Q820" s="3" t="str">
        <f>_xlfn.IFS('Data set'!$D820&lt;=18.5,"Low",'Data set'!$D820&lt;=24.9,"Normal",'Data set'!$D820&lt;=29.9,"High",'Data set'!$D820&gt;29.9,"Very High")</f>
        <v>Very High</v>
      </c>
    </row>
    <row r="821" spans="1:17" x14ac:dyDescent="0.25">
      <c r="A821" s="5">
        <v>41</v>
      </c>
      <c r="B821" s="5" t="s">
        <v>9</v>
      </c>
      <c r="C821" s="6">
        <v>297.68</v>
      </c>
      <c r="D821" s="6">
        <v>30.46</v>
      </c>
      <c r="E821" s="5" t="s">
        <v>10</v>
      </c>
      <c r="F821" s="5">
        <v>255</v>
      </c>
      <c r="G821" s="5" t="s">
        <v>651</v>
      </c>
      <c r="H821" s="6">
        <v>5.21</v>
      </c>
      <c r="I821" s="5">
        <v>7</v>
      </c>
      <c r="J821" s="5" t="s">
        <v>4</v>
      </c>
      <c r="K821" s="5" t="s">
        <v>4</v>
      </c>
      <c r="L821" s="5">
        <v>105</v>
      </c>
      <c r="M821" s="5">
        <v>68</v>
      </c>
      <c r="N821" s="5" t="s">
        <v>23</v>
      </c>
      <c r="O821" s="5" t="str">
        <f>_xlfn.IFS('Data set'!$H821&lt;5.7,"Normal",'Data set'!$H821&lt;=6.4,"Prediabetes",'Data set'!$H821&lt;=7.5,"Diabetes",'Data set'!$H821&gt;=7.5,"Uncontrolled")</f>
        <v>Normal</v>
      </c>
      <c r="P821" s="5" t="str">
        <f>_xlfn.IFS('Data set'!$F821&lt;120,"Low",'Data set'!$F821&lt;=200,"Normal",'Data set'!$F821&lt;=240,"Boarderline",'Data set'!$F821&gt;=241,"High")</f>
        <v>High</v>
      </c>
      <c r="Q821" s="5" t="str">
        <f>_xlfn.IFS('Data set'!$D821&lt;=18.5,"Low",'Data set'!$D821&lt;=24.9,"Normal",'Data set'!$D821&lt;=29.9,"High",'Data set'!$D821&gt;29.9,"Very High")</f>
        <v>Very High</v>
      </c>
    </row>
    <row r="822" spans="1:17" x14ac:dyDescent="0.25">
      <c r="A822" s="3">
        <v>20</v>
      </c>
      <c r="B822" s="3" t="s">
        <v>9</v>
      </c>
      <c r="C822" s="4">
        <v>143.5</v>
      </c>
      <c r="D822" s="4">
        <v>33.28</v>
      </c>
      <c r="E822" s="3" t="s">
        <v>6</v>
      </c>
      <c r="F822" s="3">
        <v>129</v>
      </c>
      <c r="G822" s="3" t="s">
        <v>652</v>
      </c>
      <c r="H822" s="4">
        <v>9.8800000000000008</v>
      </c>
      <c r="I822" s="3">
        <v>6</v>
      </c>
      <c r="J822" s="3" t="s">
        <v>4</v>
      </c>
      <c r="K822" s="3" t="s">
        <v>4</v>
      </c>
      <c r="L822" s="3">
        <v>96</v>
      </c>
      <c r="M822" s="3">
        <v>88</v>
      </c>
      <c r="N822" s="3" t="s">
        <v>17</v>
      </c>
      <c r="O822" s="3" t="str">
        <f>_xlfn.IFS('Data set'!$H822&lt;5.7,"Normal",'Data set'!$H822&lt;=6.4,"Prediabetes",'Data set'!$H822&lt;=7.5,"Diabetes",'Data set'!$H822&gt;=7.5,"Uncontrolled")</f>
        <v>Uncontrolled</v>
      </c>
      <c r="P822" s="3" t="str">
        <f>_xlfn.IFS('Data set'!$F822&lt;120,"Low",'Data set'!$F822&lt;=200,"Normal",'Data set'!$F822&lt;=240,"Boarderline",'Data set'!$F822&gt;=241,"High")</f>
        <v>Normal</v>
      </c>
      <c r="Q822" s="3" t="str">
        <f>_xlfn.IFS('Data set'!$D822&lt;=18.5,"Low",'Data set'!$D822&lt;=24.9,"Normal",'Data set'!$D822&lt;=29.9,"High",'Data set'!$D822&gt;29.9,"Very High")</f>
        <v>Very High</v>
      </c>
    </row>
    <row r="823" spans="1:17" x14ac:dyDescent="0.25">
      <c r="A823" s="5">
        <v>30</v>
      </c>
      <c r="B823" s="5" t="s">
        <v>0</v>
      </c>
      <c r="C823" s="6">
        <v>195.25</v>
      </c>
      <c r="D823" s="6">
        <v>26.79</v>
      </c>
      <c r="E823" s="5" t="s">
        <v>14</v>
      </c>
      <c r="F823" s="5">
        <v>173</v>
      </c>
      <c r="G823" s="5" t="s">
        <v>562</v>
      </c>
      <c r="H823" s="6">
        <v>6.75</v>
      </c>
      <c r="I823" s="5">
        <v>5</v>
      </c>
      <c r="J823" s="5" t="s">
        <v>4</v>
      </c>
      <c r="K823" s="5" t="s">
        <v>4</v>
      </c>
      <c r="L823" s="5">
        <v>110</v>
      </c>
      <c r="M823" s="5">
        <v>65</v>
      </c>
      <c r="N823" s="5" t="s">
        <v>17</v>
      </c>
      <c r="O823" s="5" t="str">
        <f>_xlfn.IFS('Data set'!$H823&lt;5.7,"Normal",'Data set'!$H823&lt;=6.4,"Prediabetes",'Data set'!$H823&lt;=7.5,"Diabetes",'Data set'!$H823&gt;=7.5,"Uncontrolled")</f>
        <v>Diabetes</v>
      </c>
      <c r="P823" s="5" t="str">
        <f>_xlfn.IFS('Data set'!$F823&lt;120,"Low",'Data set'!$F823&lt;=200,"Normal",'Data set'!$F823&lt;=240,"Boarderline",'Data set'!$F823&gt;=241,"High")</f>
        <v>Normal</v>
      </c>
      <c r="Q823" s="5" t="str">
        <f>_xlfn.IFS('Data set'!$D823&lt;=18.5,"Low",'Data set'!$D823&lt;=24.9,"Normal",'Data set'!$D823&lt;=29.9,"High",'Data set'!$D823&gt;29.9,"Very High")</f>
        <v>High</v>
      </c>
    </row>
    <row r="824" spans="1:17" x14ac:dyDescent="0.25">
      <c r="A824" s="3">
        <v>42</v>
      </c>
      <c r="B824" s="3" t="s">
        <v>9</v>
      </c>
      <c r="C824" s="4">
        <v>114.23</v>
      </c>
      <c r="D824" s="4">
        <v>21.12</v>
      </c>
      <c r="E824" s="3" t="s">
        <v>14</v>
      </c>
      <c r="F824" s="3">
        <v>286</v>
      </c>
      <c r="G824" s="3" t="s">
        <v>280</v>
      </c>
      <c r="H824" s="4">
        <v>4.25</v>
      </c>
      <c r="I824" s="3">
        <v>1</v>
      </c>
      <c r="J824" s="3" t="s">
        <v>3</v>
      </c>
      <c r="K824" s="3" t="s">
        <v>3</v>
      </c>
      <c r="L824" s="3">
        <v>103</v>
      </c>
      <c r="M824" s="3">
        <v>71</v>
      </c>
      <c r="N824" s="3" t="s">
        <v>23</v>
      </c>
      <c r="O824" s="3" t="str">
        <f>_xlfn.IFS('Data set'!$H824&lt;5.7,"Normal",'Data set'!$H824&lt;=6.4,"Prediabetes",'Data set'!$H824&lt;=7.5,"Diabetes",'Data set'!$H824&gt;=7.5,"Uncontrolled")</f>
        <v>Normal</v>
      </c>
      <c r="P824" s="3" t="str">
        <f>_xlfn.IFS('Data set'!$F824&lt;120,"Low",'Data set'!$F824&lt;=200,"Normal",'Data set'!$F824&lt;=240,"Boarderline",'Data set'!$F824&gt;=241,"High")</f>
        <v>High</v>
      </c>
      <c r="Q824" s="3" t="str">
        <f>_xlfn.IFS('Data set'!$D824&lt;=18.5,"Low",'Data set'!$D824&lt;=24.9,"Normal",'Data set'!$D824&lt;=29.9,"High",'Data set'!$D824&gt;29.9,"Very High")</f>
        <v>Normal</v>
      </c>
    </row>
    <row r="825" spans="1:17" x14ac:dyDescent="0.25">
      <c r="A825" s="5">
        <v>45</v>
      </c>
      <c r="B825" s="5" t="s">
        <v>9</v>
      </c>
      <c r="C825" s="6">
        <v>278.42</v>
      </c>
      <c r="D825" s="6">
        <v>28.81</v>
      </c>
      <c r="E825" s="5" t="s">
        <v>10</v>
      </c>
      <c r="F825" s="5">
        <v>139</v>
      </c>
      <c r="G825" s="5" t="s">
        <v>189</v>
      </c>
      <c r="H825" s="6">
        <v>6.14</v>
      </c>
      <c r="I825" s="5">
        <v>2</v>
      </c>
      <c r="J825" s="5" t="s">
        <v>4</v>
      </c>
      <c r="K825" s="5" t="s">
        <v>4</v>
      </c>
      <c r="L825" s="5">
        <v>114</v>
      </c>
      <c r="M825" s="5">
        <v>76</v>
      </c>
      <c r="N825" s="5" t="s">
        <v>23</v>
      </c>
      <c r="O825" s="5" t="str">
        <f>_xlfn.IFS('Data set'!$H825&lt;5.7,"Normal",'Data set'!$H825&lt;=6.4,"Prediabetes",'Data set'!$H825&lt;=7.5,"Diabetes",'Data set'!$H825&gt;=7.5,"Uncontrolled")</f>
        <v>Prediabetes</v>
      </c>
      <c r="P825" s="5" t="str">
        <f>_xlfn.IFS('Data set'!$F825&lt;120,"Low",'Data set'!$F825&lt;=200,"Normal",'Data set'!$F825&lt;=240,"Boarderline",'Data set'!$F825&gt;=241,"High")</f>
        <v>Normal</v>
      </c>
      <c r="Q825" s="5" t="str">
        <f>_xlfn.IFS('Data set'!$D825&lt;=18.5,"Low",'Data set'!$D825&lt;=24.9,"Normal",'Data set'!$D825&lt;=29.9,"High",'Data set'!$D825&gt;29.9,"Very High")</f>
        <v>High</v>
      </c>
    </row>
    <row r="826" spans="1:17" x14ac:dyDescent="0.25">
      <c r="A826" s="3">
        <v>71</v>
      </c>
      <c r="B826" s="3" t="s">
        <v>0</v>
      </c>
      <c r="C826" s="4">
        <v>114.88</v>
      </c>
      <c r="D826" s="4">
        <v>33.880000000000003</v>
      </c>
      <c r="E826" s="3" t="s">
        <v>14</v>
      </c>
      <c r="F826" s="3">
        <v>268</v>
      </c>
      <c r="G826" s="3" t="s">
        <v>653</v>
      </c>
      <c r="H826" s="4">
        <v>5.46</v>
      </c>
      <c r="I826" s="3">
        <v>0</v>
      </c>
      <c r="J826" s="3" t="s">
        <v>3</v>
      </c>
      <c r="K826" s="3" t="s">
        <v>3</v>
      </c>
      <c r="L826" s="3">
        <v>95</v>
      </c>
      <c r="M826" s="3">
        <v>68</v>
      </c>
      <c r="N826" s="3" t="s">
        <v>5</v>
      </c>
      <c r="O826" s="3" t="str">
        <f>_xlfn.IFS('Data set'!$H826&lt;5.7,"Normal",'Data set'!$H826&lt;=6.4,"Prediabetes",'Data set'!$H826&lt;=7.5,"Diabetes",'Data set'!$H826&gt;=7.5,"Uncontrolled")</f>
        <v>Normal</v>
      </c>
      <c r="P826" s="3" t="str">
        <f>_xlfn.IFS('Data set'!$F826&lt;120,"Low",'Data set'!$F826&lt;=200,"Normal",'Data set'!$F826&lt;=240,"Boarderline",'Data set'!$F826&gt;=241,"High")</f>
        <v>High</v>
      </c>
      <c r="Q826" s="3" t="str">
        <f>_xlfn.IFS('Data set'!$D826&lt;=18.5,"Low",'Data set'!$D826&lt;=24.9,"Normal",'Data set'!$D826&lt;=29.9,"High",'Data set'!$D826&gt;29.9,"Very High")</f>
        <v>Very High</v>
      </c>
    </row>
    <row r="827" spans="1:17" x14ac:dyDescent="0.25">
      <c r="A827" s="5">
        <v>63</v>
      </c>
      <c r="B827" s="5" t="s">
        <v>0</v>
      </c>
      <c r="C827" s="6">
        <v>223.91</v>
      </c>
      <c r="D827" s="6">
        <v>21.36</v>
      </c>
      <c r="E827" s="5" t="s">
        <v>6</v>
      </c>
      <c r="F827" s="5">
        <v>215</v>
      </c>
      <c r="G827" s="5" t="s">
        <v>29</v>
      </c>
      <c r="H827" s="6">
        <v>5.15</v>
      </c>
      <c r="I827" s="5">
        <v>2</v>
      </c>
      <c r="J827" s="5" t="s">
        <v>3</v>
      </c>
      <c r="K827" s="5" t="s">
        <v>3</v>
      </c>
      <c r="L827" s="5">
        <v>137</v>
      </c>
      <c r="M827" s="5">
        <v>70</v>
      </c>
      <c r="N827" s="5" t="s">
        <v>21</v>
      </c>
      <c r="O827" s="5" t="str">
        <f>_xlfn.IFS('Data set'!$H827&lt;5.7,"Normal",'Data set'!$H827&lt;=6.4,"Prediabetes",'Data set'!$H827&lt;=7.5,"Diabetes",'Data set'!$H827&gt;=7.5,"Uncontrolled")</f>
        <v>Normal</v>
      </c>
      <c r="P827" s="5" t="str">
        <f>_xlfn.IFS('Data set'!$F827&lt;120,"Low",'Data set'!$F827&lt;=200,"Normal",'Data set'!$F827&lt;=240,"Boarderline",'Data set'!$F827&gt;=241,"High")</f>
        <v>Boarderline</v>
      </c>
      <c r="Q827" s="5" t="str">
        <f>_xlfn.IFS('Data set'!$D827&lt;=18.5,"Low",'Data set'!$D827&lt;=24.9,"Normal",'Data set'!$D827&lt;=29.9,"High",'Data set'!$D827&gt;29.9,"Very High")</f>
        <v>Normal</v>
      </c>
    </row>
    <row r="828" spans="1:17" x14ac:dyDescent="0.25">
      <c r="A828" s="3">
        <v>54</v>
      </c>
      <c r="B828" s="3" t="s">
        <v>9</v>
      </c>
      <c r="C828" s="4">
        <v>271.55</v>
      </c>
      <c r="D828" s="4">
        <v>21.25</v>
      </c>
      <c r="E828" s="3" t="s">
        <v>6</v>
      </c>
      <c r="F828" s="3">
        <v>103</v>
      </c>
      <c r="G828" s="3" t="s">
        <v>295</v>
      </c>
      <c r="H828" s="4">
        <v>5.79</v>
      </c>
      <c r="I828" s="3">
        <v>4</v>
      </c>
      <c r="J828" s="3" t="s">
        <v>3</v>
      </c>
      <c r="K828" s="3" t="s">
        <v>4</v>
      </c>
      <c r="L828" s="3">
        <v>129</v>
      </c>
      <c r="M828" s="3">
        <v>63</v>
      </c>
      <c r="N828" s="3" t="s">
        <v>8</v>
      </c>
      <c r="O828" s="3" t="str">
        <f>_xlfn.IFS('Data set'!$H828&lt;5.7,"Normal",'Data set'!$H828&lt;=6.4,"Prediabetes",'Data set'!$H828&lt;=7.5,"Diabetes",'Data set'!$H828&gt;=7.5,"Uncontrolled")</f>
        <v>Prediabetes</v>
      </c>
      <c r="P828" s="3" t="str">
        <f>_xlfn.IFS('Data set'!$F828&lt;120,"Low",'Data set'!$F828&lt;=200,"Normal",'Data set'!$F828&lt;=240,"Boarderline",'Data set'!$F828&gt;=241,"High")</f>
        <v>Low</v>
      </c>
      <c r="Q828" s="3" t="str">
        <f>_xlfn.IFS('Data set'!$D828&lt;=18.5,"Low",'Data set'!$D828&lt;=24.9,"Normal",'Data set'!$D828&lt;=29.9,"High",'Data set'!$D828&gt;29.9,"Very High")</f>
        <v>Normal</v>
      </c>
    </row>
    <row r="829" spans="1:17" x14ac:dyDescent="0.25">
      <c r="A829" s="5">
        <v>79</v>
      </c>
      <c r="B829" s="5" t="s">
        <v>0</v>
      </c>
      <c r="C829" s="6">
        <v>186.7</v>
      </c>
      <c r="D829" s="6">
        <v>26.53</v>
      </c>
      <c r="E829" s="5" t="s">
        <v>10</v>
      </c>
      <c r="F829" s="5">
        <v>191</v>
      </c>
      <c r="G829" s="5" t="s">
        <v>153</v>
      </c>
      <c r="H829" s="6">
        <v>4.7699999999999996</v>
      </c>
      <c r="I829" s="5">
        <v>0</v>
      </c>
      <c r="J829" s="5" t="s">
        <v>3</v>
      </c>
      <c r="K829" s="5" t="s">
        <v>3</v>
      </c>
      <c r="L829" s="5">
        <v>114</v>
      </c>
      <c r="M829" s="5">
        <v>78</v>
      </c>
      <c r="N829" s="5" t="s">
        <v>5</v>
      </c>
      <c r="O829" s="5" t="str">
        <f>_xlfn.IFS('Data set'!$H829&lt;5.7,"Normal",'Data set'!$H829&lt;=6.4,"Prediabetes",'Data set'!$H829&lt;=7.5,"Diabetes",'Data set'!$H829&gt;=7.5,"Uncontrolled")</f>
        <v>Normal</v>
      </c>
      <c r="P829" s="5" t="str">
        <f>_xlfn.IFS('Data set'!$F829&lt;120,"Low",'Data set'!$F829&lt;=200,"Normal",'Data set'!$F829&lt;=240,"Boarderline",'Data set'!$F829&gt;=241,"High")</f>
        <v>Normal</v>
      </c>
      <c r="Q829" s="5" t="str">
        <f>_xlfn.IFS('Data set'!$D829&lt;=18.5,"Low",'Data set'!$D829&lt;=24.9,"Normal",'Data set'!$D829&lt;=29.9,"High",'Data set'!$D829&gt;29.9,"Very High")</f>
        <v>High</v>
      </c>
    </row>
    <row r="830" spans="1:17" x14ac:dyDescent="0.25">
      <c r="A830" s="3">
        <v>23</v>
      </c>
      <c r="B830" s="3" t="s">
        <v>9</v>
      </c>
      <c r="C830" s="4">
        <v>152.33000000000001</v>
      </c>
      <c r="D830" s="4">
        <v>24.72</v>
      </c>
      <c r="E830" s="3" t="s">
        <v>10</v>
      </c>
      <c r="F830" s="3">
        <v>124</v>
      </c>
      <c r="G830" s="3" t="s">
        <v>46</v>
      </c>
      <c r="H830" s="4">
        <v>5.53</v>
      </c>
      <c r="I830" s="3">
        <v>0</v>
      </c>
      <c r="J830" s="3" t="s">
        <v>3</v>
      </c>
      <c r="K830" s="3" t="s">
        <v>4</v>
      </c>
      <c r="L830" s="3">
        <v>99</v>
      </c>
      <c r="M830" s="3">
        <v>90</v>
      </c>
      <c r="N830" s="3" t="s">
        <v>17</v>
      </c>
      <c r="O830" s="3" t="str">
        <f>_xlfn.IFS('Data set'!$H830&lt;5.7,"Normal",'Data set'!$H830&lt;=6.4,"Prediabetes",'Data set'!$H830&lt;=7.5,"Diabetes",'Data set'!$H830&gt;=7.5,"Uncontrolled")</f>
        <v>Normal</v>
      </c>
      <c r="P830" s="3" t="str">
        <f>_xlfn.IFS('Data set'!$F830&lt;120,"Low",'Data set'!$F830&lt;=200,"Normal",'Data set'!$F830&lt;=240,"Boarderline",'Data set'!$F830&gt;=241,"High")</f>
        <v>Normal</v>
      </c>
      <c r="Q830" s="3" t="str">
        <f>_xlfn.IFS('Data set'!$D830&lt;=18.5,"Low",'Data set'!$D830&lt;=24.9,"Normal",'Data set'!$D830&lt;=29.9,"High",'Data set'!$D830&gt;29.9,"Very High")</f>
        <v>Normal</v>
      </c>
    </row>
    <row r="831" spans="1:17" x14ac:dyDescent="0.25">
      <c r="A831" s="5">
        <v>38</v>
      </c>
      <c r="B831" s="5" t="s">
        <v>0</v>
      </c>
      <c r="C831" s="6">
        <v>217.16</v>
      </c>
      <c r="D831" s="6">
        <v>34.75</v>
      </c>
      <c r="E831" s="5" t="s">
        <v>6</v>
      </c>
      <c r="F831" s="5">
        <v>159</v>
      </c>
      <c r="G831" s="5" t="s">
        <v>654</v>
      </c>
      <c r="H831" s="6">
        <v>5.38</v>
      </c>
      <c r="I831" s="5">
        <v>6</v>
      </c>
      <c r="J831" s="5" t="s">
        <v>3</v>
      </c>
      <c r="K831" s="5" t="s">
        <v>4</v>
      </c>
      <c r="L831" s="5">
        <v>104</v>
      </c>
      <c r="M831" s="5">
        <v>84</v>
      </c>
      <c r="N831" s="5" t="s">
        <v>12</v>
      </c>
      <c r="O831" s="5" t="str">
        <f>_xlfn.IFS('Data set'!$H831&lt;5.7,"Normal",'Data set'!$H831&lt;=6.4,"Prediabetes",'Data set'!$H831&lt;=7.5,"Diabetes",'Data set'!$H831&gt;=7.5,"Uncontrolled")</f>
        <v>Normal</v>
      </c>
      <c r="P831" s="5" t="str">
        <f>_xlfn.IFS('Data set'!$F831&lt;120,"Low",'Data set'!$F831&lt;=200,"Normal",'Data set'!$F831&lt;=240,"Boarderline",'Data set'!$F831&gt;=241,"High")</f>
        <v>Normal</v>
      </c>
      <c r="Q831" s="5" t="str">
        <f>_xlfn.IFS('Data set'!$D831&lt;=18.5,"Low",'Data set'!$D831&lt;=24.9,"Normal",'Data set'!$D831&lt;=29.9,"High",'Data set'!$D831&gt;29.9,"Very High")</f>
        <v>Very High</v>
      </c>
    </row>
    <row r="832" spans="1:17" x14ac:dyDescent="0.25">
      <c r="A832" s="3">
        <v>41</v>
      </c>
      <c r="B832" s="3" t="s">
        <v>9</v>
      </c>
      <c r="C832" s="4">
        <v>109.29</v>
      </c>
      <c r="D832" s="4">
        <v>26.85</v>
      </c>
      <c r="E832" s="3" t="s">
        <v>1</v>
      </c>
      <c r="F832" s="3">
        <v>167</v>
      </c>
      <c r="G832" s="3" t="s">
        <v>26</v>
      </c>
      <c r="H832" s="4">
        <v>9.07</v>
      </c>
      <c r="I832" s="3">
        <v>3</v>
      </c>
      <c r="J832" s="3" t="s">
        <v>4</v>
      </c>
      <c r="K832" s="3" t="s">
        <v>4</v>
      </c>
      <c r="L832" s="3">
        <v>103</v>
      </c>
      <c r="M832" s="3">
        <v>88</v>
      </c>
      <c r="N832" s="3" t="s">
        <v>23</v>
      </c>
      <c r="O832" s="3" t="str">
        <f>_xlfn.IFS('Data set'!$H832&lt;5.7,"Normal",'Data set'!$H832&lt;=6.4,"Prediabetes",'Data set'!$H832&lt;=7.5,"Diabetes",'Data set'!$H832&gt;=7.5,"Uncontrolled")</f>
        <v>Uncontrolled</v>
      </c>
      <c r="P832" s="3" t="str">
        <f>_xlfn.IFS('Data set'!$F832&lt;120,"Low",'Data set'!$F832&lt;=200,"Normal",'Data set'!$F832&lt;=240,"Boarderline",'Data set'!$F832&gt;=241,"High")</f>
        <v>Normal</v>
      </c>
      <c r="Q832" s="3" t="str">
        <f>_xlfn.IFS('Data set'!$D832&lt;=18.5,"Low",'Data set'!$D832&lt;=24.9,"Normal",'Data set'!$D832&lt;=29.9,"High",'Data set'!$D832&gt;29.9,"Very High")</f>
        <v>High</v>
      </c>
    </row>
    <row r="833" spans="1:17" x14ac:dyDescent="0.25">
      <c r="A833" s="5">
        <v>27</v>
      </c>
      <c r="B833" s="5" t="s">
        <v>0</v>
      </c>
      <c r="C833" s="6">
        <v>276.81</v>
      </c>
      <c r="D833" s="6">
        <v>18.18</v>
      </c>
      <c r="E833" s="5" t="s">
        <v>10</v>
      </c>
      <c r="F833" s="5">
        <v>223</v>
      </c>
      <c r="G833" s="5" t="s">
        <v>236</v>
      </c>
      <c r="H833" s="6">
        <v>4.97</v>
      </c>
      <c r="I833" s="5">
        <v>7</v>
      </c>
      <c r="J833" s="5" t="s">
        <v>3</v>
      </c>
      <c r="K833" s="5" t="s">
        <v>3</v>
      </c>
      <c r="L833" s="5">
        <v>137</v>
      </c>
      <c r="M833" s="5">
        <v>75</v>
      </c>
      <c r="N833" s="5" t="s">
        <v>17</v>
      </c>
      <c r="O833" s="5" t="str">
        <f>_xlfn.IFS('Data set'!$H833&lt;5.7,"Normal",'Data set'!$H833&lt;=6.4,"Prediabetes",'Data set'!$H833&lt;=7.5,"Diabetes",'Data set'!$H833&gt;=7.5,"Uncontrolled")</f>
        <v>Normal</v>
      </c>
      <c r="P833" s="5" t="str">
        <f>_xlfn.IFS('Data set'!$F833&lt;120,"Low",'Data set'!$F833&lt;=200,"Normal",'Data set'!$F833&lt;=240,"Boarderline",'Data set'!$F833&gt;=241,"High")</f>
        <v>Boarderline</v>
      </c>
      <c r="Q833" s="5" t="str">
        <f>_xlfn.IFS('Data set'!$D833&lt;=18.5,"Low",'Data set'!$D833&lt;=24.9,"Normal",'Data set'!$D833&lt;=29.9,"High",'Data set'!$D833&gt;29.9,"Very High")</f>
        <v>Low</v>
      </c>
    </row>
    <row r="834" spans="1:17" x14ac:dyDescent="0.25">
      <c r="A834" s="3">
        <v>37</v>
      </c>
      <c r="B834" s="3" t="s">
        <v>9</v>
      </c>
      <c r="C834" s="4">
        <v>120.88</v>
      </c>
      <c r="D834" s="4">
        <v>31.05</v>
      </c>
      <c r="E834" s="3" t="s">
        <v>10</v>
      </c>
      <c r="F834" s="3">
        <v>208</v>
      </c>
      <c r="G834" s="3" t="s">
        <v>179</v>
      </c>
      <c r="H834" s="4">
        <v>8.83</v>
      </c>
      <c r="I834" s="3">
        <v>4</v>
      </c>
      <c r="J834" s="3" t="s">
        <v>4</v>
      </c>
      <c r="K834" s="3" t="s">
        <v>3</v>
      </c>
      <c r="L834" s="3">
        <v>127</v>
      </c>
      <c r="M834" s="3">
        <v>78</v>
      </c>
      <c r="N834" s="3" t="s">
        <v>12</v>
      </c>
      <c r="O834" s="3" t="str">
        <f>_xlfn.IFS('Data set'!$H834&lt;5.7,"Normal",'Data set'!$H834&lt;=6.4,"Prediabetes",'Data set'!$H834&lt;=7.5,"Diabetes",'Data set'!$H834&gt;=7.5,"Uncontrolled")</f>
        <v>Uncontrolled</v>
      </c>
      <c r="P834" s="3" t="str">
        <f>_xlfn.IFS('Data set'!$F834&lt;120,"Low",'Data set'!$F834&lt;=200,"Normal",'Data set'!$F834&lt;=240,"Boarderline",'Data set'!$F834&gt;=241,"High")</f>
        <v>Boarderline</v>
      </c>
      <c r="Q834" s="3" t="str">
        <f>_xlfn.IFS('Data set'!$D834&lt;=18.5,"Low",'Data set'!$D834&lt;=24.9,"Normal",'Data set'!$D834&lt;=29.9,"High",'Data set'!$D834&gt;29.9,"Very High")</f>
        <v>Very High</v>
      </c>
    </row>
    <row r="835" spans="1:17" x14ac:dyDescent="0.25">
      <c r="A835" s="5">
        <v>52</v>
      </c>
      <c r="B835" s="5" t="s">
        <v>0</v>
      </c>
      <c r="C835" s="6">
        <v>296.83999999999997</v>
      </c>
      <c r="D835" s="6">
        <v>28.29</v>
      </c>
      <c r="E835" s="5" t="s">
        <v>14</v>
      </c>
      <c r="F835" s="5">
        <v>270</v>
      </c>
      <c r="G835" s="5" t="s">
        <v>655</v>
      </c>
      <c r="H835" s="6">
        <v>4.67</v>
      </c>
      <c r="I835" s="5">
        <v>4</v>
      </c>
      <c r="J835" s="5" t="s">
        <v>3</v>
      </c>
      <c r="K835" s="5" t="s">
        <v>4</v>
      </c>
      <c r="L835" s="5">
        <v>131</v>
      </c>
      <c r="M835" s="5">
        <v>60</v>
      </c>
      <c r="N835" s="5" t="s">
        <v>8</v>
      </c>
      <c r="O835" s="5" t="str">
        <f>_xlfn.IFS('Data set'!$H835&lt;5.7,"Normal",'Data set'!$H835&lt;=6.4,"Prediabetes",'Data set'!$H835&lt;=7.5,"Diabetes",'Data set'!$H835&gt;=7.5,"Uncontrolled")</f>
        <v>Normal</v>
      </c>
      <c r="P835" s="5" t="str">
        <f>_xlfn.IFS('Data set'!$F835&lt;120,"Low",'Data set'!$F835&lt;=200,"Normal",'Data set'!$F835&lt;=240,"Boarderline",'Data set'!$F835&gt;=241,"High")</f>
        <v>High</v>
      </c>
      <c r="Q835" s="5" t="str">
        <f>_xlfn.IFS('Data set'!$D835&lt;=18.5,"Low",'Data set'!$D835&lt;=24.9,"Normal",'Data set'!$D835&lt;=29.9,"High",'Data set'!$D835&gt;29.9,"Very High")</f>
        <v>High</v>
      </c>
    </row>
    <row r="836" spans="1:17" x14ac:dyDescent="0.25">
      <c r="A836" s="3">
        <v>36</v>
      </c>
      <c r="B836" s="3" t="s">
        <v>0</v>
      </c>
      <c r="C836" s="4">
        <v>208.15</v>
      </c>
      <c r="D836" s="4">
        <v>31.03</v>
      </c>
      <c r="E836" s="3" t="s">
        <v>10</v>
      </c>
      <c r="F836" s="3">
        <v>151</v>
      </c>
      <c r="G836" s="3" t="s">
        <v>656</v>
      </c>
      <c r="H836" s="4">
        <v>7.06</v>
      </c>
      <c r="I836" s="3">
        <v>5</v>
      </c>
      <c r="J836" s="3" t="s">
        <v>4</v>
      </c>
      <c r="K836" s="3" t="s">
        <v>4</v>
      </c>
      <c r="L836" s="3">
        <v>110</v>
      </c>
      <c r="M836" s="3">
        <v>77</v>
      </c>
      <c r="N836" s="3" t="s">
        <v>12</v>
      </c>
      <c r="O836" s="3" t="str">
        <f>_xlfn.IFS('Data set'!$H836&lt;5.7,"Normal",'Data set'!$H836&lt;=6.4,"Prediabetes",'Data set'!$H836&lt;=7.5,"Diabetes",'Data set'!$H836&gt;=7.5,"Uncontrolled")</f>
        <v>Diabetes</v>
      </c>
      <c r="P836" s="3" t="str">
        <f>_xlfn.IFS('Data set'!$F836&lt;120,"Low",'Data set'!$F836&lt;=200,"Normal",'Data set'!$F836&lt;=240,"Boarderline",'Data set'!$F836&gt;=241,"High")</f>
        <v>Normal</v>
      </c>
      <c r="Q836" s="3" t="str">
        <f>_xlfn.IFS('Data set'!$D836&lt;=18.5,"Low",'Data set'!$D836&lt;=24.9,"Normal",'Data set'!$D836&lt;=29.9,"High",'Data set'!$D836&gt;29.9,"Very High")</f>
        <v>Very High</v>
      </c>
    </row>
    <row r="837" spans="1:17" x14ac:dyDescent="0.25">
      <c r="A837" s="5">
        <v>67</v>
      </c>
      <c r="B837" s="5" t="s">
        <v>0</v>
      </c>
      <c r="C837" s="6">
        <v>151.19</v>
      </c>
      <c r="D837" s="6">
        <v>31.09</v>
      </c>
      <c r="E837" s="5" t="s">
        <v>10</v>
      </c>
      <c r="F837" s="5">
        <v>138</v>
      </c>
      <c r="G837" s="5" t="s">
        <v>488</v>
      </c>
      <c r="H837" s="6">
        <v>8.19</v>
      </c>
      <c r="I837" s="5">
        <v>1</v>
      </c>
      <c r="J837" s="5" t="s">
        <v>4</v>
      </c>
      <c r="K837" s="5" t="s">
        <v>4</v>
      </c>
      <c r="L837" s="5">
        <v>120</v>
      </c>
      <c r="M837" s="5">
        <v>65</v>
      </c>
      <c r="N837" s="5" t="s">
        <v>21</v>
      </c>
      <c r="O837" s="5" t="str">
        <f>_xlfn.IFS('Data set'!$H837&lt;5.7,"Normal",'Data set'!$H837&lt;=6.4,"Prediabetes",'Data set'!$H837&lt;=7.5,"Diabetes",'Data set'!$H837&gt;=7.5,"Uncontrolled")</f>
        <v>Uncontrolled</v>
      </c>
      <c r="P837" s="5" t="str">
        <f>_xlfn.IFS('Data set'!$F837&lt;120,"Low",'Data set'!$F837&lt;=200,"Normal",'Data set'!$F837&lt;=240,"Boarderline",'Data set'!$F837&gt;=241,"High")</f>
        <v>Normal</v>
      </c>
      <c r="Q837" s="5" t="str">
        <f>_xlfn.IFS('Data set'!$D837&lt;=18.5,"Low",'Data set'!$D837&lt;=24.9,"Normal",'Data set'!$D837&lt;=29.9,"High",'Data set'!$D837&gt;29.9,"Very High")</f>
        <v>Very High</v>
      </c>
    </row>
    <row r="838" spans="1:17" x14ac:dyDescent="0.25">
      <c r="A838" s="3">
        <v>73</v>
      </c>
      <c r="B838" s="3" t="s">
        <v>0</v>
      </c>
      <c r="C838" s="4">
        <v>121.36</v>
      </c>
      <c r="D838" s="4">
        <v>18.68</v>
      </c>
      <c r="E838" s="3" t="s">
        <v>10</v>
      </c>
      <c r="F838" s="3">
        <v>299</v>
      </c>
      <c r="G838" s="3" t="s">
        <v>345</v>
      </c>
      <c r="H838" s="4">
        <v>6.41</v>
      </c>
      <c r="I838" s="3">
        <v>1</v>
      </c>
      <c r="J838" s="3" t="s">
        <v>3</v>
      </c>
      <c r="K838" s="3" t="s">
        <v>3</v>
      </c>
      <c r="L838" s="3">
        <v>115</v>
      </c>
      <c r="M838" s="3">
        <v>81</v>
      </c>
      <c r="N838" s="3" t="s">
        <v>5</v>
      </c>
      <c r="O838" s="3" t="str">
        <f>_xlfn.IFS('Data set'!$H838&lt;5.7,"Normal",'Data set'!$H838&lt;=6.4,"Prediabetes",'Data set'!$H838&lt;=7.5,"Diabetes",'Data set'!$H838&gt;=7.5,"Uncontrolled")</f>
        <v>Diabetes</v>
      </c>
      <c r="P838" s="3" t="str">
        <f>_xlfn.IFS('Data set'!$F838&lt;120,"Low",'Data set'!$F838&lt;=200,"Normal",'Data set'!$F838&lt;=240,"Boarderline",'Data set'!$F838&gt;=241,"High")</f>
        <v>High</v>
      </c>
      <c r="Q838" s="3" t="str">
        <f>_xlfn.IFS('Data set'!$D838&lt;=18.5,"Low",'Data set'!$D838&lt;=24.9,"Normal",'Data set'!$D838&lt;=29.9,"High",'Data set'!$D838&gt;29.9,"Very High")</f>
        <v>Normal</v>
      </c>
    </row>
    <row r="839" spans="1:17" x14ac:dyDescent="0.25">
      <c r="A839" s="5">
        <v>67</v>
      </c>
      <c r="B839" s="5" t="s">
        <v>9</v>
      </c>
      <c r="C839" s="6">
        <v>131.5</v>
      </c>
      <c r="D839" s="6">
        <v>22.84</v>
      </c>
      <c r="E839" s="5" t="s">
        <v>10</v>
      </c>
      <c r="F839" s="5">
        <v>217</v>
      </c>
      <c r="G839" s="5" t="s">
        <v>657</v>
      </c>
      <c r="H839" s="6">
        <v>7.18</v>
      </c>
      <c r="I839" s="5">
        <v>7</v>
      </c>
      <c r="J839" s="5" t="s">
        <v>3</v>
      </c>
      <c r="K839" s="5" t="s">
        <v>4</v>
      </c>
      <c r="L839" s="5">
        <v>94</v>
      </c>
      <c r="M839" s="5">
        <v>73</v>
      </c>
      <c r="N839" s="5" t="s">
        <v>21</v>
      </c>
      <c r="O839" s="5" t="str">
        <f>_xlfn.IFS('Data set'!$H839&lt;5.7,"Normal",'Data set'!$H839&lt;=6.4,"Prediabetes",'Data set'!$H839&lt;=7.5,"Diabetes",'Data set'!$H839&gt;=7.5,"Uncontrolled")</f>
        <v>Diabetes</v>
      </c>
      <c r="P839" s="5" t="str">
        <f>_xlfn.IFS('Data set'!$F839&lt;120,"Low",'Data set'!$F839&lt;=200,"Normal",'Data set'!$F839&lt;=240,"Boarderline",'Data set'!$F839&gt;=241,"High")</f>
        <v>Boarderline</v>
      </c>
      <c r="Q839" s="5" t="str">
        <f>_xlfn.IFS('Data set'!$D839&lt;=18.5,"Low",'Data set'!$D839&lt;=24.9,"Normal",'Data set'!$D839&lt;=29.9,"High",'Data set'!$D839&gt;29.9,"Very High")</f>
        <v>Normal</v>
      </c>
    </row>
    <row r="840" spans="1:17" x14ac:dyDescent="0.25">
      <c r="A840" s="3">
        <v>77</v>
      </c>
      <c r="B840" s="3" t="s">
        <v>0</v>
      </c>
      <c r="C840" s="4">
        <v>208.44</v>
      </c>
      <c r="D840" s="4">
        <v>25.34</v>
      </c>
      <c r="E840" s="3" t="s">
        <v>14</v>
      </c>
      <c r="F840" s="3">
        <v>232</v>
      </c>
      <c r="G840" s="3" t="s">
        <v>658</v>
      </c>
      <c r="H840" s="4">
        <v>4.25</v>
      </c>
      <c r="I840" s="3">
        <v>2</v>
      </c>
      <c r="J840" s="3" t="s">
        <v>4</v>
      </c>
      <c r="K840" s="3" t="s">
        <v>3</v>
      </c>
      <c r="L840" s="3">
        <v>113</v>
      </c>
      <c r="M840" s="3">
        <v>67</v>
      </c>
      <c r="N840" s="3" t="s">
        <v>5</v>
      </c>
      <c r="O840" s="3" t="str">
        <f>_xlfn.IFS('Data set'!$H840&lt;5.7,"Normal",'Data set'!$H840&lt;=6.4,"Prediabetes",'Data set'!$H840&lt;=7.5,"Diabetes",'Data set'!$H840&gt;=7.5,"Uncontrolled")</f>
        <v>Normal</v>
      </c>
      <c r="P840" s="3" t="str">
        <f>_xlfn.IFS('Data set'!$F840&lt;120,"Low",'Data set'!$F840&lt;=200,"Normal",'Data set'!$F840&lt;=240,"Boarderline",'Data set'!$F840&gt;=241,"High")</f>
        <v>Boarderline</v>
      </c>
      <c r="Q840" s="3" t="str">
        <f>_xlfn.IFS('Data set'!$D840&lt;=18.5,"Low",'Data set'!$D840&lt;=24.9,"Normal",'Data set'!$D840&lt;=29.9,"High",'Data set'!$D840&gt;29.9,"Very High")</f>
        <v>High</v>
      </c>
    </row>
    <row r="841" spans="1:17" x14ac:dyDescent="0.25">
      <c r="A841" s="5">
        <v>40</v>
      </c>
      <c r="B841" s="5" t="s">
        <v>9</v>
      </c>
      <c r="C841" s="6">
        <v>88.58</v>
      </c>
      <c r="D841" s="6">
        <v>23.02</v>
      </c>
      <c r="E841" s="5" t="s">
        <v>10</v>
      </c>
      <c r="F841" s="5">
        <v>242</v>
      </c>
      <c r="G841" s="5" t="s">
        <v>659</v>
      </c>
      <c r="H841" s="6">
        <v>4.78</v>
      </c>
      <c r="I841" s="5">
        <v>3</v>
      </c>
      <c r="J841" s="5" t="s">
        <v>3</v>
      </c>
      <c r="K841" s="5" t="s">
        <v>3</v>
      </c>
      <c r="L841" s="5">
        <v>116</v>
      </c>
      <c r="M841" s="5">
        <v>88</v>
      </c>
      <c r="N841" s="5" t="s">
        <v>12</v>
      </c>
      <c r="O841" s="5" t="str">
        <f>_xlfn.IFS('Data set'!$H841&lt;5.7,"Normal",'Data set'!$H841&lt;=6.4,"Prediabetes",'Data set'!$H841&lt;=7.5,"Diabetes",'Data set'!$H841&gt;=7.5,"Uncontrolled")</f>
        <v>Normal</v>
      </c>
      <c r="P841" s="5" t="str">
        <f>_xlfn.IFS('Data set'!$F841&lt;120,"Low",'Data set'!$F841&lt;=200,"Normal",'Data set'!$F841&lt;=240,"Boarderline",'Data set'!$F841&gt;=241,"High")</f>
        <v>High</v>
      </c>
      <c r="Q841" s="5" t="str">
        <f>_xlfn.IFS('Data set'!$D841&lt;=18.5,"Low",'Data set'!$D841&lt;=24.9,"Normal",'Data set'!$D841&lt;=29.9,"High",'Data set'!$D841&gt;29.9,"Very High")</f>
        <v>Normal</v>
      </c>
    </row>
    <row r="842" spans="1:17" x14ac:dyDescent="0.25">
      <c r="A842" s="3">
        <v>57</v>
      </c>
      <c r="B842" s="3" t="s">
        <v>9</v>
      </c>
      <c r="C842" s="4">
        <v>210.4</v>
      </c>
      <c r="D842" s="4">
        <v>39.53</v>
      </c>
      <c r="E842" s="3" t="s">
        <v>1</v>
      </c>
      <c r="F842" s="3">
        <v>102</v>
      </c>
      <c r="G842" s="3" t="s">
        <v>660</v>
      </c>
      <c r="H842" s="4">
        <v>9.9700000000000006</v>
      </c>
      <c r="I842" s="3">
        <v>0</v>
      </c>
      <c r="J842" s="3" t="s">
        <v>3</v>
      </c>
      <c r="K842" s="3" t="s">
        <v>3</v>
      </c>
      <c r="L842" s="3">
        <v>110</v>
      </c>
      <c r="M842" s="3">
        <v>87</v>
      </c>
      <c r="N842" s="3" t="s">
        <v>8</v>
      </c>
      <c r="O842" s="3" t="str">
        <f>_xlfn.IFS('Data set'!$H842&lt;5.7,"Normal",'Data set'!$H842&lt;=6.4,"Prediabetes",'Data set'!$H842&lt;=7.5,"Diabetes",'Data set'!$H842&gt;=7.5,"Uncontrolled")</f>
        <v>Uncontrolled</v>
      </c>
      <c r="P842" s="3" t="str">
        <f>_xlfn.IFS('Data set'!$F842&lt;120,"Low",'Data set'!$F842&lt;=200,"Normal",'Data set'!$F842&lt;=240,"Boarderline",'Data set'!$F842&gt;=241,"High")</f>
        <v>Low</v>
      </c>
      <c r="Q842" s="3" t="str">
        <f>_xlfn.IFS('Data set'!$D842&lt;=18.5,"Low",'Data set'!$D842&lt;=24.9,"Normal",'Data set'!$D842&lt;=29.9,"High",'Data set'!$D842&gt;29.9,"Very High")</f>
        <v>Very High</v>
      </c>
    </row>
    <row r="843" spans="1:17" x14ac:dyDescent="0.25">
      <c r="A843" s="5">
        <v>73</v>
      </c>
      <c r="B843" s="5" t="s">
        <v>9</v>
      </c>
      <c r="C843" s="6">
        <v>231</v>
      </c>
      <c r="D843" s="6">
        <v>31.67</v>
      </c>
      <c r="E843" s="5" t="s">
        <v>14</v>
      </c>
      <c r="F843" s="5">
        <v>191</v>
      </c>
      <c r="G843" s="5" t="s">
        <v>661</v>
      </c>
      <c r="H843" s="6">
        <v>7.59</v>
      </c>
      <c r="I843" s="5">
        <v>7</v>
      </c>
      <c r="J843" s="5" t="s">
        <v>4</v>
      </c>
      <c r="K843" s="5" t="s">
        <v>4</v>
      </c>
      <c r="L843" s="5">
        <v>107</v>
      </c>
      <c r="M843" s="5">
        <v>61</v>
      </c>
      <c r="N843" s="5" t="s">
        <v>5</v>
      </c>
      <c r="O843" s="5" t="str">
        <f>_xlfn.IFS('Data set'!$H843&lt;5.7,"Normal",'Data set'!$H843&lt;=6.4,"Prediabetes",'Data set'!$H843&lt;=7.5,"Diabetes",'Data set'!$H843&gt;=7.5,"Uncontrolled")</f>
        <v>Uncontrolled</v>
      </c>
      <c r="P843" s="5" t="str">
        <f>_xlfn.IFS('Data set'!$F843&lt;120,"Low",'Data set'!$F843&lt;=200,"Normal",'Data set'!$F843&lt;=240,"Boarderline",'Data set'!$F843&gt;=241,"High")</f>
        <v>Normal</v>
      </c>
      <c r="Q843" s="5" t="str">
        <f>_xlfn.IFS('Data set'!$D843&lt;=18.5,"Low",'Data set'!$D843&lt;=24.9,"Normal",'Data set'!$D843&lt;=29.9,"High",'Data set'!$D843&gt;29.9,"Very High")</f>
        <v>Very High</v>
      </c>
    </row>
    <row r="844" spans="1:17" x14ac:dyDescent="0.25">
      <c r="A844" s="3">
        <v>76</v>
      </c>
      <c r="B844" s="3" t="s">
        <v>9</v>
      </c>
      <c r="C844" s="4">
        <v>165.67</v>
      </c>
      <c r="D844" s="4">
        <v>34.19</v>
      </c>
      <c r="E844" s="3" t="s">
        <v>1</v>
      </c>
      <c r="F844" s="3">
        <v>277</v>
      </c>
      <c r="G844" s="3" t="s">
        <v>367</v>
      </c>
      <c r="H844" s="4">
        <v>5.51</v>
      </c>
      <c r="I844" s="3">
        <v>3</v>
      </c>
      <c r="J844" s="3" t="s">
        <v>3</v>
      </c>
      <c r="K844" s="3" t="s">
        <v>3</v>
      </c>
      <c r="L844" s="3">
        <v>119</v>
      </c>
      <c r="M844" s="3">
        <v>79</v>
      </c>
      <c r="N844" s="3" t="s">
        <v>5</v>
      </c>
      <c r="O844" s="3" t="str">
        <f>_xlfn.IFS('Data set'!$H844&lt;5.7,"Normal",'Data set'!$H844&lt;=6.4,"Prediabetes",'Data set'!$H844&lt;=7.5,"Diabetes",'Data set'!$H844&gt;=7.5,"Uncontrolled")</f>
        <v>Normal</v>
      </c>
      <c r="P844" s="3" t="str">
        <f>_xlfn.IFS('Data set'!$F844&lt;120,"Low",'Data set'!$F844&lt;=200,"Normal",'Data set'!$F844&lt;=240,"Boarderline",'Data set'!$F844&gt;=241,"High")</f>
        <v>High</v>
      </c>
      <c r="Q844" s="3" t="str">
        <f>_xlfn.IFS('Data set'!$D844&lt;=18.5,"Low",'Data set'!$D844&lt;=24.9,"Normal",'Data set'!$D844&lt;=29.9,"High",'Data set'!$D844&gt;29.9,"Very High")</f>
        <v>Very High</v>
      </c>
    </row>
    <row r="845" spans="1:17" x14ac:dyDescent="0.25">
      <c r="A845" s="5">
        <v>59</v>
      </c>
      <c r="B845" s="5" t="s">
        <v>9</v>
      </c>
      <c r="C845" s="6">
        <v>292.58999999999997</v>
      </c>
      <c r="D845" s="6">
        <v>24.35</v>
      </c>
      <c r="E845" s="5" t="s">
        <v>10</v>
      </c>
      <c r="F845" s="5">
        <v>158</v>
      </c>
      <c r="G845" s="5" t="s">
        <v>385</v>
      </c>
      <c r="H845" s="6">
        <v>7.54</v>
      </c>
      <c r="I845" s="5">
        <v>6</v>
      </c>
      <c r="J845" s="5" t="s">
        <v>3</v>
      </c>
      <c r="K845" s="5" t="s">
        <v>4</v>
      </c>
      <c r="L845" s="5">
        <v>134</v>
      </c>
      <c r="M845" s="5">
        <v>63</v>
      </c>
      <c r="N845" s="5" t="s">
        <v>8</v>
      </c>
      <c r="O845" s="5" t="str">
        <f>_xlfn.IFS('Data set'!$H845&lt;5.7,"Normal",'Data set'!$H845&lt;=6.4,"Prediabetes",'Data set'!$H845&lt;=7.5,"Diabetes",'Data set'!$H845&gt;=7.5,"Uncontrolled")</f>
        <v>Uncontrolled</v>
      </c>
      <c r="P845" s="5" t="str">
        <f>_xlfn.IFS('Data set'!$F845&lt;120,"Low",'Data set'!$F845&lt;=200,"Normal",'Data set'!$F845&lt;=240,"Boarderline",'Data set'!$F845&gt;=241,"High")</f>
        <v>Normal</v>
      </c>
      <c r="Q845" s="5" t="str">
        <f>_xlfn.IFS('Data set'!$D845&lt;=18.5,"Low",'Data set'!$D845&lt;=24.9,"Normal",'Data set'!$D845&lt;=29.9,"High",'Data set'!$D845&gt;29.9,"Very High")</f>
        <v>Normal</v>
      </c>
    </row>
    <row r="846" spans="1:17" x14ac:dyDescent="0.25">
      <c r="A846" s="3">
        <v>31</v>
      </c>
      <c r="B846" s="3" t="s">
        <v>0</v>
      </c>
      <c r="C846" s="4">
        <v>271.39</v>
      </c>
      <c r="D846" s="4">
        <v>21.71</v>
      </c>
      <c r="E846" s="3" t="s">
        <v>10</v>
      </c>
      <c r="F846" s="3">
        <v>220</v>
      </c>
      <c r="G846" s="3" t="s">
        <v>662</v>
      </c>
      <c r="H846" s="4">
        <v>9.1999999999999993</v>
      </c>
      <c r="I846" s="3">
        <v>1</v>
      </c>
      <c r="J846" s="3" t="s">
        <v>3</v>
      </c>
      <c r="K846" s="3" t="s">
        <v>3</v>
      </c>
      <c r="L846" s="3">
        <v>124</v>
      </c>
      <c r="M846" s="3">
        <v>76</v>
      </c>
      <c r="N846" s="3" t="s">
        <v>12</v>
      </c>
      <c r="O846" s="3" t="str">
        <f>_xlfn.IFS('Data set'!$H846&lt;5.7,"Normal",'Data set'!$H846&lt;=6.4,"Prediabetes",'Data set'!$H846&lt;=7.5,"Diabetes",'Data set'!$H846&gt;=7.5,"Uncontrolled")</f>
        <v>Uncontrolled</v>
      </c>
      <c r="P846" s="3" t="str">
        <f>_xlfn.IFS('Data set'!$F846&lt;120,"Low",'Data set'!$F846&lt;=200,"Normal",'Data set'!$F846&lt;=240,"Boarderline",'Data set'!$F846&gt;=241,"High")</f>
        <v>Boarderline</v>
      </c>
      <c r="Q846" s="3" t="str">
        <f>_xlfn.IFS('Data set'!$D846&lt;=18.5,"Low",'Data set'!$D846&lt;=24.9,"Normal",'Data set'!$D846&lt;=29.9,"High",'Data set'!$D846&gt;29.9,"Very High")</f>
        <v>Normal</v>
      </c>
    </row>
    <row r="847" spans="1:17" x14ac:dyDescent="0.25">
      <c r="A847" s="5">
        <v>37</v>
      </c>
      <c r="B847" s="5" t="s">
        <v>0</v>
      </c>
      <c r="C847" s="6">
        <v>248.45</v>
      </c>
      <c r="D847" s="6">
        <v>30.43</v>
      </c>
      <c r="E847" s="5" t="s">
        <v>14</v>
      </c>
      <c r="F847" s="5">
        <v>102</v>
      </c>
      <c r="G847" s="5" t="s">
        <v>663</v>
      </c>
      <c r="H847" s="6">
        <v>4.7699999999999996</v>
      </c>
      <c r="I847" s="5">
        <v>5</v>
      </c>
      <c r="J847" s="5" t="s">
        <v>3</v>
      </c>
      <c r="K847" s="5" t="s">
        <v>4</v>
      </c>
      <c r="L847" s="5">
        <v>103</v>
      </c>
      <c r="M847" s="5">
        <v>64</v>
      </c>
      <c r="N847" s="5" t="s">
        <v>12</v>
      </c>
      <c r="O847" s="5" t="str">
        <f>_xlfn.IFS('Data set'!$H847&lt;5.7,"Normal",'Data set'!$H847&lt;=6.4,"Prediabetes",'Data set'!$H847&lt;=7.5,"Diabetes",'Data set'!$H847&gt;=7.5,"Uncontrolled")</f>
        <v>Normal</v>
      </c>
      <c r="P847" s="5" t="str">
        <f>_xlfn.IFS('Data set'!$F847&lt;120,"Low",'Data set'!$F847&lt;=200,"Normal",'Data set'!$F847&lt;=240,"Boarderline",'Data set'!$F847&gt;=241,"High")</f>
        <v>Low</v>
      </c>
      <c r="Q847" s="5" t="str">
        <f>_xlfn.IFS('Data set'!$D847&lt;=18.5,"Low",'Data set'!$D847&lt;=24.9,"Normal",'Data set'!$D847&lt;=29.9,"High",'Data set'!$D847&gt;29.9,"Very High")</f>
        <v>Very High</v>
      </c>
    </row>
    <row r="848" spans="1:17" x14ac:dyDescent="0.25">
      <c r="A848" s="3">
        <v>70</v>
      </c>
      <c r="B848" s="3" t="s">
        <v>9</v>
      </c>
      <c r="C848" s="4">
        <v>169.26</v>
      </c>
      <c r="D848" s="4">
        <v>35.700000000000003</v>
      </c>
      <c r="E848" s="3" t="s">
        <v>14</v>
      </c>
      <c r="F848" s="3">
        <v>201</v>
      </c>
      <c r="G848" s="3" t="s">
        <v>664</v>
      </c>
      <c r="H848" s="4">
        <v>9.25</v>
      </c>
      <c r="I848" s="3">
        <v>2</v>
      </c>
      <c r="J848" s="3" t="s">
        <v>3</v>
      </c>
      <c r="K848" s="3" t="s">
        <v>4</v>
      </c>
      <c r="L848" s="3">
        <v>110</v>
      </c>
      <c r="M848" s="3">
        <v>83</v>
      </c>
      <c r="N848" s="3" t="s">
        <v>21</v>
      </c>
      <c r="O848" s="3" t="str">
        <f>_xlfn.IFS('Data set'!$H848&lt;5.7,"Normal",'Data set'!$H848&lt;=6.4,"Prediabetes",'Data set'!$H848&lt;=7.5,"Diabetes",'Data set'!$H848&gt;=7.5,"Uncontrolled")</f>
        <v>Uncontrolled</v>
      </c>
      <c r="P848" s="3" t="str">
        <f>_xlfn.IFS('Data set'!$F848&lt;120,"Low",'Data set'!$F848&lt;=200,"Normal",'Data set'!$F848&lt;=240,"Boarderline",'Data set'!$F848&gt;=241,"High")</f>
        <v>Boarderline</v>
      </c>
      <c r="Q848" s="3" t="str">
        <f>_xlfn.IFS('Data set'!$D848&lt;=18.5,"Low",'Data set'!$D848&lt;=24.9,"Normal",'Data set'!$D848&lt;=29.9,"High",'Data set'!$D848&gt;29.9,"Very High")</f>
        <v>Very High</v>
      </c>
    </row>
    <row r="849" spans="1:17" x14ac:dyDescent="0.25">
      <c r="A849" s="5">
        <v>71</v>
      </c>
      <c r="B849" s="5" t="s">
        <v>0</v>
      </c>
      <c r="C849" s="6">
        <v>230.73</v>
      </c>
      <c r="D849" s="6">
        <v>25.04</v>
      </c>
      <c r="E849" s="5" t="s">
        <v>14</v>
      </c>
      <c r="F849" s="5">
        <v>242</v>
      </c>
      <c r="G849" s="5" t="s">
        <v>665</v>
      </c>
      <c r="H849" s="6">
        <v>9.0299999999999994</v>
      </c>
      <c r="I849" s="5">
        <v>2</v>
      </c>
      <c r="J849" s="5" t="s">
        <v>4</v>
      </c>
      <c r="K849" s="5" t="s">
        <v>4</v>
      </c>
      <c r="L849" s="5">
        <v>133</v>
      </c>
      <c r="M849" s="5">
        <v>65</v>
      </c>
      <c r="N849" s="5" t="s">
        <v>5</v>
      </c>
      <c r="O849" s="5" t="str">
        <f>_xlfn.IFS('Data set'!$H849&lt;5.7,"Normal",'Data set'!$H849&lt;=6.4,"Prediabetes",'Data set'!$H849&lt;=7.5,"Diabetes",'Data set'!$H849&gt;=7.5,"Uncontrolled")</f>
        <v>Uncontrolled</v>
      </c>
      <c r="P849" s="5" t="str">
        <f>_xlfn.IFS('Data set'!$F849&lt;120,"Low",'Data set'!$F849&lt;=200,"Normal",'Data set'!$F849&lt;=240,"Boarderline",'Data set'!$F849&gt;=241,"High")</f>
        <v>High</v>
      </c>
      <c r="Q849" s="5" t="str">
        <f>_xlfn.IFS('Data set'!$D849&lt;=18.5,"Low",'Data set'!$D849&lt;=24.9,"Normal",'Data set'!$D849&lt;=29.9,"High",'Data set'!$D849&gt;29.9,"Very High")</f>
        <v>High</v>
      </c>
    </row>
    <row r="850" spans="1:17" x14ac:dyDescent="0.25">
      <c r="A850" s="3">
        <v>60</v>
      </c>
      <c r="B850" s="3" t="s">
        <v>9</v>
      </c>
      <c r="C850" s="4">
        <v>218.69</v>
      </c>
      <c r="D850" s="4">
        <v>36.22</v>
      </c>
      <c r="E850" s="3" t="s">
        <v>1</v>
      </c>
      <c r="F850" s="3">
        <v>125</v>
      </c>
      <c r="G850" s="3" t="s">
        <v>666</v>
      </c>
      <c r="H850" s="4">
        <v>8.7100000000000009</v>
      </c>
      <c r="I850" s="3">
        <v>6</v>
      </c>
      <c r="J850" s="3" t="s">
        <v>4</v>
      </c>
      <c r="K850" s="3" t="s">
        <v>4</v>
      </c>
      <c r="L850" s="3">
        <v>132</v>
      </c>
      <c r="M850" s="3">
        <v>81</v>
      </c>
      <c r="N850" s="3" t="s">
        <v>8</v>
      </c>
      <c r="O850" s="3" t="str">
        <f>_xlfn.IFS('Data set'!$H850&lt;5.7,"Normal",'Data set'!$H850&lt;=6.4,"Prediabetes",'Data set'!$H850&lt;=7.5,"Diabetes",'Data set'!$H850&gt;=7.5,"Uncontrolled")</f>
        <v>Uncontrolled</v>
      </c>
      <c r="P850" s="3" t="str">
        <f>_xlfn.IFS('Data set'!$F850&lt;120,"Low",'Data set'!$F850&lt;=200,"Normal",'Data set'!$F850&lt;=240,"Boarderline",'Data set'!$F850&gt;=241,"High")</f>
        <v>Normal</v>
      </c>
      <c r="Q850" s="3" t="str">
        <f>_xlfn.IFS('Data set'!$D850&lt;=18.5,"Low",'Data set'!$D850&lt;=24.9,"Normal",'Data set'!$D850&lt;=29.9,"High",'Data set'!$D850&gt;29.9,"Very High")</f>
        <v>Very High</v>
      </c>
    </row>
    <row r="851" spans="1:17" x14ac:dyDescent="0.25">
      <c r="A851" s="5">
        <v>67</v>
      </c>
      <c r="B851" s="5" t="s">
        <v>0</v>
      </c>
      <c r="C851" s="6">
        <v>229.32</v>
      </c>
      <c r="D851" s="6">
        <v>23.21</v>
      </c>
      <c r="E851" s="5" t="s">
        <v>10</v>
      </c>
      <c r="F851" s="5">
        <v>247</v>
      </c>
      <c r="G851" s="5" t="s">
        <v>620</v>
      </c>
      <c r="H851" s="6">
        <v>8.4</v>
      </c>
      <c r="I851" s="5">
        <v>4</v>
      </c>
      <c r="J851" s="5" t="s">
        <v>3</v>
      </c>
      <c r="K851" s="5" t="s">
        <v>4</v>
      </c>
      <c r="L851" s="5">
        <v>129</v>
      </c>
      <c r="M851" s="5">
        <v>80</v>
      </c>
      <c r="N851" s="5" t="s">
        <v>21</v>
      </c>
      <c r="O851" s="5" t="str">
        <f>_xlfn.IFS('Data set'!$H851&lt;5.7,"Normal",'Data set'!$H851&lt;=6.4,"Prediabetes",'Data set'!$H851&lt;=7.5,"Diabetes",'Data set'!$H851&gt;=7.5,"Uncontrolled")</f>
        <v>Uncontrolled</v>
      </c>
      <c r="P851" s="5" t="str">
        <f>_xlfn.IFS('Data set'!$F851&lt;120,"Low",'Data set'!$F851&lt;=200,"Normal",'Data set'!$F851&lt;=240,"Boarderline",'Data set'!$F851&gt;=241,"High")</f>
        <v>High</v>
      </c>
      <c r="Q851" s="5" t="str">
        <f>_xlfn.IFS('Data set'!$D851&lt;=18.5,"Low",'Data set'!$D851&lt;=24.9,"Normal",'Data set'!$D851&lt;=29.9,"High",'Data set'!$D851&gt;29.9,"Very High")</f>
        <v>Normal</v>
      </c>
    </row>
    <row r="852" spans="1:17" x14ac:dyDescent="0.25">
      <c r="A852" s="3">
        <v>36</v>
      </c>
      <c r="B852" s="3" t="s">
        <v>0</v>
      </c>
      <c r="C852" s="4">
        <v>236.19</v>
      </c>
      <c r="D852" s="4">
        <v>20.59</v>
      </c>
      <c r="E852" s="3" t="s">
        <v>10</v>
      </c>
      <c r="F852" s="3">
        <v>256</v>
      </c>
      <c r="G852" s="3" t="s">
        <v>667</v>
      </c>
      <c r="H852" s="4">
        <v>4.41</v>
      </c>
      <c r="I852" s="3">
        <v>7</v>
      </c>
      <c r="J852" s="3" t="s">
        <v>4</v>
      </c>
      <c r="K852" s="3" t="s">
        <v>4</v>
      </c>
      <c r="L852" s="3">
        <v>111</v>
      </c>
      <c r="M852" s="3">
        <v>76</v>
      </c>
      <c r="N852" s="3" t="s">
        <v>12</v>
      </c>
      <c r="O852" s="3" t="str">
        <f>_xlfn.IFS('Data set'!$H852&lt;5.7,"Normal",'Data set'!$H852&lt;=6.4,"Prediabetes",'Data set'!$H852&lt;=7.5,"Diabetes",'Data set'!$H852&gt;=7.5,"Uncontrolled")</f>
        <v>Normal</v>
      </c>
      <c r="P852" s="3" t="str">
        <f>_xlfn.IFS('Data set'!$F852&lt;120,"Low",'Data set'!$F852&lt;=200,"Normal",'Data set'!$F852&lt;=240,"Boarderline",'Data set'!$F852&gt;=241,"High")</f>
        <v>High</v>
      </c>
      <c r="Q852" s="3" t="str">
        <f>_xlfn.IFS('Data set'!$D852&lt;=18.5,"Low",'Data set'!$D852&lt;=24.9,"Normal",'Data set'!$D852&lt;=29.9,"High",'Data set'!$D852&gt;29.9,"Very High")</f>
        <v>Normal</v>
      </c>
    </row>
    <row r="853" spans="1:17" x14ac:dyDescent="0.25">
      <c r="A853" s="5">
        <v>38</v>
      </c>
      <c r="B853" s="5" t="s">
        <v>9</v>
      </c>
      <c r="C853" s="6">
        <v>70.75</v>
      </c>
      <c r="D853" s="6">
        <v>36.76</v>
      </c>
      <c r="E853" s="5" t="s">
        <v>14</v>
      </c>
      <c r="F853" s="5">
        <v>122</v>
      </c>
      <c r="G853" s="5" t="s">
        <v>143</v>
      </c>
      <c r="H853" s="6">
        <v>9.94</v>
      </c>
      <c r="I853" s="5">
        <v>2</v>
      </c>
      <c r="J853" s="5" t="s">
        <v>4</v>
      </c>
      <c r="K853" s="5" t="s">
        <v>4</v>
      </c>
      <c r="L853" s="5">
        <v>115</v>
      </c>
      <c r="M853" s="5">
        <v>71</v>
      </c>
      <c r="N853" s="5" t="s">
        <v>12</v>
      </c>
      <c r="O853" s="5" t="str">
        <f>_xlfn.IFS('Data set'!$H853&lt;5.7,"Normal",'Data set'!$H853&lt;=6.4,"Prediabetes",'Data set'!$H853&lt;=7.5,"Diabetes",'Data set'!$H853&gt;=7.5,"Uncontrolled")</f>
        <v>Uncontrolled</v>
      </c>
      <c r="P853" s="5" t="str">
        <f>_xlfn.IFS('Data set'!$F853&lt;120,"Low",'Data set'!$F853&lt;=200,"Normal",'Data set'!$F853&lt;=240,"Boarderline",'Data set'!$F853&gt;=241,"High")</f>
        <v>Normal</v>
      </c>
      <c r="Q853" s="5" t="str">
        <f>_xlfn.IFS('Data set'!$D853&lt;=18.5,"Low",'Data set'!$D853&lt;=24.9,"Normal",'Data set'!$D853&lt;=29.9,"High",'Data set'!$D853&gt;29.9,"Very High")</f>
        <v>Very High</v>
      </c>
    </row>
    <row r="854" spans="1:17" x14ac:dyDescent="0.25">
      <c r="A854" s="3">
        <v>36</v>
      </c>
      <c r="B854" s="3" t="s">
        <v>0</v>
      </c>
      <c r="C854" s="4">
        <v>143.41999999999999</v>
      </c>
      <c r="D854" s="4">
        <v>28.61</v>
      </c>
      <c r="E854" s="3" t="s">
        <v>10</v>
      </c>
      <c r="F854" s="3">
        <v>198</v>
      </c>
      <c r="G854" s="3" t="s">
        <v>668</v>
      </c>
      <c r="H854" s="4">
        <v>5</v>
      </c>
      <c r="I854" s="3">
        <v>3</v>
      </c>
      <c r="J854" s="3" t="s">
        <v>3</v>
      </c>
      <c r="K854" s="3" t="s">
        <v>4</v>
      </c>
      <c r="L854" s="3">
        <v>111</v>
      </c>
      <c r="M854" s="3">
        <v>70</v>
      </c>
      <c r="N854" s="3" t="s">
        <v>12</v>
      </c>
      <c r="O854" s="3" t="str">
        <f>_xlfn.IFS('Data set'!$H854&lt;5.7,"Normal",'Data set'!$H854&lt;=6.4,"Prediabetes",'Data set'!$H854&lt;=7.5,"Diabetes",'Data set'!$H854&gt;=7.5,"Uncontrolled")</f>
        <v>Normal</v>
      </c>
      <c r="P854" s="3" t="str">
        <f>_xlfn.IFS('Data set'!$F854&lt;120,"Low",'Data set'!$F854&lt;=200,"Normal",'Data set'!$F854&lt;=240,"Boarderline",'Data set'!$F854&gt;=241,"High")</f>
        <v>Normal</v>
      </c>
      <c r="Q854" s="3" t="str">
        <f>_xlfn.IFS('Data set'!$D854&lt;=18.5,"Low",'Data set'!$D854&lt;=24.9,"Normal",'Data set'!$D854&lt;=29.9,"High",'Data set'!$D854&gt;29.9,"Very High")</f>
        <v>High</v>
      </c>
    </row>
    <row r="855" spans="1:17" x14ac:dyDescent="0.25">
      <c r="A855" s="5">
        <v>41</v>
      </c>
      <c r="B855" s="5" t="s">
        <v>0</v>
      </c>
      <c r="C855" s="6">
        <v>223.19</v>
      </c>
      <c r="D855" s="6">
        <v>39.92</v>
      </c>
      <c r="E855" s="5" t="s">
        <v>1</v>
      </c>
      <c r="F855" s="5">
        <v>273</v>
      </c>
      <c r="G855" s="5" t="s">
        <v>669</v>
      </c>
      <c r="H855" s="6">
        <v>7.23</v>
      </c>
      <c r="I855" s="5">
        <v>6</v>
      </c>
      <c r="J855" s="5" t="s">
        <v>4</v>
      </c>
      <c r="K855" s="5" t="s">
        <v>3</v>
      </c>
      <c r="L855" s="5">
        <v>92</v>
      </c>
      <c r="M855" s="5">
        <v>79</v>
      </c>
      <c r="N855" s="5" t="s">
        <v>23</v>
      </c>
      <c r="O855" s="5" t="str">
        <f>_xlfn.IFS('Data set'!$H855&lt;5.7,"Normal",'Data set'!$H855&lt;=6.4,"Prediabetes",'Data set'!$H855&lt;=7.5,"Diabetes",'Data set'!$H855&gt;=7.5,"Uncontrolled")</f>
        <v>Diabetes</v>
      </c>
      <c r="P855" s="5" t="str">
        <f>_xlfn.IFS('Data set'!$F855&lt;120,"Low",'Data set'!$F855&lt;=200,"Normal",'Data set'!$F855&lt;=240,"Boarderline",'Data set'!$F855&gt;=241,"High")</f>
        <v>High</v>
      </c>
      <c r="Q855" s="5" t="str">
        <f>_xlfn.IFS('Data set'!$D855&lt;=18.5,"Low",'Data set'!$D855&lt;=24.9,"Normal",'Data set'!$D855&lt;=29.9,"High",'Data set'!$D855&gt;29.9,"Very High")</f>
        <v>Very High</v>
      </c>
    </row>
    <row r="856" spans="1:17" x14ac:dyDescent="0.25">
      <c r="A856" s="3">
        <v>28</v>
      </c>
      <c r="B856" s="3" t="s">
        <v>9</v>
      </c>
      <c r="C856" s="4">
        <v>102.26</v>
      </c>
      <c r="D856" s="4">
        <v>21.36</v>
      </c>
      <c r="E856" s="3" t="s">
        <v>10</v>
      </c>
      <c r="F856" s="3">
        <v>116</v>
      </c>
      <c r="G856" s="3" t="s">
        <v>670</v>
      </c>
      <c r="H856" s="4">
        <v>6.46</v>
      </c>
      <c r="I856" s="3">
        <v>6</v>
      </c>
      <c r="J856" s="3" t="s">
        <v>3</v>
      </c>
      <c r="K856" s="3" t="s">
        <v>3</v>
      </c>
      <c r="L856" s="3">
        <v>100</v>
      </c>
      <c r="M856" s="3">
        <v>68</v>
      </c>
      <c r="N856" s="3" t="s">
        <v>17</v>
      </c>
      <c r="O856" s="3" t="str">
        <f>_xlfn.IFS('Data set'!$H856&lt;5.7,"Normal",'Data set'!$H856&lt;=6.4,"Prediabetes",'Data set'!$H856&lt;=7.5,"Diabetes",'Data set'!$H856&gt;=7.5,"Uncontrolled")</f>
        <v>Diabetes</v>
      </c>
      <c r="P856" s="3" t="str">
        <f>_xlfn.IFS('Data set'!$F856&lt;120,"Low",'Data set'!$F856&lt;=200,"Normal",'Data set'!$F856&lt;=240,"Boarderline",'Data set'!$F856&gt;=241,"High")</f>
        <v>Low</v>
      </c>
      <c r="Q856" s="3" t="str">
        <f>_xlfn.IFS('Data set'!$D856&lt;=18.5,"Low",'Data set'!$D856&lt;=24.9,"Normal",'Data set'!$D856&lt;=29.9,"High",'Data set'!$D856&gt;29.9,"Very High")</f>
        <v>Normal</v>
      </c>
    </row>
    <row r="857" spans="1:17" x14ac:dyDescent="0.25">
      <c r="A857" s="5">
        <v>67</v>
      </c>
      <c r="B857" s="5" t="s">
        <v>0</v>
      </c>
      <c r="C857" s="6">
        <v>226.66</v>
      </c>
      <c r="D857" s="6">
        <v>25.8</v>
      </c>
      <c r="E857" s="5" t="s">
        <v>6</v>
      </c>
      <c r="F857" s="5">
        <v>256</v>
      </c>
      <c r="G857" s="5" t="s">
        <v>454</v>
      </c>
      <c r="H857" s="6">
        <v>9.25</v>
      </c>
      <c r="I857" s="5">
        <v>3</v>
      </c>
      <c r="J857" s="5" t="s">
        <v>3</v>
      </c>
      <c r="K857" s="5" t="s">
        <v>3</v>
      </c>
      <c r="L857" s="5">
        <v>95</v>
      </c>
      <c r="M857" s="5">
        <v>79</v>
      </c>
      <c r="N857" s="5" t="s">
        <v>21</v>
      </c>
      <c r="O857" s="5" t="str">
        <f>_xlfn.IFS('Data set'!$H857&lt;5.7,"Normal",'Data set'!$H857&lt;=6.4,"Prediabetes",'Data set'!$H857&lt;=7.5,"Diabetes",'Data set'!$H857&gt;=7.5,"Uncontrolled")</f>
        <v>Uncontrolled</v>
      </c>
      <c r="P857" s="5" t="str">
        <f>_xlfn.IFS('Data set'!$F857&lt;120,"Low",'Data set'!$F857&lt;=200,"Normal",'Data set'!$F857&lt;=240,"Boarderline",'Data set'!$F857&gt;=241,"High")</f>
        <v>High</v>
      </c>
      <c r="Q857" s="5" t="str">
        <f>_xlfn.IFS('Data set'!$D857&lt;=18.5,"Low",'Data set'!$D857&lt;=24.9,"Normal",'Data set'!$D857&lt;=29.9,"High",'Data set'!$D857&gt;29.9,"Very High")</f>
        <v>High</v>
      </c>
    </row>
    <row r="858" spans="1:17" x14ac:dyDescent="0.25">
      <c r="A858" s="3">
        <v>71</v>
      </c>
      <c r="B858" s="3" t="s">
        <v>9</v>
      </c>
      <c r="C858" s="4">
        <v>221.11</v>
      </c>
      <c r="D858" s="4">
        <v>32.130000000000003</v>
      </c>
      <c r="E858" s="3" t="s">
        <v>1</v>
      </c>
      <c r="F858" s="3">
        <v>142</v>
      </c>
      <c r="G858" s="3" t="s">
        <v>671</v>
      </c>
      <c r="H858" s="4">
        <v>9.94</v>
      </c>
      <c r="I858" s="3">
        <v>5</v>
      </c>
      <c r="J858" s="3" t="s">
        <v>3</v>
      </c>
      <c r="K858" s="3" t="s">
        <v>3</v>
      </c>
      <c r="L858" s="3">
        <v>98</v>
      </c>
      <c r="M858" s="3">
        <v>82</v>
      </c>
      <c r="N858" s="3" t="s">
        <v>5</v>
      </c>
      <c r="O858" s="3" t="str">
        <f>_xlfn.IFS('Data set'!$H858&lt;5.7,"Normal",'Data set'!$H858&lt;=6.4,"Prediabetes",'Data set'!$H858&lt;=7.5,"Diabetes",'Data set'!$H858&gt;=7.5,"Uncontrolled")</f>
        <v>Uncontrolled</v>
      </c>
      <c r="P858" s="3" t="str">
        <f>_xlfn.IFS('Data set'!$F858&lt;120,"Low",'Data set'!$F858&lt;=200,"Normal",'Data set'!$F858&lt;=240,"Boarderline",'Data set'!$F858&gt;=241,"High")</f>
        <v>Normal</v>
      </c>
      <c r="Q858" s="3" t="str">
        <f>_xlfn.IFS('Data set'!$D858&lt;=18.5,"Low",'Data set'!$D858&lt;=24.9,"Normal",'Data set'!$D858&lt;=29.9,"High",'Data set'!$D858&gt;29.9,"Very High")</f>
        <v>Very High</v>
      </c>
    </row>
    <row r="859" spans="1:17" x14ac:dyDescent="0.25">
      <c r="A859" s="5">
        <v>23</v>
      </c>
      <c r="B859" s="5" t="s">
        <v>0</v>
      </c>
      <c r="C859" s="6">
        <v>96.89</v>
      </c>
      <c r="D859" s="6">
        <v>24.48</v>
      </c>
      <c r="E859" s="5" t="s">
        <v>6</v>
      </c>
      <c r="F859" s="5">
        <v>274</v>
      </c>
      <c r="G859" s="5" t="s">
        <v>672</v>
      </c>
      <c r="H859" s="6">
        <v>6.44</v>
      </c>
      <c r="I859" s="5">
        <v>5</v>
      </c>
      <c r="J859" s="5" t="s">
        <v>3</v>
      </c>
      <c r="K859" s="5" t="s">
        <v>4</v>
      </c>
      <c r="L859" s="5">
        <v>123</v>
      </c>
      <c r="M859" s="5">
        <v>68</v>
      </c>
      <c r="N859" s="5" t="s">
        <v>17</v>
      </c>
      <c r="O859" s="5" t="str">
        <f>_xlfn.IFS('Data set'!$H859&lt;5.7,"Normal",'Data set'!$H859&lt;=6.4,"Prediabetes",'Data set'!$H859&lt;=7.5,"Diabetes",'Data set'!$H859&gt;=7.5,"Uncontrolled")</f>
        <v>Diabetes</v>
      </c>
      <c r="P859" s="5" t="str">
        <f>_xlfn.IFS('Data set'!$F859&lt;120,"Low",'Data set'!$F859&lt;=200,"Normal",'Data set'!$F859&lt;=240,"Boarderline",'Data set'!$F859&gt;=241,"High")</f>
        <v>High</v>
      </c>
      <c r="Q859" s="5" t="str">
        <f>_xlfn.IFS('Data set'!$D859&lt;=18.5,"Low",'Data set'!$D859&lt;=24.9,"Normal",'Data set'!$D859&lt;=29.9,"High",'Data set'!$D859&gt;29.9,"Very High")</f>
        <v>Normal</v>
      </c>
    </row>
    <row r="860" spans="1:17" x14ac:dyDescent="0.25">
      <c r="A860" s="3">
        <v>46</v>
      </c>
      <c r="B860" s="3" t="s">
        <v>9</v>
      </c>
      <c r="C860" s="4">
        <v>203.44</v>
      </c>
      <c r="D860" s="4">
        <v>23.78</v>
      </c>
      <c r="E860" s="3" t="s">
        <v>1</v>
      </c>
      <c r="F860" s="3">
        <v>277</v>
      </c>
      <c r="G860" s="3" t="s">
        <v>673</v>
      </c>
      <c r="H860" s="4">
        <v>7.61</v>
      </c>
      <c r="I860" s="3">
        <v>3</v>
      </c>
      <c r="J860" s="3" t="s">
        <v>3</v>
      </c>
      <c r="K860" s="3" t="s">
        <v>4</v>
      </c>
      <c r="L860" s="3">
        <v>128</v>
      </c>
      <c r="M860" s="3">
        <v>90</v>
      </c>
      <c r="N860" s="3" t="s">
        <v>23</v>
      </c>
      <c r="O860" s="3" t="str">
        <f>_xlfn.IFS('Data set'!$H860&lt;5.7,"Normal",'Data set'!$H860&lt;=6.4,"Prediabetes",'Data set'!$H860&lt;=7.5,"Diabetes",'Data set'!$H860&gt;=7.5,"Uncontrolled")</f>
        <v>Uncontrolled</v>
      </c>
      <c r="P860" s="3" t="str">
        <f>_xlfn.IFS('Data set'!$F860&lt;120,"Low",'Data set'!$F860&lt;=200,"Normal",'Data set'!$F860&lt;=240,"Boarderline",'Data set'!$F860&gt;=241,"High")</f>
        <v>High</v>
      </c>
      <c r="Q860" s="3" t="str">
        <f>_xlfn.IFS('Data set'!$D860&lt;=18.5,"Low",'Data set'!$D860&lt;=24.9,"Normal",'Data set'!$D860&lt;=29.9,"High",'Data set'!$D860&gt;29.9,"Very High")</f>
        <v>Normal</v>
      </c>
    </row>
    <row r="861" spans="1:17" x14ac:dyDescent="0.25">
      <c r="A861" s="5">
        <v>69</v>
      </c>
      <c r="B861" s="5" t="s">
        <v>9</v>
      </c>
      <c r="C861" s="6">
        <v>128.86000000000001</v>
      </c>
      <c r="D861" s="6">
        <v>37.909999999999997</v>
      </c>
      <c r="E861" s="5" t="s">
        <v>6</v>
      </c>
      <c r="F861" s="5">
        <v>298</v>
      </c>
      <c r="G861" s="5" t="s">
        <v>184</v>
      </c>
      <c r="H861" s="6">
        <v>8.17</v>
      </c>
      <c r="I861" s="5">
        <v>1</v>
      </c>
      <c r="J861" s="5" t="s">
        <v>4</v>
      </c>
      <c r="K861" s="5" t="s">
        <v>3</v>
      </c>
      <c r="L861" s="5">
        <v>106</v>
      </c>
      <c r="M861" s="5">
        <v>68</v>
      </c>
      <c r="N861" s="5" t="s">
        <v>21</v>
      </c>
      <c r="O861" s="5" t="str">
        <f>_xlfn.IFS('Data set'!$H861&lt;5.7,"Normal",'Data set'!$H861&lt;=6.4,"Prediabetes",'Data set'!$H861&lt;=7.5,"Diabetes",'Data set'!$H861&gt;=7.5,"Uncontrolled")</f>
        <v>Uncontrolled</v>
      </c>
      <c r="P861" s="5" t="str">
        <f>_xlfn.IFS('Data set'!$F861&lt;120,"Low",'Data set'!$F861&lt;=200,"Normal",'Data set'!$F861&lt;=240,"Boarderline",'Data set'!$F861&gt;=241,"High")</f>
        <v>High</v>
      </c>
      <c r="Q861" s="5" t="str">
        <f>_xlfn.IFS('Data set'!$D861&lt;=18.5,"Low",'Data set'!$D861&lt;=24.9,"Normal",'Data set'!$D861&lt;=29.9,"High",'Data set'!$D861&gt;29.9,"Very High")</f>
        <v>Very High</v>
      </c>
    </row>
    <row r="862" spans="1:17" x14ac:dyDescent="0.25">
      <c r="A862" s="3">
        <v>30</v>
      </c>
      <c r="B862" s="3" t="s">
        <v>9</v>
      </c>
      <c r="C862" s="4">
        <v>297.19</v>
      </c>
      <c r="D862" s="4">
        <v>20.63</v>
      </c>
      <c r="E862" s="3" t="s">
        <v>1</v>
      </c>
      <c r="F862" s="3">
        <v>146</v>
      </c>
      <c r="G862" s="3" t="s">
        <v>222</v>
      </c>
      <c r="H862" s="4">
        <v>6.27</v>
      </c>
      <c r="I862" s="3">
        <v>6</v>
      </c>
      <c r="J862" s="3" t="s">
        <v>3</v>
      </c>
      <c r="K862" s="3" t="s">
        <v>4</v>
      </c>
      <c r="L862" s="3">
        <v>123</v>
      </c>
      <c r="M862" s="3">
        <v>65</v>
      </c>
      <c r="N862" s="3" t="s">
        <v>17</v>
      </c>
      <c r="O862" s="3" t="str">
        <f>_xlfn.IFS('Data set'!$H862&lt;5.7,"Normal",'Data set'!$H862&lt;=6.4,"Prediabetes",'Data set'!$H862&lt;=7.5,"Diabetes",'Data set'!$H862&gt;=7.5,"Uncontrolled")</f>
        <v>Prediabetes</v>
      </c>
      <c r="P862" s="3" t="str">
        <f>_xlfn.IFS('Data set'!$F862&lt;120,"Low",'Data set'!$F862&lt;=200,"Normal",'Data set'!$F862&lt;=240,"Boarderline",'Data set'!$F862&gt;=241,"High")</f>
        <v>Normal</v>
      </c>
      <c r="Q862" s="3" t="str">
        <f>_xlfn.IFS('Data set'!$D862&lt;=18.5,"Low",'Data set'!$D862&lt;=24.9,"Normal",'Data set'!$D862&lt;=29.9,"High",'Data set'!$D862&gt;29.9,"Very High")</f>
        <v>Normal</v>
      </c>
    </row>
    <row r="863" spans="1:17" x14ac:dyDescent="0.25">
      <c r="A863" s="5">
        <v>35</v>
      </c>
      <c r="B863" s="5" t="s">
        <v>0</v>
      </c>
      <c r="C863" s="6">
        <v>249.24</v>
      </c>
      <c r="D863" s="6">
        <v>18.440000000000001</v>
      </c>
      <c r="E863" s="5" t="s">
        <v>10</v>
      </c>
      <c r="F863" s="5">
        <v>118</v>
      </c>
      <c r="G863" s="5" t="s">
        <v>674</v>
      </c>
      <c r="H863" s="6">
        <v>6.75</v>
      </c>
      <c r="I863" s="5">
        <v>0</v>
      </c>
      <c r="J863" s="5" t="s">
        <v>4</v>
      </c>
      <c r="K863" s="5" t="s">
        <v>3</v>
      </c>
      <c r="L863" s="5">
        <v>103</v>
      </c>
      <c r="M863" s="5">
        <v>66</v>
      </c>
      <c r="N863" s="5" t="s">
        <v>12</v>
      </c>
      <c r="O863" s="5" t="str">
        <f>_xlfn.IFS('Data set'!$H863&lt;5.7,"Normal",'Data set'!$H863&lt;=6.4,"Prediabetes",'Data set'!$H863&lt;=7.5,"Diabetes",'Data set'!$H863&gt;=7.5,"Uncontrolled")</f>
        <v>Diabetes</v>
      </c>
      <c r="P863" s="5" t="str">
        <f>_xlfn.IFS('Data set'!$F863&lt;120,"Low",'Data set'!$F863&lt;=200,"Normal",'Data set'!$F863&lt;=240,"Boarderline",'Data set'!$F863&gt;=241,"High")</f>
        <v>Low</v>
      </c>
      <c r="Q863" s="5" t="str">
        <f>_xlfn.IFS('Data set'!$D863&lt;=18.5,"Low",'Data set'!$D863&lt;=24.9,"Normal",'Data set'!$D863&lt;=29.9,"High",'Data set'!$D863&gt;29.9,"Very High")</f>
        <v>Low</v>
      </c>
    </row>
    <row r="864" spans="1:17" x14ac:dyDescent="0.25">
      <c r="A864" s="3">
        <v>75</v>
      </c>
      <c r="B864" s="3" t="s">
        <v>9</v>
      </c>
      <c r="C864" s="4">
        <v>271.04000000000002</v>
      </c>
      <c r="D864" s="4">
        <v>29.13</v>
      </c>
      <c r="E864" s="3" t="s">
        <v>14</v>
      </c>
      <c r="F864" s="3">
        <v>102</v>
      </c>
      <c r="G864" s="3" t="s">
        <v>675</v>
      </c>
      <c r="H864" s="4">
        <v>9.5500000000000007</v>
      </c>
      <c r="I864" s="3">
        <v>1</v>
      </c>
      <c r="J864" s="3" t="s">
        <v>4</v>
      </c>
      <c r="K864" s="3" t="s">
        <v>4</v>
      </c>
      <c r="L864" s="3">
        <v>119</v>
      </c>
      <c r="M864" s="3">
        <v>77</v>
      </c>
      <c r="N864" s="3" t="s">
        <v>5</v>
      </c>
      <c r="O864" s="3" t="str">
        <f>_xlfn.IFS('Data set'!$H864&lt;5.7,"Normal",'Data set'!$H864&lt;=6.4,"Prediabetes",'Data set'!$H864&lt;=7.5,"Diabetes",'Data set'!$H864&gt;=7.5,"Uncontrolled")</f>
        <v>Uncontrolled</v>
      </c>
      <c r="P864" s="3" t="str">
        <f>_xlfn.IFS('Data set'!$F864&lt;120,"Low",'Data set'!$F864&lt;=200,"Normal",'Data set'!$F864&lt;=240,"Boarderline",'Data set'!$F864&gt;=241,"High")</f>
        <v>Low</v>
      </c>
      <c r="Q864" s="3" t="str">
        <f>_xlfn.IFS('Data set'!$D864&lt;=18.5,"Low",'Data set'!$D864&lt;=24.9,"Normal",'Data set'!$D864&lt;=29.9,"High",'Data set'!$D864&gt;29.9,"Very High")</f>
        <v>High</v>
      </c>
    </row>
    <row r="865" spans="1:17" x14ac:dyDescent="0.25">
      <c r="A865" s="5">
        <v>60</v>
      </c>
      <c r="B865" s="5" t="s">
        <v>0</v>
      </c>
      <c r="C865" s="6">
        <v>172.94</v>
      </c>
      <c r="D865" s="6">
        <v>18.27</v>
      </c>
      <c r="E865" s="5" t="s">
        <v>6</v>
      </c>
      <c r="F865" s="5">
        <v>164</v>
      </c>
      <c r="G865" s="5" t="s">
        <v>676</v>
      </c>
      <c r="H865" s="6">
        <v>9.4700000000000006</v>
      </c>
      <c r="I865" s="5">
        <v>2</v>
      </c>
      <c r="J865" s="5" t="s">
        <v>3</v>
      </c>
      <c r="K865" s="5" t="s">
        <v>4</v>
      </c>
      <c r="L865" s="5">
        <v>129</v>
      </c>
      <c r="M865" s="5">
        <v>61</v>
      </c>
      <c r="N865" s="5" t="s">
        <v>8</v>
      </c>
      <c r="O865" s="5" t="str">
        <f>_xlfn.IFS('Data set'!$H865&lt;5.7,"Normal",'Data set'!$H865&lt;=6.4,"Prediabetes",'Data set'!$H865&lt;=7.5,"Diabetes",'Data set'!$H865&gt;=7.5,"Uncontrolled")</f>
        <v>Uncontrolled</v>
      </c>
      <c r="P865" s="5" t="str">
        <f>_xlfn.IFS('Data set'!$F865&lt;120,"Low",'Data set'!$F865&lt;=200,"Normal",'Data set'!$F865&lt;=240,"Boarderline",'Data set'!$F865&gt;=241,"High")</f>
        <v>Normal</v>
      </c>
      <c r="Q865" s="5" t="str">
        <f>_xlfn.IFS('Data set'!$D865&lt;=18.5,"Low",'Data set'!$D865&lt;=24.9,"Normal",'Data set'!$D865&lt;=29.9,"High",'Data set'!$D865&gt;29.9,"Very High")</f>
        <v>Low</v>
      </c>
    </row>
    <row r="866" spans="1:17" x14ac:dyDescent="0.25">
      <c r="A866" s="3">
        <v>62</v>
      </c>
      <c r="B866" s="3" t="s">
        <v>9</v>
      </c>
      <c r="C866" s="4">
        <v>224.73</v>
      </c>
      <c r="D866" s="4">
        <v>21.11</v>
      </c>
      <c r="E866" s="3" t="s">
        <v>14</v>
      </c>
      <c r="F866" s="3">
        <v>296</v>
      </c>
      <c r="G866" s="3" t="s">
        <v>677</v>
      </c>
      <c r="H866" s="4">
        <v>9.7200000000000006</v>
      </c>
      <c r="I866" s="3">
        <v>2</v>
      </c>
      <c r="J866" s="3" t="s">
        <v>3</v>
      </c>
      <c r="K866" s="3" t="s">
        <v>4</v>
      </c>
      <c r="L866" s="3">
        <v>109</v>
      </c>
      <c r="M866" s="3">
        <v>74</v>
      </c>
      <c r="N866" s="3" t="s">
        <v>21</v>
      </c>
      <c r="O866" s="3" t="str">
        <f>_xlfn.IFS('Data set'!$H866&lt;5.7,"Normal",'Data set'!$H866&lt;=6.4,"Prediabetes",'Data set'!$H866&lt;=7.5,"Diabetes",'Data set'!$H866&gt;=7.5,"Uncontrolled")</f>
        <v>Uncontrolled</v>
      </c>
      <c r="P866" s="3" t="str">
        <f>_xlfn.IFS('Data set'!$F866&lt;120,"Low",'Data set'!$F866&lt;=200,"Normal",'Data set'!$F866&lt;=240,"Boarderline",'Data set'!$F866&gt;=241,"High")</f>
        <v>High</v>
      </c>
      <c r="Q866" s="3" t="str">
        <f>_xlfn.IFS('Data set'!$D866&lt;=18.5,"Low",'Data set'!$D866&lt;=24.9,"Normal",'Data set'!$D866&lt;=29.9,"High",'Data set'!$D866&gt;29.9,"Very High")</f>
        <v>Normal</v>
      </c>
    </row>
    <row r="867" spans="1:17" x14ac:dyDescent="0.25">
      <c r="A867" s="5">
        <v>26</v>
      </c>
      <c r="B867" s="5" t="s">
        <v>9</v>
      </c>
      <c r="C867" s="6">
        <v>121.77</v>
      </c>
      <c r="D867" s="6">
        <v>35.619999999999997</v>
      </c>
      <c r="E867" s="5" t="s">
        <v>1</v>
      </c>
      <c r="F867" s="5">
        <v>285</v>
      </c>
      <c r="G867" s="5" t="s">
        <v>678</v>
      </c>
      <c r="H867" s="6">
        <v>6.08</v>
      </c>
      <c r="I867" s="5">
        <v>3</v>
      </c>
      <c r="J867" s="5" t="s">
        <v>4</v>
      </c>
      <c r="K867" s="5" t="s">
        <v>3</v>
      </c>
      <c r="L867" s="5">
        <v>114</v>
      </c>
      <c r="M867" s="5">
        <v>72</v>
      </c>
      <c r="N867" s="5" t="s">
        <v>17</v>
      </c>
      <c r="O867" s="5" t="str">
        <f>_xlfn.IFS('Data set'!$H867&lt;5.7,"Normal",'Data set'!$H867&lt;=6.4,"Prediabetes",'Data set'!$H867&lt;=7.5,"Diabetes",'Data set'!$H867&gt;=7.5,"Uncontrolled")</f>
        <v>Prediabetes</v>
      </c>
      <c r="P867" s="5" t="str">
        <f>_xlfn.IFS('Data set'!$F867&lt;120,"Low",'Data set'!$F867&lt;=200,"Normal",'Data set'!$F867&lt;=240,"Boarderline",'Data set'!$F867&gt;=241,"High")</f>
        <v>High</v>
      </c>
      <c r="Q867" s="5" t="str">
        <f>_xlfn.IFS('Data set'!$D867&lt;=18.5,"Low",'Data set'!$D867&lt;=24.9,"Normal",'Data set'!$D867&lt;=29.9,"High",'Data set'!$D867&gt;29.9,"Very High")</f>
        <v>Very High</v>
      </c>
    </row>
    <row r="868" spans="1:17" x14ac:dyDescent="0.25">
      <c r="A868" s="3">
        <v>19</v>
      </c>
      <c r="B868" s="3" t="s">
        <v>0</v>
      </c>
      <c r="C868" s="4">
        <v>95.48</v>
      </c>
      <c r="D868" s="4">
        <v>29.65</v>
      </c>
      <c r="E868" s="3" t="s">
        <v>10</v>
      </c>
      <c r="F868" s="3">
        <v>227</v>
      </c>
      <c r="G868" s="3" t="s">
        <v>679</v>
      </c>
      <c r="H868" s="4">
        <v>8.98</v>
      </c>
      <c r="I868" s="3">
        <v>7</v>
      </c>
      <c r="J868" s="3" t="s">
        <v>3</v>
      </c>
      <c r="K868" s="3" t="s">
        <v>4</v>
      </c>
      <c r="L868" s="3">
        <v>110</v>
      </c>
      <c r="M868" s="3">
        <v>76</v>
      </c>
      <c r="N868" s="3" t="s">
        <v>17</v>
      </c>
      <c r="O868" s="3" t="str">
        <f>_xlfn.IFS('Data set'!$H868&lt;5.7,"Normal",'Data set'!$H868&lt;=6.4,"Prediabetes",'Data set'!$H868&lt;=7.5,"Diabetes",'Data set'!$H868&gt;=7.5,"Uncontrolled")</f>
        <v>Uncontrolled</v>
      </c>
      <c r="P868" s="3" t="str">
        <f>_xlfn.IFS('Data set'!$F868&lt;120,"Low",'Data set'!$F868&lt;=200,"Normal",'Data set'!$F868&lt;=240,"Boarderline",'Data set'!$F868&gt;=241,"High")</f>
        <v>Boarderline</v>
      </c>
      <c r="Q868" s="3" t="str">
        <f>_xlfn.IFS('Data set'!$D868&lt;=18.5,"Low",'Data set'!$D868&lt;=24.9,"Normal",'Data set'!$D868&lt;=29.9,"High",'Data set'!$D868&gt;29.9,"Very High")</f>
        <v>High</v>
      </c>
    </row>
    <row r="869" spans="1:17" x14ac:dyDescent="0.25">
      <c r="A869" s="5">
        <v>60</v>
      </c>
      <c r="B869" s="5" t="s">
        <v>9</v>
      </c>
      <c r="C869" s="6">
        <v>156.38999999999999</v>
      </c>
      <c r="D869" s="6">
        <v>37.21</v>
      </c>
      <c r="E869" s="5" t="s">
        <v>6</v>
      </c>
      <c r="F869" s="5">
        <v>221</v>
      </c>
      <c r="G869" s="5" t="s">
        <v>680</v>
      </c>
      <c r="H869" s="6">
        <v>4.68</v>
      </c>
      <c r="I869" s="5">
        <v>5</v>
      </c>
      <c r="J869" s="5" t="s">
        <v>4</v>
      </c>
      <c r="K869" s="5" t="s">
        <v>3</v>
      </c>
      <c r="L869" s="5">
        <v>128</v>
      </c>
      <c r="M869" s="5">
        <v>75</v>
      </c>
      <c r="N869" s="5" t="s">
        <v>8</v>
      </c>
      <c r="O869" s="5" t="str">
        <f>_xlfn.IFS('Data set'!$H869&lt;5.7,"Normal",'Data set'!$H869&lt;=6.4,"Prediabetes",'Data set'!$H869&lt;=7.5,"Diabetes",'Data set'!$H869&gt;=7.5,"Uncontrolled")</f>
        <v>Normal</v>
      </c>
      <c r="P869" s="5" t="str">
        <f>_xlfn.IFS('Data set'!$F869&lt;120,"Low",'Data set'!$F869&lt;=200,"Normal",'Data set'!$F869&lt;=240,"Boarderline",'Data set'!$F869&gt;=241,"High")</f>
        <v>Boarderline</v>
      </c>
      <c r="Q869" s="5" t="str">
        <f>_xlfn.IFS('Data set'!$D869&lt;=18.5,"Low",'Data set'!$D869&lt;=24.9,"Normal",'Data set'!$D869&lt;=29.9,"High",'Data set'!$D869&gt;29.9,"Very High")</f>
        <v>Very High</v>
      </c>
    </row>
    <row r="870" spans="1:17" x14ac:dyDescent="0.25">
      <c r="A870" s="3">
        <v>32</v>
      </c>
      <c r="B870" s="3" t="s">
        <v>0</v>
      </c>
      <c r="C870" s="4">
        <v>198.68</v>
      </c>
      <c r="D870" s="4">
        <v>21.31</v>
      </c>
      <c r="E870" s="3" t="s">
        <v>10</v>
      </c>
      <c r="F870" s="3">
        <v>283</v>
      </c>
      <c r="G870" s="3" t="s">
        <v>518</v>
      </c>
      <c r="H870" s="4">
        <v>5.03</v>
      </c>
      <c r="I870" s="3">
        <v>0</v>
      </c>
      <c r="J870" s="3" t="s">
        <v>4</v>
      </c>
      <c r="K870" s="3" t="s">
        <v>3</v>
      </c>
      <c r="L870" s="3">
        <v>124</v>
      </c>
      <c r="M870" s="3">
        <v>85</v>
      </c>
      <c r="N870" s="3" t="s">
        <v>12</v>
      </c>
      <c r="O870" s="3" t="str">
        <f>_xlfn.IFS('Data set'!$H870&lt;5.7,"Normal",'Data set'!$H870&lt;=6.4,"Prediabetes",'Data set'!$H870&lt;=7.5,"Diabetes",'Data set'!$H870&gt;=7.5,"Uncontrolled")</f>
        <v>Normal</v>
      </c>
      <c r="P870" s="3" t="str">
        <f>_xlfn.IFS('Data set'!$F870&lt;120,"Low",'Data set'!$F870&lt;=200,"Normal",'Data set'!$F870&lt;=240,"Boarderline",'Data set'!$F870&gt;=241,"High")</f>
        <v>High</v>
      </c>
      <c r="Q870" s="3" t="str">
        <f>_xlfn.IFS('Data set'!$D870&lt;=18.5,"Low",'Data set'!$D870&lt;=24.9,"Normal",'Data set'!$D870&lt;=29.9,"High",'Data set'!$D870&gt;29.9,"Very High")</f>
        <v>Normal</v>
      </c>
    </row>
    <row r="871" spans="1:17" x14ac:dyDescent="0.25">
      <c r="A871" s="5">
        <v>24</v>
      </c>
      <c r="B871" s="5" t="s">
        <v>9</v>
      </c>
      <c r="C871" s="6">
        <v>285.08999999999997</v>
      </c>
      <c r="D871" s="6">
        <v>36.630000000000003</v>
      </c>
      <c r="E871" s="5" t="s">
        <v>10</v>
      </c>
      <c r="F871" s="5">
        <v>286</v>
      </c>
      <c r="G871" s="5" t="s">
        <v>245</v>
      </c>
      <c r="H871" s="6">
        <v>9.49</v>
      </c>
      <c r="I871" s="5">
        <v>3</v>
      </c>
      <c r="J871" s="5" t="s">
        <v>4</v>
      </c>
      <c r="K871" s="5" t="s">
        <v>3</v>
      </c>
      <c r="L871" s="5">
        <v>94</v>
      </c>
      <c r="M871" s="5">
        <v>72</v>
      </c>
      <c r="N871" s="5" t="s">
        <v>17</v>
      </c>
      <c r="O871" s="5" t="str">
        <f>_xlfn.IFS('Data set'!$H871&lt;5.7,"Normal",'Data set'!$H871&lt;=6.4,"Prediabetes",'Data set'!$H871&lt;=7.5,"Diabetes",'Data set'!$H871&gt;=7.5,"Uncontrolled")</f>
        <v>Uncontrolled</v>
      </c>
      <c r="P871" s="5" t="str">
        <f>_xlfn.IFS('Data set'!$F871&lt;120,"Low",'Data set'!$F871&lt;=200,"Normal",'Data set'!$F871&lt;=240,"Boarderline",'Data set'!$F871&gt;=241,"High")</f>
        <v>High</v>
      </c>
      <c r="Q871" s="5" t="str">
        <f>_xlfn.IFS('Data set'!$D871&lt;=18.5,"Low",'Data set'!$D871&lt;=24.9,"Normal",'Data set'!$D871&lt;=29.9,"High",'Data set'!$D871&gt;29.9,"Very High")</f>
        <v>Very High</v>
      </c>
    </row>
    <row r="872" spans="1:17" x14ac:dyDescent="0.25">
      <c r="A872" s="3">
        <v>19</v>
      </c>
      <c r="B872" s="3" t="s">
        <v>9</v>
      </c>
      <c r="C872" s="4">
        <v>146.79</v>
      </c>
      <c r="D872" s="4">
        <v>39.229999999999997</v>
      </c>
      <c r="E872" s="3" t="s">
        <v>1</v>
      </c>
      <c r="F872" s="3">
        <v>264</v>
      </c>
      <c r="G872" s="3" t="s">
        <v>681</v>
      </c>
      <c r="H872" s="4">
        <v>4.62</v>
      </c>
      <c r="I872" s="3">
        <v>4</v>
      </c>
      <c r="J872" s="3" t="s">
        <v>4</v>
      </c>
      <c r="K872" s="3" t="s">
        <v>4</v>
      </c>
      <c r="L872" s="3">
        <v>130</v>
      </c>
      <c r="M872" s="3">
        <v>75</v>
      </c>
      <c r="N872" s="3" t="s">
        <v>17</v>
      </c>
      <c r="O872" s="3" t="str">
        <f>_xlfn.IFS('Data set'!$H872&lt;5.7,"Normal",'Data set'!$H872&lt;=6.4,"Prediabetes",'Data set'!$H872&lt;=7.5,"Diabetes",'Data set'!$H872&gt;=7.5,"Uncontrolled")</f>
        <v>Normal</v>
      </c>
      <c r="P872" s="3" t="str">
        <f>_xlfn.IFS('Data set'!$F872&lt;120,"Low",'Data set'!$F872&lt;=200,"Normal",'Data set'!$F872&lt;=240,"Boarderline",'Data set'!$F872&gt;=241,"High")</f>
        <v>High</v>
      </c>
      <c r="Q872" s="3" t="str">
        <f>_xlfn.IFS('Data set'!$D872&lt;=18.5,"Low",'Data set'!$D872&lt;=24.9,"Normal",'Data set'!$D872&lt;=29.9,"High",'Data set'!$D872&gt;29.9,"Very High")</f>
        <v>Very High</v>
      </c>
    </row>
    <row r="873" spans="1:17" x14ac:dyDescent="0.25">
      <c r="A873" s="5">
        <v>57</v>
      </c>
      <c r="B873" s="5" t="s">
        <v>9</v>
      </c>
      <c r="C873" s="6">
        <v>115.28</v>
      </c>
      <c r="D873" s="6">
        <v>24.09</v>
      </c>
      <c r="E873" s="5" t="s">
        <v>10</v>
      </c>
      <c r="F873" s="5">
        <v>188</v>
      </c>
      <c r="G873" s="5" t="s">
        <v>682</v>
      </c>
      <c r="H873" s="6">
        <v>5.62</v>
      </c>
      <c r="I873" s="5">
        <v>6</v>
      </c>
      <c r="J873" s="5" t="s">
        <v>3</v>
      </c>
      <c r="K873" s="5" t="s">
        <v>4</v>
      </c>
      <c r="L873" s="5">
        <v>140</v>
      </c>
      <c r="M873" s="5">
        <v>86</v>
      </c>
      <c r="N873" s="5" t="s">
        <v>8</v>
      </c>
      <c r="O873" s="5" t="str">
        <f>_xlfn.IFS('Data set'!$H873&lt;5.7,"Normal",'Data set'!$H873&lt;=6.4,"Prediabetes",'Data set'!$H873&lt;=7.5,"Diabetes",'Data set'!$H873&gt;=7.5,"Uncontrolled")</f>
        <v>Normal</v>
      </c>
      <c r="P873" s="5" t="str">
        <f>_xlfn.IFS('Data set'!$F873&lt;120,"Low",'Data set'!$F873&lt;=200,"Normal",'Data set'!$F873&lt;=240,"Boarderline",'Data set'!$F873&gt;=241,"High")</f>
        <v>Normal</v>
      </c>
      <c r="Q873" s="5" t="str">
        <f>_xlfn.IFS('Data set'!$D873&lt;=18.5,"Low",'Data set'!$D873&lt;=24.9,"Normal",'Data set'!$D873&lt;=29.9,"High",'Data set'!$D873&gt;29.9,"Very High")</f>
        <v>Normal</v>
      </c>
    </row>
    <row r="874" spans="1:17" x14ac:dyDescent="0.25">
      <c r="A874" s="3">
        <v>48</v>
      </c>
      <c r="B874" s="3" t="s">
        <v>9</v>
      </c>
      <c r="C874" s="4">
        <v>240.28</v>
      </c>
      <c r="D874" s="4">
        <v>37.549999999999997</v>
      </c>
      <c r="E874" s="3" t="s">
        <v>6</v>
      </c>
      <c r="F874" s="3">
        <v>197</v>
      </c>
      <c r="G874" s="3" t="s">
        <v>683</v>
      </c>
      <c r="H874" s="4">
        <v>7.82</v>
      </c>
      <c r="I874" s="3">
        <v>5</v>
      </c>
      <c r="J874" s="3" t="s">
        <v>3</v>
      </c>
      <c r="K874" s="3" t="s">
        <v>3</v>
      </c>
      <c r="L874" s="3">
        <v>92</v>
      </c>
      <c r="M874" s="3">
        <v>63</v>
      </c>
      <c r="N874" s="3" t="s">
        <v>23</v>
      </c>
      <c r="O874" s="3" t="str">
        <f>_xlfn.IFS('Data set'!$H874&lt;5.7,"Normal",'Data set'!$H874&lt;=6.4,"Prediabetes",'Data set'!$H874&lt;=7.5,"Diabetes",'Data set'!$H874&gt;=7.5,"Uncontrolled")</f>
        <v>Uncontrolled</v>
      </c>
      <c r="P874" s="3" t="str">
        <f>_xlfn.IFS('Data set'!$F874&lt;120,"Low",'Data set'!$F874&lt;=200,"Normal",'Data set'!$F874&lt;=240,"Boarderline",'Data set'!$F874&gt;=241,"High")</f>
        <v>Normal</v>
      </c>
      <c r="Q874" s="3" t="str">
        <f>_xlfn.IFS('Data set'!$D874&lt;=18.5,"Low",'Data set'!$D874&lt;=24.9,"Normal",'Data set'!$D874&lt;=29.9,"High",'Data set'!$D874&gt;29.9,"Very High")</f>
        <v>Very High</v>
      </c>
    </row>
    <row r="875" spans="1:17" x14ac:dyDescent="0.25">
      <c r="A875" s="5">
        <v>66</v>
      </c>
      <c r="B875" s="5" t="s">
        <v>9</v>
      </c>
      <c r="C875" s="6">
        <v>265.11</v>
      </c>
      <c r="D875" s="6">
        <v>28.04</v>
      </c>
      <c r="E875" s="5" t="s">
        <v>10</v>
      </c>
      <c r="F875" s="5">
        <v>137</v>
      </c>
      <c r="G875" s="5" t="s">
        <v>13</v>
      </c>
      <c r="H875" s="6">
        <v>5.95</v>
      </c>
      <c r="I875" s="5">
        <v>4</v>
      </c>
      <c r="J875" s="5" t="s">
        <v>3</v>
      </c>
      <c r="K875" s="5" t="s">
        <v>3</v>
      </c>
      <c r="L875" s="5">
        <v>115</v>
      </c>
      <c r="M875" s="5">
        <v>73</v>
      </c>
      <c r="N875" s="5" t="s">
        <v>21</v>
      </c>
      <c r="O875" s="5" t="str">
        <f>_xlfn.IFS('Data set'!$H875&lt;5.7,"Normal",'Data set'!$H875&lt;=6.4,"Prediabetes",'Data set'!$H875&lt;=7.5,"Diabetes",'Data set'!$H875&gt;=7.5,"Uncontrolled")</f>
        <v>Prediabetes</v>
      </c>
      <c r="P875" s="5" t="str">
        <f>_xlfn.IFS('Data set'!$F875&lt;120,"Low",'Data set'!$F875&lt;=200,"Normal",'Data set'!$F875&lt;=240,"Boarderline",'Data set'!$F875&gt;=241,"High")</f>
        <v>Normal</v>
      </c>
      <c r="Q875" s="5" t="str">
        <f>_xlfn.IFS('Data set'!$D875&lt;=18.5,"Low",'Data set'!$D875&lt;=24.9,"Normal",'Data set'!$D875&lt;=29.9,"High",'Data set'!$D875&gt;29.9,"Very High")</f>
        <v>High</v>
      </c>
    </row>
    <row r="876" spans="1:17" x14ac:dyDescent="0.25">
      <c r="A876" s="3">
        <v>42</v>
      </c>
      <c r="B876" s="3" t="s">
        <v>0</v>
      </c>
      <c r="C876" s="4">
        <v>98.24</v>
      </c>
      <c r="D876" s="4">
        <v>32.380000000000003</v>
      </c>
      <c r="E876" s="3" t="s">
        <v>14</v>
      </c>
      <c r="F876" s="3">
        <v>279</v>
      </c>
      <c r="G876" s="3" t="s">
        <v>684</v>
      </c>
      <c r="H876" s="4">
        <v>5.04</v>
      </c>
      <c r="I876" s="3">
        <v>3</v>
      </c>
      <c r="J876" s="3" t="s">
        <v>4</v>
      </c>
      <c r="K876" s="3" t="s">
        <v>3</v>
      </c>
      <c r="L876" s="3">
        <v>92</v>
      </c>
      <c r="M876" s="3">
        <v>65</v>
      </c>
      <c r="N876" s="3" t="s">
        <v>23</v>
      </c>
      <c r="O876" s="3" t="str">
        <f>_xlfn.IFS('Data set'!$H876&lt;5.7,"Normal",'Data set'!$H876&lt;=6.4,"Prediabetes",'Data set'!$H876&lt;=7.5,"Diabetes",'Data set'!$H876&gt;=7.5,"Uncontrolled")</f>
        <v>Normal</v>
      </c>
      <c r="P876" s="3" t="str">
        <f>_xlfn.IFS('Data set'!$F876&lt;120,"Low",'Data set'!$F876&lt;=200,"Normal",'Data set'!$F876&lt;=240,"Boarderline",'Data set'!$F876&gt;=241,"High")</f>
        <v>High</v>
      </c>
      <c r="Q876" s="3" t="str">
        <f>_xlfn.IFS('Data set'!$D876&lt;=18.5,"Low",'Data set'!$D876&lt;=24.9,"Normal",'Data set'!$D876&lt;=29.9,"High",'Data set'!$D876&gt;29.9,"Very High")</f>
        <v>Very High</v>
      </c>
    </row>
    <row r="877" spans="1:17" x14ac:dyDescent="0.25">
      <c r="A877" s="5">
        <v>33</v>
      </c>
      <c r="B877" s="5" t="s">
        <v>9</v>
      </c>
      <c r="C877" s="6">
        <v>240.28</v>
      </c>
      <c r="D877" s="6">
        <v>31.95</v>
      </c>
      <c r="E877" s="5" t="s">
        <v>14</v>
      </c>
      <c r="F877" s="5">
        <v>231</v>
      </c>
      <c r="G877" s="5" t="s">
        <v>685</v>
      </c>
      <c r="H877" s="6">
        <v>5.87</v>
      </c>
      <c r="I877" s="5">
        <v>5</v>
      </c>
      <c r="J877" s="5" t="s">
        <v>3</v>
      </c>
      <c r="K877" s="5" t="s">
        <v>4</v>
      </c>
      <c r="L877" s="5">
        <v>99</v>
      </c>
      <c r="M877" s="5">
        <v>84</v>
      </c>
      <c r="N877" s="5" t="s">
        <v>12</v>
      </c>
      <c r="O877" s="5" t="str">
        <f>_xlfn.IFS('Data set'!$H877&lt;5.7,"Normal",'Data set'!$H877&lt;=6.4,"Prediabetes",'Data set'!$H877&lt;=7.5,"Diabetes",'Data set'!$H877&gt;=7.5,"Uncontrolled")</f>
        <v>Prediabetes</v>
      </c>
      <c r="P877" s="5" t="str">
        <f>_xlfn.IFS('Data set'!$F877&lt;120,"Low",'Data set'!$F877&lt;=200,"Normal",'Data set'!$F877&lt;=240,"Boarderline",'Data set'!$F877&gt;=241,"High")</f>
        <v>Boarderline</v>
      </c>
      <c r="Q877" s="5" t="str">
        <f>_xlfn.IFS('Data set'!$D877&lt;=18.5,"Low",'Data set'!$D877&lt;=24.9,"Normal",'Data set'!$D877&lt;=29.9,"High",'Data set'!$D877&gt;29.9,"Very High")</f>
        <v>Very High</v>
      </c>
    </row>
    <row r="878" spans="1:17" x14ac:dyDescent="0.25">
      <c r="A878" s="3">
        <v>43</v>
      </c>
      <c r="B878" s="3" t="s">
        <v>9</v>
      </c>
      <c r="C878" s="4">
        <v>235.19</v>
      </c>
      <c r="D878" s="4">
        <v>36.35</v>
      </c>
      <c r="E878" s="3" t="s">
        <v>6</v>
      </c>
      <c r="F878" s="3">
        <v>116</v>
      </c>
      <c r="G878" s="3" t="s">
        <v>603</v>
      </c>
      <c r="H878" s="4">
        <v>9.0399999999999991</v>
      </c>
      <c r="I878" s="3">
        <v>5</v>
      </c>
      <c r="J878" s="3" t="s">
        <v>3</v>
      </c>
      <c r="K878" s="3" t="s">
        <v>4</v>
      </c>
      <c r="L878" s="3">
        <v>102</v>
      </c>
      <c r="M878" s="3">
        <v>80</v>
      </c>
      <c r="N878" s="3" t="s">
        <v>23</v>
      </c>
      <c r="O878" s="3" t="str">
        <f>_xlfn.IFS('Data set'!$H878&lt;5.7,"Normal",'Data set'!$H878&lt;=6.4,"Prediabetes",'Data set'!$H878&lt;=7.5,"Diabetes",'Data set'!$H878&gt;=7.5,"Uncontrolled")</f>
        <v>Uncontrolled</v>
      </c>
      <c r="P878" s="3" t="str">
        <f>_xlfn.IFS('Data set'!$F878&lt;120,"Low",'Data set'!$F878&lt;=200,"Normal",'Data set'!$F878&lt;=240,"Boarderline",'Data set'!$F878&gt;=241,"High")</f>
        <v>Low</v>
      </c>
      <c r="Q878" s="3" t="str">
        <f>_xlfn.IFS('Data set'!$D878&lt;=18.5,"Low",'Data set'!$D878&lt;=24.9,"Normal",'Data set'!$D878&lt;=29.9,"High",'Data set'!$D878&gt;29.9,"Very High")</f>
        <v>Very High</v>
      </c>
    </row>
    <row r="879" spans="1:17" x14ac:dyDescent="0.25">
      <c r="A879" s="5">
        <v>45</v>
      </c>
      <c r="B879" s="5" t="s">
        <v>0</v>
      </c>
      <c r="C879" s="6">
        <v>145.59</v>
      </c>
      <c r="D879" s="6">
        <v>30.21</v>
      </c>
      <c r="E879" s="5" t="s">
        <v>1</v>
      </c>
      <c r="F879" s="5">
        <v>192</v>
      </c>
      <c r="G879" s="5" t="s">
        <v>686</v>
      </c>
      <c r="H879" s="6">
        <v>9.2100000000000009</v>
      </c>
      <c r="I879" s="5">
        <v>3</v>
      </c>
      <c r="J879" s="5" t="s">
        <v>4</v>
      </c>
      <c r="K879" s="5" t="s">
        <v>3</v>
      </c>
      <c r="L879" s="5">
        <v>121</v>
      </c>
      <c r="M879" s="5">
        <v>60</v>
      </c>
      <c r="N879" s="5" t="s">
        <v>23</v>
      </c>
      <c r="O879" s="5" t="str">
        <f>_xlfn.IFS('Data set'!$H879&lt;5.7,"Normal",'Data set'!$H879&lt;=6.4,"Prediabetes",'Data set'!$H879&lt;=7.5,"Diabetes",'Data set'!$H879&gt;=7.5,"Uncontrolled")</f>
        <v>Uncontrolled</v>
      </c>
      <c r="P879" s="5" t="str">
        <f>_xlfn.IFS('Data set'!$F879&lt;120,"Low",'Data set'!$F879&lt;=200,"Normal",'Data set'!$F879&lt;=240,"Boarderline",'Data set'!$F879&gt;=241,"High")</f>
        <v>Normal</v>
      </c>
      <c r="Q879" s="5" t="str">
        <f>_xlfn.IFS('Data set'!$D879&lt;=18.5,"Low",'Data set'!$D879&lt;=24.9,"Normal",'Data set'!$D879&lt;=29.9,"High",'Data set'!$D879&gt;29.9,"Very High")</f>
        <v>Very High</v>
      </c>
    </row>
    <row r="880" spans="1:17" x14ac:dyDescent="0.25">
      <c r="A880" s="3">
        <v>42</v>
      </c>
      <c r="B880" s="3" t="s">
        <v>0</v>
      </c>
      <c r="C880" s="4">
        <v>130.31</v>
      </c>
      <c r="D880" s="4">
        <v>24.74</v>
      </c>
      <c r="E880" s="3" t="s">
        <v>10</v>
      </c>
      <c r="F880" s="3">
        <v>199</v>
      </c>
      <c r="G880" s="3" t="s">
        <v>687</v>
      </c>
      <c r="H880" s="4">
        <v>9.0500000000000007</v>
      </c>
      <c r="I880" s="3">
        <v>6</v>
      </c>
      <c r="J880" s="3" t="s">
        <v>4</v>
      </c>
      <c r="K880" s="3" t="s">
        <v>3</v>
      </c>
      <c r="L880" s="3">
        <v>134</v>
      </c>
      <c r="M880" s="3">
        <v>76</v>
      </c>
      <c r="N880" s="3" t="s">
        <v>23</v>
      </c>
      <c r="O880" s="3" t="str">
        <f>_xlfn.IFS('Data set'!$H880&lt;5.7,"Normal",'Data set'!$H880&lt;=6.4,"Prediabetes",'Data set'!$H880&lt;=7.5,"Diabetes",'Data set'!$H880&gt;=7.5,"Uncontrolled")</f>
        <v>Uncontrolled</v>
      </c>
      <c r="P880" s="3" t="str">
        <f>_xlfn.IFS('Data set'!$F880&lt;120,"Low",'Data set'!$F880&lt;=200,"Normal",'Data set'!$F880&lt;=240,"Boarderline",'Data set'!$F880&gt;=241,"High")</f>
        <v>Normal</v>
      </c>
      <c r="Q880" s="3" t="str">
        <f>_xlfn.IFS('Data set'!$D880&lt;=18.5,"Low",'Data set'!$D880&lt;=24.9,"Normal",'Data set'!$D880&lt;=29.9,"High",'Data set'!$D880&gt;29.9,"Very High")</f>
        <v>Normal</v>
      </c>
    </row>
    <row r="881" spans="1:17" x14ac:dyDescent="0.25">
      <c r="A881" s="5">
        <v>73</v>
      </c>
      <c r="B881" s="5" t="s">
        <v>0</v>
      </c>
      <c r="C881" s="6">
        <v>286.91000000000003</v>
      </c>
      <c r="D881" s="6">
        <v>28.15</v>
      </c>
      <c r="E881" s="5" t="s">
        <v>10</v>
      </c>
      <c r="F881" s="5">
        <v>271</v>
      </c>
      <c r="G881" s="5" t="s">
        <v>688</v>
      </c>
      <c r="H881" s="6">
        <v>4.41</v>
      </c>
      <c r="I881" s="5">
        <v>2</v>
      </c>
      <c r="J881" s="5" t="s">
        <v>3</v>
      </c>
      <c r="K881" s="5" t="s">
        <v>4</v>
      </c>
      <c r="L881" s="5">
        <v>133</v>
      </c>
      <c r="M881" s="5">
        <v>74</v>
      </c>
      <c r="N881" s="5" t="s">
        <v>5</v>
      </c>
      <c r="O881" s="5" t="str">
        <f>_xlfn.IFS('Data set'!$H881&lt;5.7,"Normal",'Data set'!$H881&lt;=6.4,"Prediabetes",'Data set'!$H881&lt;=7.5,"Diabetes",'Data set'!$H881&gt;=7.5,"Uncontrolled")</f>
        <v>Normal</v>
      </c>
      <c r="P881" s="5" t="str">
        <f>_xlfn.IFS('Data set'!$F881&lt;120,"Low",'Data set'!$F881&lt;=200,"Normal",'Data set'!$F881&lt;=240,"Boarderline",'Data set'!$F881&gt;=241,"High")</f>
        <v>High</v>
      </c>
      <c r="Q881" s="5" t="str">
        <f>_xlfn.IFS('Data set'!$D881&lt;=18.5,"Low",'Data set'!$D881&lt;=24.9,"Normal",'Data set'!$D881&lt;=29.9,"High",'Data set'!$D881&gt;29.9,"Very High")</f>
        <v>High</v>
      </c>
    </row>
    <row r="882" spans="1:17" x14ac:dyDescent="0.25">
      <c r="A882" s="3">
        <v>68</v>
      </c>
      <c r="B882" s="3" t="s">
        <v>0</v>
      </c>
      <c r="C882" s="4">
        <v>93.48</v>
      </c>
      <c r="D882" s="4">
        <v>30.52</v>
      </c>
      <c r="E882" s="3" t="s">
        <v>6</v>
      </c>
      <c r="F882" s="3">
        <v>277</v>
      </c>
      <c r="G882" s="3" t="s">
        <v>279</v>
      </c>
      <c r="H882" s="4">
        <v>8.31</v>
      </c>
      <c r="I882" s="3">
        <v>1</v>
      </c>
      <c r="J882" s="3" t="s">
        <v>3</v>
      </c>
      <c r="K882" s="3" t="s">
        <v>3</v>
      </c>
      <c r="L882" s="3">
        <v>125</v>
      </c>
      <c r="M882" s="3">
        <v>71</v>
      </c>
      <c r="N882" s="3" t="s">
        <v>21</v>
      </c>
      <c r="O882" s="3" t="str">
        <f>_xlfn.IFS('Data set'!$H882&lt;5.7,"Normal",'Data set'!$H882&lt;=6.4,"Prediabetes",'Data set'!$H882&lt;=7.5,"Diabetes",'Data set'!$H882&gt;=7.5,"Uncontrolled")</f>
        <v>Uncontrolled</v>
      </c>
      <c r="P882" s="3" t="str">
        <f>_xlfn.IFS('Data set'!$F882&lt;120,"Low",'Data set'!$F882&lt;=200,"Normal",'Data set'!$F882&lt;=240,"Boarderline",'Data set'!$F882&gt;=241,"High")</f>
        <v>High</v>
      </c>
      <c r="Q882" s="3" t="str">
        <f>_xlfn.IFS('Data set'!$D882&lt;=18.5,"Low",'Data set'!$D882&lt;=24.9,"Normal",'Data set'!$D882&lt;=29.9,"High",'Data set'!$D882&gt;29.9,"Very High")</f>
        <v>Very High</v>
      </c>
    </row>
    <row r="883" spans="1:17" x14ac:dyDescent="0.25">
      <c r="A883" s="5">
        <v>25</v>
      </c>
      <c r="B883" s="5" t="s">
        <v>0</v>
      </c>
      <c r="C883" s="6">
        <v>235.4</v>
      </c>
      <c r="D883" s="6">
        <v>32.75</v>
      </c>
      <c r="E883" s="5" t="s">
        <v>6</v>
      </c>
      <c r="F883" s="5">
        <v>263</v>
      </c>
      <c r="G883" s="5" t="s">
        <v>54</v>
      </c>
      <c r="H883" s="6">
        <v>6.79</v>
      </c>
      <c r="I883" s="5">
        <v>4</v>
      </c>
      <c r="J883" s="5" t="s">
        <v>4</v>
      </c>
      <c r="K883" s="5" t="s">
        <v>4</v>
      </c>
      <c r="L883" s="5">
        <v>112</v>
      </c>
      <c r="M883" s="5">
        <v>89</v>
      </c>
      <c r="N883" s="5" t="s">
        <v>17</v>
      </c>
      <c r="O883" s="5" t="str">
        <f>_xlfn.IFS('Data set'!$H883&lt;5.7,"Normal",'Data set'!$H883&lt;=6.4,"Prediabetes",'Data set'!$H883&lt;=7.5,"Diabetes",'Data set'!$H883&gt;=7.5,"Uncontrolled")</f>
        <v>Diabetes</v>
      </c>
      <c r="P883" s="5" t="str">
        <f>_xlfn.IFS('Data set'!$F883&lt;120,"Low",'Data set'!$F883&lt;=200,"Normal",'Data set'!$F883&lt;=240,"Boarderline",'Data set'!$F883&gt;=241,"High")</f>
        <v>High</v>
      </c>
      <c r="Q883" s="5" t="str">
        <f>_xlfn.IFS('Data set'!$D883&lt;=18.5,"Low",'Data set'!$D883&lt;=24.9,"Normal",'Data set'!$D883&lt;=29.9,"High",'Data set'!$D883&gt;29.9,"Very High")</f>
        <v>Very High</v>
      </c>
    </row>
    <row r="884" spans="1:17" x14ac:dyDescent="0.25">
      <c r="A884" s="3">
        <v>29</v>
      </c>
      <c r="B884" s="3" t="s">
        <v>0</v>
      </c>
      <c r="C884" s="4">
        <v>155.12</v>
      </c>
      <c r="D884" s="4">
        <v>29.2</v>
      </c>
      <c r="E884" s="3" t="s">
        <v>1</v>
      </c>
      <c r="F884" s="3">
        <v>278</v>
      </c>
      <c r="G884" s="3" t="s">
        <v>689</v>
      </c>
      <c r="H884" s="4">
        <v>9.4700000000000006</v>
      </c>
      <c r="I884" s="3">
        <v>6</v>
      </c>
      <c r="J884" s="3" t="s">
        <v>4</v>
      </c>
      <c r="K884" s="3" t="s">
        <v>4</v>
      </c>
      <c r="L884" s="3">
        <v>98</v>
      </c>
      <c r="M884" s="3">
        <v>66</v>
      </c>
      <c r="N884" s="3" t="s">
        <v>17</v>
      </c>
      <c r="O884" s="3" t="str">
        <f>_xlfn.IFS('Data set'!$H884&lt;5.7,"Normal",'Data set'!$H884&lt;=6.4,"Prediabetes",'Data set'!$H884&lt;=7.5,"Diabetes",'Data set'!$H884&gt;=7.5,"Uncontrolled")</f>
        <v>Uncontrolled</v>
      </c>
      <c r="P884" s="3" t="str">
        <f>_xlfn.IFS('Data set'!$F884&lt;120,"Low",'Data set'!$F884&lt;=200,"Normal",'Data set'!$F884&lt;=240,"Boarderline",'Data set'!$F884&gt;=241,"High")</f>
        <v>High</v>
      </c>
      <c r="Q884" s="3" t="str">
        <f>_xlfn.IFS('Data set'!$D884&lt;=18.5,"Low",'Data set'!$D884&lt;=24.9,"Normal",'Data set'!$D884&lt;=29.9,"High",'Data set'!$D884&gt;29.9,"Very High")</f>
        <v>High</v>
      </c>
    </row>
    <row r="885" spans="1:17" x14ac:dyDescent="0.25">
      <c r="A885" s="5">
        <v>31</v>
      </c>
      <c r="B885" s="5" t="s">
        <v>0</v>
      </c>
      <c r="C885" s="6">
        <v>223.24</v>
      </c>
      <c r="D885" s="6">
        <v>34.840000000000003</v>
      </c>
      <c r="E885" s="5" t="s">
        <v>6</v>
      </c>
      <c r="F885" s="5">
        <v>289</v>
      </c>
      <c r="G885" s="5" t="s">
        <v>331</v>
      </c>
      <c r="H885" s="6">
        <v>5.66</v>
      </c>
      <c r="I885" s="5">
        <v>4</v>
      </c>
      <c r="J885" s="5" t="s">
        <v>3</v>
      </c>
      <c r="K885" s="5" t="s">
        <v>3</v>
      </c>
      <c r="L885" s="5">
        <v>99</v>
      </c>
      <c r="M885" s="5">
        <v>61</v>
      </c>
      <c r="N885" s="5" t="s">
        <v>12</v>
      </c>
      <c r="O885" s="5" t="str">
        <f>_xlfn.IFS('Data set'!$H885&lt;5.7,"Normal",'Data set'!$H885&lt;=6.4,"Prediabetes",'Data set'!$H885&lt;=7.5,"Diabetes",'Data set'!$H885&gt;=7.5,"Uncontrolled")</f>
        <v>Normal</v>
      </c>
      <c r="P885" s="5" t="str">
        <f>_xlfn.IFS('Data set'!$F885&lt;120,"Low",'Data set'!$F885&lt;=200,"Normal",'Data set'!$F885&lt;=240,"Boarderline",'Data set'!$F885&gt;=241,"High")</f>
        <v>High</v>
      </c>
      <c r="Q885" s="5" t="str">
        <f>_xlfn.IFS('Data set'!$D885&lt;=18.5,"Low",'Data set'!$D885&lt;=24.9,"Normal",'Data set'!$D885&lt;=29.9,"High",'Data set'!$D885&gt;29.9,"Very High")</f>
        <v>Very High</v>
      </c>
    </row>
    <row r="886" spans="1:17" x14ac:dyDescent="0.25">
      <c r="A886" s="3">
        <v>80</v>
      </c>
      <c r="B886" s="3" t="s">
        <v>0</v>
      </c>
      <c r="C886" s="4">
        <v>217.08</v>
      </c>
      <c r="D886" s="4">
        <v>31.43</v>
      </c>
      <c r="E886" s="3" t="s">
        <v>6</v>
      </c>
      <c r="F886" s="3">
        <v>206</v>
      </c>
      <c r="G886" s="3" t="s">
        <v>669</v>
      </c>
      <c r="H886" s="4">
        <v>5.08</v>
      </c>
      <c r="I886" s="3">
        <v>0</v>
      </c>
      <c r="J886" s="3" t="s">
        <v>4</v>
      </c>
      <c r="K886" s="3" t="s">
        <v>4</v>
      </c>
      <c r="L886" s="3">
        <v>92</v>
      </c>
      <c r="M886" s="3">
        <v>79</v>
      </c>
      <c r="N886" s="3" t="s">
        <v>5</v>
      </c>
      <c r="O886" s="3" t="str">
        <f>_xlfn.IFS('Data set'!$H886&lt;5.7,"Normal",'Data set'!$H886&lt;=6.4,"Prediabetes",'Data set'!$H886&lt;=7.5,"Diabetes",'Data set'!$H886&gt;=7.5,"Uncontrolled")</f>
        <v>Normal</v>
      </c>
      <c r="P886" s="3" t="str">
        <f>_xlfn.IFS('Data set'!$F886&lt;120,"Low",'Data set'!$F886&lt;=200,"Normal",'Data set'!$F886&lt;=240,"Boarderline",'Data set'!$F886&gt;=241,"High")</f>
        <v>Boarderline</v>
      </c>
      <c r="Q886" s="3" t="str">
        <f>_xlfn.IFS('Data set'!$D886&lt;=18.5,"Low",'Data set'!$D886&lt;=24.9,"Normal",'Data set'!$D886&lt;=29.9,"High",'Data set'!$D886&gt;29.9,"Very High")</f>
        <v>Very High</v>
      </c>
    </row>
    <row r="887" spans="1:17" x14ac:dyDescent="0.25">
      <c r="A887" s="5">
        <v>37</v>
      </c>
      <c r="B887" s="5" t="s">
        <v>0</v>
      </c>
      <c r="C887" s="6">
        <v>177.81</v>
      </c>
      <c r="D887" s="6">
        <v>27.39</v>
      </c>
      <c r="E887" s="5" t="s">
        <v>1</v>
      </c>
      <c r="F887" s="5">
        <v>288</v>
      </c>
      <c r="G887" s="5" t="s">
        <v>690</v>
      </c>
      <c r="H887" s="6">
        <v>5.1100000000000003</v>
      </c>
      <c r="I887" s="5">
        <v>4</v>
      </c>
      <c r="J887" s="5" t="s">
        <v>3</v>
      </c>
      <c r="K887" s="5" t="s">
        <v>3</v>
      </c>
      <c r="L887" s="5">
        <v>139</v>
      </c>
      <c r="M887" s="5">
        <v>65</v>
      </c>
      <c r="N887" s="5" t="s">
        <v>12</v>
      </c>
      <c r="O887" s="5" t="str">
        <f>_xlfn.IFS('Data set'!$H887&lt;5.7,"Normal",'Data set'!$H887&lt;=6.4,"Prediabetes",'Data set'!$H887&lt;=7.5,"Diabetes",'Data set'!$H887&gt;=7.5,"Uncontrolled")</f>
        <v>Normal</v>
      </c>
      <c r="P887" s="5" t="str">
        <f>_xlfn.IFS('Data set'!$F887&lt;120,"Low",'Data set'!$F887&lt;=200,"Normal",'Data set'!$F887&lt;=240,"Boarderline",'Data set'!$F887&gt;=241,"High")</f>
        <v>High</v>
      </c>
      <c r="Q887" s="5" t="str">
        <f>_xlfn.IFS('Data set'!$D887&lt;=18.5,"Low",'Data set'!$D887&lt;=24.9,"Normal",'Data set'!$D887&lt;=29.9,"High",'Data set'!$D887&gt;29.9,"Very High")</f>
        <v>High</v>
      </c>
    </row>
    <row r="888" spans="1:17" x14ac:dyDescent="0.25">
      <c r="A888" s="3">
        <v>49</v>
      </c>
      <c r="B888" s="3" t="s">
        <v>9</v>
      </c>
      <c r="C888" s="4">
        <v>254.78</v>
      </c>
      <c r="D888" s="4">
        <v>37.07</v>
      </c>
      <c r="E888" s="3" t="s">
        <v>14</v>
      </c>
      <c r="F888" s="3">
        <v>139</v>
      </c>
      <c r="G888" s="3" t="s">
        <v>208</v>
      </c>
      <c r="H888" s="4">
        <v>9.6999999999999993</v>
      </c>
      <c r="I888" s="3">
        <v>0</v>
      </c>
      <c r="J888" s="3" t="s">
        <v>4</v>
      </c>
      <c r="K888" s="3" t="s">
        <v>3</v>
      </c>
      <c r="L888" s="3">
        <v>121</v>
      </c>
      <c r="M888" s="3">
        <v>66</v>
      </c>
      <c r="N888" s="3" t="s">
        <v>23</v>
      </c>
      <c r="O888" s="3" t="str">
        <f>_xlfn.IFS('Data set'!$H888&lt;5.7,"Normal",'Data set'!$H888&lt;=6.4,"Prediabetes",'Data set'!$H888&lt;=7.5,"Diabetes",'Data set'!$H888&gt;=7.5,"Uncontrolled")</f>
        <v>Uncontrolled</v>
      </c>
      <c r="P888" s="3" t="str">
        <f>_xlfn.IFS('Data set'!$F888&lt;120,"Low",'Data set'!$F888&lt;=200,"Normal",'Data set'!$F888&lt;=240,"Boarderline",'Data set'!$F888&gt;=241,"High")</f>
        <v>Normal</v>
      </c>
      <c r="Q888" s="3" t="str">
        <f>_xlfn.IFS('Data set'!$D888&lt;=18.5,"Low",'Data set'!$D888&lt;=24.9,"Normal",'Data set'!$D888&lt;=29.9,"High",'Data set'!$D888&gt;29.9,"Very High")</f>
        <v>Very High</v>
      </c>
    </row>
    <row r="889" spans="1:17" x14ac:dyDescent="0.25">
      <c r="A889" s="5">
        <v>36</v>
      </c>
      <c r="B889" s="5" t="s">
        <v>9</v>
      </c>
      <c r="C889" s="6">
        <v>94.59</v>
      </c>
      <c r="D889" s="6">
        <v>38.58</v>
      </c>
      <c r="E889" s="5" t="s">
        <v>14</v>
      </c>
      <c r="F889" s="5">
        <v>115</v>
      </c>
      <c r="G889" s="5" t="s">
        <v>691</v>
      </c>
      <c r="H889" s="6">
        <v>4.2300000000000004</v>
      </c>
      <c r="I889" s="5">
        <v>1</v>
      </c>
      <c r="J889" s="5" t="s">
        <v>4</v>
      </c>
      <c r="K889" s="5" t="s">
        <v>4</v>
      </c>
      <c r="L889" s="5">
        <v>110</v>
      </c>
      <c r="M889" s="5">
        <v>69</v>
      </c>
      <c r="N889" s="5" t="s">
        <v>12</v>
      </c>
      <c r="O889" s="5" t="str">
        <f>_xlfn.IFS('Data set'!$H889&lt;5.7,"Normal",'Data set'!$H889&lt;=6.4,"Prediabetes",'Data set'!$H889&lt;=7.5,"Diabetes",'Data set'!$H889&gt;=7.5,"Uncontrolled")</f>
        <v>Normal</v>
      </c>
      <c r="P889" s="5" t="str">
        <f>_xlfn.IFS('Data set'!$F889&lt;120,"Low",'Data set'!$F889&lt;=200,"Normal",'Data set'!$F889&lt;=240,"Boarderline",'Data set'!$F889&gt;=241,"High")</f>
        <v>Low</v>
      </c>
      <c r="Q889" s="5" t="str">
        <f>_xlfn.IFS('Data set'!$D889&lt;=18.5,"Low",'Data set'!$D889&lt;=24.9,"Normal",'Data set'!$D889&lt;=29.9,"High",'Data set'!$D889&gt;29.9,"Very High")</f>
        <v>Very High</v>
      </c>
    </row>
    <row r="890" spans="1:17" x14ac:dyDescent="0.25">
      <c r="A890" s="3">
        <v>33</v>
      </c>
      <c r="B890" s="3" t="s">
        <v>0</v>
      </c>
      <c r="C890" s="4">
        <v>232.5</v>
      </c>
      <c r="D890" s="4">
        <v>33.909999999999997</v>
      </c>
      <c r="E890" s="3" t="s">
        <v>1</v>
      </c>
      <c r="F890" s="3">
        <v>120</v>
      </c>
      <c r="G890" s="3" t="s">
        <v>692</v>
      </c>
      <c r="H890" s="4">
        <v>7.64</v>
      </c>
      <c r="I890" s="3">
        <v>7</v>
      </c>
      <c r="J890" s="3" t="s">
        <v>4</v>
      </c>
      <c r="K890" s="3" t="s">
        <v>4</v>
      </c>
      <c r="L890" s="3">
        <v>116</v>
      </c>
      <c r="M890" s="3">
        <v>63</v>
      </c>
      <c r="N890" s="3" t="s">
        <v>12</v>
      </c>
      <c r="O890" s="3" t="str">
        <f>_xlfn.IFS('Data set'!$H890&lt;5.7,"Normal",'Data set'!$H890&lt;=6.4,"Prediabetes",'Data set'!$H890&lt;=7.5,"Diabetes",'Data set'!$H890&gt;=7.5,"Uncontrolled")</f>
        <v>Uncontrolled</v>
      </c>
      <c r="P890" s="3" t="str">
        <f>_xlfn.IFS('Data set'!$F890&lt;120,"Low",'Data set'!$F890&lt;=200,"Normal",'Data set'!$F890&lt;=240,"Boarderline",'Data set'!$F890&gt;=241,"High")</f>
        <v>Normal</v>
      </c>
      <c r="Q890" s="3" t="str">
        <f>_xlfn.IFS('Data set'!$D890&lt;=18.5,"Low",'Data set'!$D890&lt;=24.9,"Normal",'Data set'!$D890&lt;=29.9,"High",'Data set'!$D890&gt;29.9,"Very High")</f>
        <v>Very High</v>
      </c>
    </row>
    <row r="891" spans="1:17" x14ac:dyDescent="0.25">
      <c r="A891" s="5">
        <v>75</v>
      </c>
      <c r="B891" s="5" t="s">
        <v>9</v>
      </c>
      <c r="C891" s="6">
        <v>82.01</v>
      </c>
      <c r="D891" s="6">
        <v>28.35</v>
      </c>
      <c r="E891" s="5" t="s">
        <v>6</v>
      </c>
      <c r="F891" s="5">
        <v>161</v>
      </c>
      <c r="G891" s="5" t="s">
        <v>222</v>
      </c>
      <c r="H891" s="6">
        <v>5.9</v>
      </c>
      <c r="I891" s="5">
        <v>3</v>
      </c>
      <c r="J891" s="5" t="s">
        <v>4</v>
      </c>
      <c r="K891" s="5" t="s">
        <v>4</v>
      </c>
      <c r="L891" s="5">
        <v>123</v>
      </c>
      <c r="M891" s="5">
        <v>65</v>
      </c>
      <c r="N891" s="5" t="s">
        <v>5</v>
      </c>
      <c r="O891" s="5" t="str">
        <f>_xlfn.IFS('Data set'!$H891&lt;5.7,"Normal",'Data set'!$H891&lt;=6.4,"Prediabetes",'Data set'!$H891&lt;=7.5,"Diabetes",'Data set'!$H891&gt;=7.5,"Uncontrolled")</f>
        <v>Prediabetes</v>
      </c>
      <c r="P891" s="5" t="str">
        <f>_xlfn.IFS('Data set'!$F891&lt;120,"Low",'Data set'!$F891&lt;=200,"Normal",'Data set'!$F891&lt;=240,"Boarderline",'Data set'!$F891&gt;=241,"High")</f>
        <v>Normal</v>
      </c>
      <c r="Q891" s="5" t="str">
        <f>_xlfn.IFS('Data set'!$D891&lt;=18.5,"Low",'Data set'!$D891&lt;=24.9,"Normal",'Data set'!$D891&lt;=29.9,"High",'Data set'!$D891&gt;29.9,"Very High")</f>
        <v>High</v>
      </c>
    </row>
    <row r="892" spans="1:17" x14ac:dyDescent="0.25">
      <c r="A892" s="3">
        <v>59</v>
      </c>
      <c r="B892" s="3" t="s">
        <v>9</v>
      </c>
      <c r="C892" s="4">
        <v>147.69</v>
      </c>
      <c r="D892" s="4">
        <v>23.94</v>
      </c>
      <c r="E892" s="3" t="s">
        <v>6</v>
      </c>
      <c r="F892" s="3">
        <v>109</v>
      </c>
      <c r="G892" s="3" t="s">
        <v>693</v>
      </c>
      <c r="H892" s="4">
        <v>7.96</v>
      </c>
      <c r="I892" s="3">
        <v>6</v>
      </c>
      <c r="J892" s="3" t="s">
        <v>4</v>
      </c>
      <c r="K892" s="3" t="s">
        <v>4</v>
      </c>
      <c r="L892" s="3">
        <v>128</v>
      </c>
      <c r="M892" s="3">
        <v>61</v>
      </c>
      <c r="N892" s="3" t="s">
        <v>8</v>
      </c>
      <c r="O892" s="3" t="str">
        <f>_xlfn.IFS('Data set'!$H892&lt;5.7,"Normal",'Data set'!$H892&lt;=6.4,"Prediabetes",'Data set'!$H892&lt;=7.5,"Diabetes",'Data set'!$H892&gt;=7.5,"Uncontrolled")</f>
        <v>Uncontrolled</v>
      </c>
      <c r="P892" s="3" t="str">
        <f>_xlfn.IFS('Data set'!$F892&lt;120,"Low",'Data set'!$F892&lt;=200,"Normal",'Data set'!$F892&lt;=240,"Boarderline",'Data set'!$F892&gt;=241,"High")</f>
        <v>Low</v>
      </c>
      <c r="Q892" s="3" t="str">
        <f>_xlfn.IFS('Data set'!$D892&lt;=18.5,"Low",'Data set'!$D892&lt;=24.9,"Normal",'Data set'!$D892&lt;=29.9,"High",'Data set'!$D892&gt;29.9,"Very High")</f>
        <v>Normal</v>
      </c>
    </row>
    <row r="893" spans="1:17" x14ac:dyDescent="0.25">
      <c r="A893" s="5">
        <v>66</v>
      </c>
      <c r="B893" s="5" t="s">
        <v>9</v>
      </c>
      <c r="C893" s="6">
        <v>143.96</v>
      </c>
      <c r="D893" s="6">
        <v>24.46</v>
      </c>
      <c r="E893" s="5" t="s">
        <v>14</v>
      </c>
      <c r="F893" s="5">
        <v>269</v>
      </c>
      <c r="G893" s="5" t="s">
        <v>568</v>
      </c>
      <c r="H893" s="6">
        <v>9.02</v>
      </c>
      <c r="I893" s="5">
        <v>0</v>
      </c>
      <c r="J893" s="5" t="s">
        <v>3</v>
      </c>
      <c r="K893" s="5" t="s">
        <v>4</v>
      </c>
      <c r="L893" s="5">
        <v>109</v>
      </c>
      <c r="M893" s="5">
        <v>71</v>
      </c>
      <c r="N893" s="5" t="s">
        <v>21</v>
      </c>
      <c r="O893" s="5" t="str">
        <f>_xlfn.IFS('Data set'!$H893&lt;5.7,"Normal",'Data set'!$H893&lt;=6.4,"Prediabetes",'Data set'!$H893&lt;=7.5,"Diabetes",'Data set'!$H893&gt;=7.5,"Uncontrolled")</f>
        <v>Uncontrolled</v>
      </c>
      <c r="P893" s="5" t="str">
        <f>_xlfn.IFS('Data set'!$F893&lt;120,"Low",'Data set'!$F893&lt;=200,"Normal",'Data set'!$F893&lt;=240,"Boarderline",'Data set'!$F893&gt;=241,"High")</f>
        <v>High</v>
      </c>
      <c r="Q893" s="5" t="str">
        <f>_xlfn.IFS('Data set'!$D893&lt;=18.5,"Low",'Data set'!$D893&lt;=24.9,"Normal",'Data set'!$D893&lt;=29.9,"High",'Data set'!$D893&gt;29.9,"Very High")</f>
        <v>Normal</v>
      </c>
    </row>
    <row r="894" spans="1:17" x14ac:dyDescent="0.25">
      <c r="A894" s="3">
        <v>58</v>
      </c>
      <c r="B894" s="3" t="s">
        <v>0</v>
      </c>
      <c r="C894" s="4">
        <v>282.95999999999998</v>
      </c>
      <c r="D894" s="4">
        <v>34.14</v>
      </c>
      <c r="E894" s="3" t="s">
        <v>14</v>
      </c>
      <c r="F894" s="3">
        <v>117</v>
      </c>
      <c r="G894" s="3" t="s">
        <v>694</v>
      </c>
      <c r="H894" s="4">
        <v>7.75</v>
      </c>
      <c r="I894" s="3">
        <v>0</v>
      </c>
      <c r="J894" s="3" t="s">
        <v>4</v>
      </c>
      <c r="K894" s="3" t="s">
        <v>3</v>
      </c>
      <c r="L894" s="3">
        <v>121</v>
      </c>
      <c r="M894" s="3">
        <v>75</v>
      </c>
      <c r="N894" s="3" t="s">
        <v>8</v>
      </c>
      <c r="O894" s="3" t="str">
        <f>_xlfn.IFS('Data set'!$H894&lt;5.7,"Normal",'Data set'!$H894&lt;=6.4,"Prediabetes",'Data set'!$H894&lt;=7.5,"Diabetes",'Data set'!$H894&gt;=7.5,"Uncontrolled")</f>
        <v>Uncontrolled</v>
      </c>
      <c r="P894" s="3" t="str">
        <f>_xlfn.IFS('Data set'!$F894&lt;120,"Low",'Data set'!$F894&lt;=200,"Normal",'Data set'!$F894&lt;=240,"Boarderline",'Data set'!$F894&gt;=241,"High")</f>
        <v>Low</v>
      </c>
      <c r="Q894" s="3" t="str">
        <f>_xlfn.IFS('Data set'!$D894&lt;=18.5,"Low",'Data set'!$D894&lt;=24.9,"Normal",'Data set'!$D894&lt;=29.9,"High",'Data set'!$D894&gt;29.9,"Very High")</f>
        <v>Very High</v>
      </c>
    </row>
    <row r="895" spans="1:17" x14ac:dyDescent="0.25">
      <c r="A895" s="5">
        <v>62</v>
      </c>
      <c r="B895" s="5" t="s">
        <v>9</v>
      </c>
      <c r="C895" s="6">
        <v>97.72</v>
      </c>
      <c r="D895" s="6">
        <v>19.79</v>
      </c>
      <c r="E895" s="5" t="s">
        <v>14</v>
      </c>
      <c r="F895" s="5">
        <v>118</v>
      </c>
      <c r="G895" s="5" t="s">
        <v>81</v>
      </c>
      <c r="H895" s="6">
        <v>7.24</v>
      </c>
      <c r="I895" s="5">
        <v>1</v>
      </c>
      <c r="J895" s="5" t="s">
        <v>4</v>
      </c>
      <c r="K895" s="5" t="s">
        <v>3</v>
      </c>
      <c r="L895" s="5">
        <v>135</v>
      </c>
      <c r="M895" s="5">
        <v>86</v>
      </c>
      <c r="N895" s="5" t="s">
        <v>21</v>
      </c>
      <c r="O895" s="5" t="str">
        <f>_xlfn.IFS('Data set'!$H895&lt;5.7,"Normal",'Data set'!$H895&lt;=6.4,"Prediabetes",'Data set'!$H895&lt;=7.5,"Diabetes",'Data set'!$H895&gt;=7.5,"Uncontrolled")</f>
        <v>Diabetes</v>
      </c>
      <c r="P895" s="5" t="str">
        <f>_xlfn.IFS('Data set'!$F895&lt;120,"Low",'Data set'!$F895&lt;=200,"Normal",'Data set'!$F895&lt;=240,"Boarderline",'Data set'!$F895&gt;=241,"High")</f>
        <v>Low</v>
      </c>
      <c r="Q895" s="5" t="str">
        <f>_xlfn.IFS('Data set'!$D895&lt;=18.5,"Low",'Data set'!$D895&lt;=24.9,"Normal",'Data set'!$D895&lt;=29.9,"High",'Data set'!$D895&gt;29.9,"Very High")</f>
        <v>Normal</v>
      </c>
    </row>
    <row r="896" spans="1:17" x14ac:dyDescent="0.25">
      <c r="A896" s="3">
        <v>50</v>
      </c>
      <c r="B896" s="3" t="s">
        <v>0</v>
      </c>
      <c r="C896" s="4">
        <v>265.55</v>
      </c>
      <c r="D896" s="4">
        <v>33.65</v>
      </c>
      <c r="E896" s="3" t="s">
        <v>14</v>
      </c>
      <c r="F896" s="3">
        <v>250</v>
      </c>
      <c r="G896" s="3" t="s">
        <v>465</v>
      </c>
      <c r="H896" s="4">
        <v>9.8699999999999992</v>
      </c>
      <c r="I896" s="3">
        <v>4</v>
      </c>
      <c r="J896" s="3" t="s">
        <v>3</v>
      </c>
      <c r="K896" s="3" t="s">
        <v>3</v>
      </c>
      <c r="L896" s="3">
        <v>105</v>
      </c>
      <c r="M896" s="3">
        <v>85</v>
      </c>
      <c r="N896" s="3" t="s">
        <v>23</v>
      </c>
      <c r="O896" s="3" t="str">
        <f>_xlfn.IFS('Data set'!$H896&lt;5.7,"Normal",'Data set'!$H896&lt;=6.4,"Prediabetes",'Data set'!$H896&lt;=7.5,"Diabetes",'Data set'!$H896&gt;=7.5,"Uncontrolled")</f>
        <v>Uncontrolled</v>
      </c>
      <c r="P896" s="3" t="str">
        <f>_xlfn.IFS('Data set'!$F896&lt;120,"Low",'Data set'!$F896&lt;=200,"Normal",'Data set'!$F896&lt;=240,"Boarderline",'Data set'!$F896&gt;=241,"High")</f>
        <v>High</v>
      </c>
      <c r="Q896" s="3" t="str">
        <f>_xlfn.IFS('Data set'!$D896&lt;=18.5,"Low",'Data set'!$D896&lt;=24.9,"Normal",'Data set'!$D896&lt;=29.9,"High",'Data set'!$D896&gt;29.9,"Very High")</f>
        <v>Very High</v>
      </c>
    </row>
    <row r="897" spans="1:17" x14ac:dyDescent="0.25">
      <c r="A897" s="5">
        <v>70</v>
      </c>
      <c r="B897" s="5" t="s">
        <v>0</v>
      </c>
      <c r="C897" s="6">
        <v>233.56</v>
      </c>
      <c r="D897" s="6">
        <v>26.44</v>
      </c>
      <c r="E897" s="5" t="s">
        <v>14</v>
      </c>
      <c r="F897" s="5">
        <v>283</v>
      </c>
      <c r="G897" s="5" t="s">
        <v>695</v>
      </c>
      <c r="H897" s="6">
        <v>8.39</v>
      </c>
      <c r="I897" s="5">
        <v>4</v>
      </c>
      <c r="J897" s="5" t="s">
        <v>4</v>
      </c>
      <c r="K897" s="5" t="s">
        <v>4</v>
      </c>
      <c r="L897" s="5">
        <v>121</v>
      </c>
      <c r="M897" s="5">
        <v>63</v>
      </c>
      <c r="N897" s="5" t="s">
        <v>21</v>
      </c>
      <c r="O897" s="5" t="str">
        <f>_xlfn.IFS('Data set'!$H897&lt;5.7,"Normal",'Data set'!$H897&lt;=6.4,"Prediabetes",'Data set'!$H897&lt;=7.5,"Diabetes",'Data set'!$H897&gt;=7.5,"Uncontrolled")</f>
        <v>Uncontrolled</v>
      </c>
      <c r="P897" s="5" t="str">
        <f>_xlfn.IFS('Data set'!$F897&lt;120,"Low",'Data set'!$F897&lt;=200,"Normal",'Data set'!$F897&lt;=240,"Boarderline",'Data set'!$F897&gt;=241,"High")</f>
        <v>High</v>
      </c>
      <c r="Q897" s="5" t="str">
        <f>_xlfn.IFS('Data set'!$D897&lt;=18.5,"Low",'Data set'!$D897&lt;=24.9,"Normal",'Data set'!$D897&lt;=29.9,"High",'Data set'!$D897&gt;29.9,"Very High")</f>
        <v>High</v>
      </c>
    </row>
    <row r="898" spans="1:17" x14ac:dyDescent="0.25">
      <c r="A898" s="3">
        <v>43</v>
      </c>
      <c r="B898" s="3" t="s">
        <v>0</v>
      </c>
      <c r="C898" s="4">
        <v>245.48</v>
      </c>
      <c r="D898" s="4">
        <v>39.340000000000003</v>
      </c>
      <c r="E898" s="3" t="s">
        <v>1</v>
      </c>
      <c r="F898" s="3">
        <v>253</v>
      </c>
      <c r="G898" s="3" t="s">
        <v>696</v>
      </c>
      <c r="H898" s="4">
        <v>7.26</v>
      </c>
      <c r="I898" s="3">
        <v>1</v>
      </c>
      <c r="J898" s="3" t="s">
        <v>3</v>
      </c>
      <c r="K898" s="3" t="s">
        <v>4</v>
      </c>
      <c r="L898" s="3">
        <v>119</v>
      </c>
      <c r="M898" s="3">
        <v>66</v>
      </c>
      <c r="N898" s="3" t="s">
        <v>23</v>
      </c>
      <c r="O898" s="3" t="str">
        <f>_xlfn.IFS('Data set'!$H898&lt;5.7,"Normal",'Data set'!$H898&lt;=6.4,"Prediabetes",'Data set'!$H898&lt;=7.5,"Diabetes",'Data set'!$H898&gt;=7.5,"Uncontrolled")</f>
        <v>Diabetes</v>
      </c>
      <c r="P898" s="3" t="str">
        <f>_xlfn.IFS('Data set'!$F898&lt;120,"Low",'Data set'!$F898&lt;=200,"Normal",'Data set'!$F898&lt;=240,"Boarderline",'Data set'!$F898&gt;=241,"High")</f>
        <v>High</v>
      </c>
      <c r="Q898" s="3" t="str">
        <f>_xlfn.IFS('Data set'!$D898&lt;=18.5,"Low",'Data set'!$D898&lt;=24.9,"Normal",'Data set'!$D898&lt;=29.9,"High",'Data set'!$D898&gt;29.9,"Very High")</f>
        <v>Very High</v>
      </c>
    </row>
    <row r="899" spans="1:17" x14ac:dyDescent="0.25">
      <c r="A899" s="5">
        <v>63</v>
      </c>
      <c r="B899" s="5" t="s">
        <v>9</v>
      </c>
      <c r="C899" s="6">
        <v>90.55</v>
      </c>
      <c r="D899" s="6">
        <v>21</v>
      </c>
      <c r="E899" s="5" t="s">
        <v>6</v>
      </c>
      <c r="F899" s="5">
        <v>179</v>
      </c>
      <c r="G899" s="5" t="s">
        <v>32</v>
      </c>
      <c r="H899" s="6">
        <v>7.95</v>
      </c>
      <c r="I899" s="5">
        <v>7</v>
      </c>
      <c r="J899" s="5" t="s">
        <v>3</v>
      </c>
      <c r="K899" s="5" t="s">
        <v>4</v>
      </c>
      <c r="L899" s="5">
        <v>139</v>
      </c>
      <c r="M899" s="5">
        <v>64</v>
      </c>
      <c r="N899" s="5" t="s">
        <v>21</v>
      </c>
      <c r="O899" s="5" t="str">
        <f>_xlfn.IFS('Data set'!$H899&lt;5.7,"Normal",'Data set'!$H899&lt;=6.4,"Prediabetes",'Data set'!$H899&lt;=7.5,"Diabetes",'Data set'!$H899&gt;=7.5,"Uncontrolled")</f>
        <v>Uncontrolled</v>
      </c>
      <c r="P899" s="5" t="str">
        <f>_xlfn.IFS('Data set'!$F899&lt;120,"Low",'Data set'!$F899&lt;=200,"Normal",'Data set'!$F899&lt;=240,"Boarderline",'Data set'!$F899&gt;=241,"High")</f>
        <v>Normal</v>
      </c>
      <c r="Q899" s="5" t="str">
        <f>_xlfn.IFS('Data set'!$D899&lt;=18.5,"Low",'Data set'!$D899&lt;=24.9,"Normal",'Data set'!$D899&lt;=29.9,"High",'Data set'!$D899&gt;29.9,"Very High")</f>
        <v>Normal</v>
      </c>
    </row>
    <row r="900" spans="1:17" x14ac:dyDescent="0.25">
      <c r="A900" s="3">
        <v>79</v>
      </c>
      <c r="B900" s="3" t="s">
        <v>0</v>
      </c>
      <c r="C900" s="4">
        <v>184.82</v>
      </c>
      <c r="D900" s="4">
        <v>34.11</v>
      </c>
      <c r="E900" s="3" t="s">
        <v>1</v>
      </c>
      <c r="F900" s="3">
        <v>231</v>
      </c>
      <c r="G900" s="3" t="s">
        <v>697</v>
      </c>
      <c r="H900" s="4">
        <v>8.9700000000000006</v>
      </c>
      <c r="I900" s="3">
        <v>0</v>
      </c>
      <c r="J900" s="3" t="s">
        <v>3</v>
      </c>
      <c r="K900" s="3" t="s">
        <v>4</v>
      </c>
      <c r="L900" s="3">
        <v>132</v>
      </c>
      <c r="M900" s="3">
        <v>84</v>
      </c>
      <c r="N900" s="3" t="s">
        <v>5</v>
      </c>
      <c r="O900" s="3" t="str">
        <f>_xlfn.IFS('Data set'!$H900&lt;5.7,"Normal",'Data set'!$H900&lt;=6.4,"Prediabetes",'Data set'!$H900&lt;=7.5,"Diabetes",'Data set'!$H900&gt;=7.5,"Uncontrolled")</f>
        <v>Uncontrolled</v>
      </c>
      <c r="P900" s="3" t="str">
        <f>_xlfn.IFS('Data set'!$F900&lt;120,"Low",'Data set'!$F900&lt;=200,"Normal",'Data set'!$F900&lt;=240,"Boarderline",'Data set'!$F900&gt;=241,"High")</f>
        <v>Boarderline</v>
      </c>
      <c r="Q900" s="3" t="str">
        <f>_xlfn.IFS('Data set'!$D900&lt;=18.5,"Low",'Data set'!$D900&lt;=24.9,"Normal",'Data set'!$D900&lt;=29.9,"High",'Data set'!$D900&gt;29.9,"Very High")</f>
        <v>Very High</v>
      </c>
    </row>
    <row r="901" spans="1:17" x14ac:dyDescent="0.25">
      <c r="A901" s="5">
        <v>57</v>
      </c>
      <c r="B901" s="5" t="s">
        <v>9</v>
      </c>
      <c r="C901" s="6">
        <v>84.4</v>
      </c>
      <c r="D901" s="6">
        <v>30.67</v>
      </c>
      <c r="E901" s="5" t="s">
        <v>14</v>
      </c>
      <c r="F901" s="5">
        <v>158</v>
      </c>
      <c r="G901" s="5" t="s">
        <v>553</v>
      </c>
      <c r="H901" s="6">
        <v>8.5</v>
      </c>
      <c r="I901" s="5">
        <v>3</v>
      </c>
      <c r="J901" s="5" t="s">
        <v>3</v>
      </c>
      <c r="K901" s="5" t="s">
        <v>3</v>
      </c>
      <c r="L901" s="5">
        <v>99</v>
      </c>
      <c r="M901" s="5">
        <v>89</v>
      </c>
      <c r="N901" s="5" t="s">
        <v>8</v>
      </c>
      <c r="O901" s="5" t="str">
        <f>_xlfn.IFS('Data set'!$H901&lt;5.7,"Normal",'Data set'!$H901&lt;=6.4,"Prediabetes",'Data set'!$H901&lt;=7.5,"Diabetes",'Data set'!$H901&gt;=7.5,"Uncontrolled")</f>
        <v>Uncontrolled</v>
      </c>
      <c r="P901" s="5" t="str">
        <f>_xlfn.IFS('Data set'!$F901&lt;120,"Low",'Data set'!$F901&lt;=200,"Normal",'Data set'!$F901&lt;=240,"Boarderline",'Data set'!$F901&gt;=241,"High")</f>
        <v>Normal</v>
      </c>
      <c r="Q901" s="5" t="str">
        <f>_xlfn.IFS('Data set'!$D901&lt;=18.5,"Low",'Data set'!$D901&lt;=24.9,"Normal",'Data set'!$D901&lt;=29.9,"High",'Data set'!$D901&gt;29.9,"Very High")</f>
        <v>Very High</v>
      </c>
    </row>
    <row r="902" spans="1:17" x14ac:dyDescent="0.25">
      <c r="A902" s="3">
        <v>71</v>
      </c>
      <c r="B902" s="3" t="s">
        <v>9</v>
      </c>
      <c r="C902" s="4">
        <v>134.5</v>
      </c>
      <c r="D902" s="4">
        <v>37.25</v>
      </c>
      <c r="E902" s="3" t="s">
        <v>14</v>
      </c>
      <c r="F902" s="3">
        <v>225</v>
      </c>
      <c r="G902" s="3" t="s">
        <v>436</v>
      </c>
      <c r="H902" s="4">
        <v>9.4499999999999993</v>
      </c>
      <c r="I902" s="3">
        <v>5</v>
      </c>
      <c r="J902" s="3" t="s">
        <v>3</v>
      </c>
      <c r="K902" s="3" t="s">
        <v>3</v>
      </c>
      <c r="L902" s="3">
        <v>103</v>
      </c>
      <c r="M902" s="3">
        <v>63</v>
      </c>
      <c r="N902" s="3" t="s">
        <v>5</v>
      </c>
      <c r="O902" s="3" t="str">
        <f>_xlfn.IFS('Data set'!$H902&lt;5.7,"Normal",'Data set'!$H902&lt;=6.4,"Prediabetes",'Data set'!$H902&lt;=7.5,"Diabetes",'Data set'!$H902&gt;=7.5,"Uncontrolled")</f>
        <v>Uncontrolled</v>
      </c>
      <c r="P902" s="3" t="str">
        <f>_xlfn.IFS('Data set'!$F902&lt;120,"Low",'Data set'!$F902&lt;=200,"Normal",'Data set'!$F902&lt;=240,"Boarderline",'Data set'!$F902&gt;=241,"High")</f>
        <v>Boarderline</v>
      </c>
      <c r="Q902" s="3" t="str">
        <f>_xlfn.IFS('Data set'!$D902&lt;=18.5,"Low",'Data set'!$D902&lt;=24.9,"Normal",'Data set'!$D902&lt;=29.9,"High",'Data set'!$D902&gt;29.9,"Very High")</f>
        <v>Very High</v>
      </c>
    </row>
    <row r="903" spans="1:17" x14ac:dyDescent="0.25">
      <c r="A903" s="5">
        <v>28</v>
      </c>
      <c r="B903" s="5" t="s">
        <v>0</v>
      </c>
      <c r="C903" s="6">
        <v>75.67</v>
      </c>
      <c r="D903" s="6">
        <v>38.4</v>
      </c>
      <c r="E903" s="5" t="s">
        <v>14</v>
      </c>
      <c r="F903" s="5">
        <v>263</v>
      </c>
      <c r="G903" s="5" t="s">
        <v>698</v>
      </c>
      <c r="H903" s="6">
        <v>8.85</v>
      </c>
      <c r="I903" s="5">
        <v>2</v>
      </c>
      <c r="J903" s="5" t="s">
        <v>3</v>
      </c>
      <c r="K903" s="5" t="s">
        <v>4</v>
      </c>
      <c r="L903" s="5">
        <v>118</v>
      </c>
      <c r="M903" s="5">
        <v>87</v>
      </c>
      <c r="N903" s="5" t="s">
        <v>17</v>
      </c>
      <c r="O903" s="5" t="str">
        <f>_xlfn.IFS('Data set'!$H903&lt;5.7,"Normal",'Data set'!$H903&lt;=6.4,"Prediabetes",'Data set'!$H903&lt;=7.5,"Diabetes",'Data set'!$H903&gt;=7.5,"Uncontrolled")</f>
        <v>Uncontrolled</v>
      </c>
      <c r="P903" s="5" t="str">
        <f>_xlfn.IFS('Data set'!$F903&lt;120,"Low",'Data set'!$F903&lt;=200,"Normal",'Data set'!$F903&lt;=240,"Boarderline",'Data set'!$F903&gt;=241,"High")</f>
        <v>High</v>
      </c>
      <c r="Q903" s="5" t="str">
        <f>_xlfn.IFS('Data set'!$D903&lt;=18.5,"Low",'Data set'!$D903&lt;=24.9,"Normal",'Data set'!$D903&lt;=29.9,"High",'Data set'!$D903&gt;29.9,"Very High")</f>
        <v>Very High</v>
      </c>
    </row>
    <row r="904" spans="1:17" x14ac:dyDescent="0.25">
      <c r="A904" s="3">
        <v>30</v>
      </c>
      <c r="B904" s="3" t="s">
        <v>9</v>
      </c>
      <c r="C904" s="4">
        <v>285.94</v>
      </c>
      <c r="D904" s="4">
        <v>21.61</v>
      </c>
      <c r="E904" s="3" t="s">
        <v>1</v>
      </c>
      <c r="F904" s="3">
        <v>186</v>
      </c>
      <c r="G904" s="3" t="s">
        <v>89</v>
      </c>
      <c r="H904" s="4">
        <v>8.3800000000000008</v>
      </c>
      <c r="I904" s="3">
        <v>4</v>
      </c>
      <c r="J904" s="3" t="s">
        <v>4</v>
      </c>
      <c r="K904" s="3" t="s">
        <v>3</v>
      </c>
      <c r="L904" s="3">
        <v>116</v>
      </c>
      <c r="M904" s="3">
        <v>79</v>
      </c>
      <c r="N904" s="3" t="s">
        <v>17</v>
      </c>
      <c r="O904" s="3" t="str">
        <f>_xlfn.IFS('Data set'!$H904&lt;5.7,"Normal",'Data set'!$H904&lt;=6.4,"Prediabetes",'Data set'!$H904&lt;=7.5,"Diabetes",'Data set'!$H904&gt;=7.5,"Uncontrolled")</f>
        <v>Uncontrolled</v>
      </c>
      <c r="P904" s="3" t="str">
        <f>_xlfn.IFS('Data set'!$F904&lt;120,"Low",'Data set'!$F904&lt;=200,"Normal",'Data set'!$F904&lt;=240,"Boarderline",'Data set'!$F904&gt;=241,"High")</f>
        <v>Normal</v>
      </c>
      <c r="Q904" s="3" t="str">
        <f>_xlfn.IFS('Data set'!$D904&lt;=18.5,"Low",'Data set'!$D904&lt;=24.9,"Normal",'Data set'!$D904&lt;=29.9,"High",'Data set'!$D904&gt;29.9,"Very High")</f>
        <v>Normal</v>
      </c>
    </row>
    <row r="905" spans="1:17" x14ac:dyDescent="0.25">
      <c r="A905" s="5">
        <v>33</v>
      </c>
      <c r="B905" s="5" t="s">
        <v>9</v>
      </c>
      <c r="C905" s="6">
        <v>171.65</v>
      </c>
      <c r="D905" s="6">
        <v>20.16</v>
      </c>
      <c r="E905" s="5" t="s">
        <v>6</v>
      </c>
      <c r="F905" s="5">
        <v>269</v>
      </c>
      <c r="G905" s="5" t="s">
        <v>564</v>
      </c>
      <c r="H905" s="6">
        <v>4.3600000000000003</v>
      </c>
      <c r="I905" s="5">
        <v>4</v>
      </c>
      <c r="J905" s="5" t="s">
        <v>3</v>
      </c>
      <c r="K905" s="5" t="s">
        <v>3</v>
      </c>
      <c r="L905" s="5">
        <v>114</v>
      </c>
      <c r="M905" s="5">
        <v>62</v>
      </c>
      <c r="N905" s="5" t="s">
        <v>12</v>
      </c>
      <c r="O905" s="5" t="str">
        <f>_xlfn.IFS('Data set'!$H905&lt;5.7,"Normal",'Data set'!$H905&lt;=6.4,"Prediabetes",'Data set'!$H905&lt;=7.5,"Diabetes",'Data set'!$H905&gt;=7.5,"Uncontrolled")</f>
        <v>Normal</v>
      </c>
      <c r="P905" s="5" t="str">
        <f>_xlfn.IFS('Data set'!$F905&lt;120,"Low",'Data set'!$F905&lt;=200,"Normal",'Data set'!$F905&lt;=240,"Boarderline",'Data set'!$F905&gt;=241,"High")</f>
        <v>High</v>
      </c>
      <c r="Q905" s="5" t="str">
        <f>_xlfn.IFS('Data set'!$D905&lt;=18.5,"Low",'Data set'!$D905&lt;=24.9,"Normal",'Data set'!$D905&lt;=29.9,"High",'Data set'!$D905&gt;29.9,"Very High")</f>
        <v>Normal</v>
      </c>
    </row>
    <row r="906" spans="1:17" x14ac:dyDescent="0.25">
      <c r="A906" s="3">
        <v>58</v>
      </c>
      <c r="B906" s="3" t="s">
        <v>9</v>
      </c>
      <c r="C906" s="4">
        <v>230.23</v>
      </c>
      <c r="D906" s="4">
        <v>19.53</v>
      </c>
      <c r="E906" s="3" t="s">
        <v>10</v>
      </c>
      <c r="F906" s="3">
        <v>247</v>
      </c>
      <c r="G906" s="3" t="s">
        <v>432</v>
      </c>
      <c r="H906" s="4">
        <v>7.61</v>
      </c>
      <c r="I906" s="3">
        <v>0</v>
      </c>
      <c r="J906" s="3" t="s">
        <v>3</v>
      </c>
      <c r="K906" s="3" t="s">
        <v>3</v>
      </c>
      <c r="L906" s="3">
        <v>108</v>
      </c>
      <c r="M906" s="3">
        <v>80</v>
      </c>
      <c r="N906" s="3" t="s">
        <v>8</v>
      </c>
      <c r="O906" s="3" t="str">
        <f>_xlfn.IFS('Data set'!$H906&lt;5.7,"Normal",'Data set'!$H906&lt;=6.4,"Prediabetes",'Data set'!$H906&lt;=7.5,"Diabetes",'Data set'!$H906&gt;=7.5,"Uncontrolled")</f>
        <v>Uncontrolled</v>
      </c>
      <c r="P906" s="3" t="str">
        <f>_xlfn.IFS('Data set'!$F906&lt;120,"Low",'Data set'!$F906&lt;=200,"Normal",'Data set'!$F906&lt;=240,"Boarderline",'Data set'!$F906&gt;=241,"High")</f>
        <v>High</v>
      </c>
      <c r="Q906" s="3" t="str">
        <f>_xlfn.IFS('Data set'!$D906&lt;=18.5,"Low",'Data set'!$D906&lt;=24.9,"Normal",'Data set'!$D906&lt;=29.9,"High",'Data set'!$D906&gt;29.9,"Very High")</f>
        <v>Normal</v>
      </c>
    </row>
    <row r="907" spans="1:17" x14ac:dyDescent="0.25">
      <c r="A907" s="5">
        <v>71</v>
      </c>
      <c r="B907" s="5" t="s">
        <v>0</v>
      </c>
      <c r="C907" s="6">
        <v>279.2</v>
      </c>
      <c r="D907" s="6">
        <v>35.39</v>
      </c>
      <c r="E907" s="5" t="s">
        <v>14</v>
      </c>
      <c r="F907" s="5">
        <v>252</v>
      </c>
      <c r="G907" s="5" t="s">
        <v>699</v>
      </c>
      <c r="H907" s="6">
        <v>4.0199999999999996</v>
      </c>
      <c r="I907" s="5">
        <v>2</v>
      </c>
      <c r="J907" s="5" t="s">
        <v>3</v>
      </c>
      <c r="K907" s="5" t="s">
        <v>3</v>
      </c>
      <c r="L907" s="5">
        <v>124</v>
      </c>
      <c r="M907" s="5">
        <v>81</v>
      </c>
      <c r="N907" s="5" t="s">
        <v>5</v>
      </c>
      <c r="O907" s="5" t="str">
        <f>_xlfn.IFS('Data set'!$H907&lt;5.7,"Normal",'Data set'!$H907&lt;=6.4,"Prediabetes",'Data set'!$H907&lt;=7.5,"Diabetes",'Data set'!$H907&gt;=7.5,"Uncontrolled")</f>
        <v>Normal</v>
      </c>
      <c r="P907" s="5" t="str">
        <f>_xlfn.IFS('Data set'!$F907&lt;120,"Low",'Data set'!$F907&lt;=200,"Normal",'Data set'!$F907&lt;=240,"Boarderline",'Data set'!$F907&gt;=241,"High")</f>
        <v>High</v>
      </c>
      <c r="Q907" s="5" t="str">
        <f>_xlfn.IFS('Data set'!$D907&lt;=18.5,"Low",'Data set'!$D907&lt;=24.9,"Normal",'Data set'!$D907&lt;=29.9,"High",'Data set'!$D907&gt;29.9,"Very High")</f>
        <v>Very High</v>
      </c>
    </row>
    <row r="908" spans="1:17" x14ac:dyDescent="0.25">
      <c r="A908" s="3">
        <v>61</v>
      </c>
      <c r="B908" s="3" t="s">
        <v>9</v>
      </c>
      <c r="C908" s="4">
        <v>104.55</v>
      </c>
      <c r="D908" s="4">
        <v>18.489999999999998</v>
      </c>
      <c r="E908" s="3" t="s">
        <v>10</v>
      </c>
      <c r="F908" s="3">
        <v>259</v>
      </c>
      <c r="G908" s="3" t="s">
        <v>498</v>
      </c>
      <c r="H908" s="4">
        <v>7.23</v>
      </c>
      <c r="I908" s="3">
        <v>6</v>
      </c>
      <c r="J908" s="3" t="s">
        <v>4</v>
      </c>
      <c r="K908" s="3" t="s">
        <v>4</v>
      </c>
      <c r="L908" s="3">
        <v>102</v>
      </c>
      <c r="M908" s="3">
        <v>72</v>
      </c>
      <c r="N908" s="3" t="s">
        <v>21</v>
      </c>
      <c r="O908" s="3" t="str">
        <f>_xlfn.IFS('Data set'!$H908&lt;5.7,"Normal",'Data set'!$H908&lt;=6.4,"Prediabetes",'Data set'!$H908&lt;=7.5,"Diabetes",'Data set'!$H908&gt;=7.5,"Uncontrolled")</f>
        <v>Diabetes</v>
      </c>
      <c r="P908" s="3" t="str">
        <f>_xlfn.IFS('Data set'!$F908&lt;120,"Low",'Data set'!$F908&lt;=200,"Normal",'Data set'!$F908&lt;=240,"Boarderline",'Data set'!$F908&gt;=241,"High")</f>
        <v>High</v>
      </c>
      <c r="Q908" s="3" t="str">
        <f>_xlfn.IFS('Data set'!$D908&lt;=18.5,"Low",'Data set'!$D908&lt;=24.9,"Normal",'Data set'!$D908&lt;=29.9,"High",'Data set'!$D908&gt;29.9,"Very High")</f>
        <v>Low</v>
      </c>
    </row>
    <row r="909" spans="1:17" x14ac:dyDescent="0.25">
      <c r="A909" s="5">
        <v>41</v>
      </c>
      <c r="B909" s="5" t="s">
        <v>9</v>
      </c>
      <c r="C909" s="6">
        <v>172.1</v>
      </c>
      <c r="D909" s="6">
        <v>28.94</v>
      </c>
      <c r="E909" s="5" t="s">
        <v>14</v>
      </c>
      <c r="F909" s="5">
        <v>184</v>
      </c>
      <c r="G909" s="5" t="s">
        <v>700</v>
      </c>
      <c r="H909" s="6">
        <v>8.66</v>
      </c>
      <c r="I909" s="5">
        <v>0</v>
      </c>
      <c r="J909" s="5" t="s">
        <v>4</v>
      </c>
      <c r="K909" s="5" t="s">
        <v>4</v>
      </c>
      <c r="L909" s="5">
        <v>118</v>
      </c>
      <c r="M909" s="5">
        <v>86</v>
      </c>
      <c r="N909" s="5" t="s">
        <v>23</v>
      </c>
      <c r="O909" s="5" t="str">
        <f>_xlfn.IFS('Data set'!$H909&lt;5.7,"Normal",'Data set'!$H909&lt;=6.4,"Prediabetes",'Data set'!$H909&lt;=7.5,"Diabetes",'Data set'!$H909&gt;=7.5,"Uncontrolled")</f>
        <v>Uncontrolled</v>
      </c>
      <c r="P909" s="5" t="str">
        <f>_xlfn.IFS('Data set'!$F909&lt;120,"Low",'Data set'!$F909&lt;=200,"Normal",'Data set'!$F909&lt;=240,"Boarderline",'Data set'!$F909&gt;=241,"High")</f>
        <v>Normal</v>
      </c>
      <c r="Q909" s="5" t="str">
        <f>_xlfn.IFS('Data set'!$D909&lt;=18.5,"Low",'Data set'!$D909&lt;=24.9,"Normal",'Data set'!$D909&lt;=29.9,"High",'Data set'!$D909&gt;29.9,"Very High")</f>
        <v>High</v>
      </c>
    </row>
    <row r="910" spans="1:17" x14ac:dyDescent="0.25">
      <c r="A910" s="3">
        <v>61</v>
      </c>
      <c r="B910" s="3" t="s">
        <v>0</v>
      </c>
      <c r="C910" s="4">
        <v>273.31</v>
      </c>
      <c r="D910" s="4">
        <v>18.8</v>
      </c>
      <c r="E910" s="3" t="s">
        <v>10</v>
      </c>
      <c r="F910" s="3">
        <v>249</v>
      </c>
      <c r="G910" s="3" t="s">
        <v>701</v>
      </c>
      <c r="H910" s="4">
        <v>7.65</v>
      </c>
      <c r="I910" s="3">
        <v>6</v>
      </c>
      <c r="J910" s="3" t="s">
        <v>3</v>
      </c>
      <c r="K910" s="3" t="s">
        <v>3</v>
      </c>
      <c r="L910" s="3">
        <v>116</v>
      </c>
      <c r="M910" s="3">
        <v>65</v>
      </c>
      <c r="N910" s="3" t="s">
        <v>21</v>
      </c>
      <c r="O910" s="3" t="str">
        <f>_xlfn.IFS('Data set'!$H910&lt;5.7,"Normal",'Data set'!$H910&lt;=6.4,"Prediabetes",'Data set'!$H910&lt;=7.5,"Diabetes",'Data set'!$H910&gt;=7.5,"Uncontrolled")</f>
        <v>Uncontrolled</v>
      </c>
      <c r="P910" s="3" t="str">
        <f>_xlfn.IFS('Data set'!$F910&lt;120,"Low",'Data set'!$F910&lt;=200,"Normal",'Data set'!$F910&lt;=240,"Boarderline",'Data set'!$F910&gt;=241,"High")</f>
        <v>High</v>
      </c>
      <c r="Q910" s="3" t="str">
        <f>_xlfn.IFS('Data set'!$D910&lt;=18.5,"Low",'Data set'!$D910&lt;=24.9,"Normal",'Data set'!$D910&lt;=29.9,"High",'Data set'!$D910&gt;29.9,"Very High")</f>
        <v>Normal</v>
      </c>
    </row>
    <row r="911" spans="1:17" x14ac:dyDescent="0.25">
      <c r="A911" s="5">
        <v>61</v>
      </c>
      <c r="B911" s="5" t="s">
        <v>0</v>
      </c>
      <c r="C911" s="6">
        <v>289.01</v>
      </c>
      <c r="D911" s="6">
        <v>22.51</v>
      </c>
      <c r="E911" s="5" t="s">
        <v>10</v>
      </c>
      <c r="F911" s="5">
        <v>201</v>
      </c>
      <c r="G911" s="5" t="s">
        <v>155</v>
      </c>
      <c r="H911" s="6">
        <v>7.09</v>
      </c>
      <c r="I911" s="5">
        <v>1</v>
      </c>
      <c r="J911" s="5" t="s">
        <v>3</v>
      </c>
      <c r="K911" s="5" t="s">
        <v>3</v>
      </c>
      <c r="L911" s="5">
        <v>108</v>
      </c>
      <c r="M911" s="5">
        <v>88</v>
      </c>
      <c r="N911" s="5" t="s">
        <v>21</v>
      </c>
      <c r="O911" s="5" t="str">
        <f>_xlfn.IFS('Data set'!$H911&lt;5.7,"Normal",'Data set'!$H911&lt;=6.4,"Prediabetes",'Data set'!$H911&lt;=7.5,"Diabetes",'Data set'!$H911&gt;=7.5,"Uncontrolled")</f>
        <v>Diabetes</v>
      </c>
      <c r="P911" s="5" t="str">
        <f>_xlfn.IFS('Data set'!$F911&lt;120,"Low",'Data set'!$F911&lt;=200,"Normal",'Data set'!$F911&lt;=240,"Boarderline",'Data set'!$F911&gt;=241,"High")</f>
        <v>Boarderline</v>
      </c>
      <c r="Q911" s="5" t="str">
        <f>_xlfn.IFS('Data set'!$D911&lt;=18.5,"Low",'Data set'!$D911&lt;=24.9,"Normal",'Data set'!$D911&lt;=29.9,"High",'Data set'!$D911&gt;29.9,"Very High")</f>
        <v>Normal</v>
      </c>
    </row>
    <row r="912" spans="1:17" x14ac:dyDescent="0.25">
      <c r="A912" s="3">
        <v>76</v>
      </c>
      <c r="B912" s="3" t="s">
        <v>9</v>
      </c>
      <c r="C912" s="4">
        <v>297.62</v>
      </c>
      <c r="D912" s="4">
        <v>21.44</v>
      </c>
      <c r="E912" s="3" t="s">
        <v>1</v>
      </c>
      <c r="F912" s="3">
        <v>258</v>
      </c>
      <c r="G912" s="3" t="s">
        <v>120</v>
      </c>
      <c r="H912" s="4">
        <v>7.87</v>
      </c>
      <c r="I912" s="3">
        <v>3</v>
      </c>
      <c r="J912" s="3" t="s">
        <v>3</v>
      </c>
      <c r="K912" s="3" t="s">
        <v>3</v>
      </c>
      <c r="L912" s="3">
        <v>95</v>
      </c>
      <c r="M912" s="3">
        <v>84</v>
      </c>
      <c r="N912" s="3" t="s">
        <v>5</v>
      </c>
      <c r="O912" s="3" t="str">
        <f>_xlfn.IFS('Data set'!$H912&lt;5.7,"Normal",'Data set'!$H912&lt;=6.4,"Prediabetes",'Data set'!$H912&lt;=7.5,"Diabetes",'Data set'!$H912&gt;=7.5,"Uncontrolled")</f>
        <v>Uncontrolled</v>
      </c>
      <c r="P912" s="3" t="str">
        <f>_xlfn.IFS('Data set'!$F912&lt;120,"Low",'Data set'!$F912&lt;=200,"Normal",'Data set'!$F912&lt;=240,"Boarderline",'Data set'!$F912&gt;=241,"High")</f>
        <v>High</v>
      </c>
      <c r="Q912" s="3" t="str">
        <f>_xlfn.IFS('Data set'!$D912&lt;=18.5,"Low",'Data set'!$D912&lt;=24.9,"Normal",'Data set'!$D912&lt;=29.9,"High",'Data set'!$D912&gt;29.9,"Very High")</f>
        <v>Normal</v>
      </c>
    </row>
    <row r="913" spans="1:17" x14ac:dyDescent="0.25">
      <c r="A913" s="5">
        <v>52</v>
      </c>
      <c r="B913" s="5" t="s">
        <v>0</v>
      </c>
      <c r="C913" s="6">
        <v>273.93</v>
      </c>
      <c r="D913" s="6">
        <v>36.58</v>
      </c>
      <c r="E913" s="5" t="s">
        <v>14</v>
      </c>
      <c r="F913" s="5">
        <v>293</v>
      </c>
      <c r="G913" s="5" t="s">
        <v>702</v>
      </c>
      <c r="H913" s="6">
        <v>5.23</v>
      </c>
      <c r="I913" s="5">
        <v>1</v>
      </c>
      <c r="J913" s="5" t="s">
        <v>3</v>
      </c>
      <c r="K913" s="5" t="s">
        <v>3</v>
      </c>
      <c r="L913" s="5">
        <v>132</v>
      </c>
      <c r="M913" s="5">
        <v>61</v>
      </c>
      <c r="N913" s="5" t="s">
        <v>8</v>
      </c>
      <c r="O913" s="5" t="str">
        <f>_xlfn.IFS('Data set'!$H913&lt;5.7,"Normal",'Data set'!$H913&lt;=6.4,"Prediabetes",'Data set'!$H913&lt;=7.5,"Diabetes",'Data set'!$H913&gt;=7.5,"Uncontrolled")</f>
        <v>Normal</v>
      </c>
      <c r="P913" s="5" t="str">
        <f>_xlfn.IFS('Data set'!$F913&lt;120,"Low",'Data set'!$F913&lt;=200,"Normal",'Data set'!$F913&lt;=240,"Boarderline",'Data set'!$F913&gt;=241,"High")</f>
        <v>High</v>
      </c>
      <c r="Q913" s="5" t="str">
        <f>_xlfn.IFS('Data set'!$D913&lt;=18.5,"Low",'Data set'!$D913&lt;=24.9,"Normal",'Data set'!$D913&lt;=29.9,"High",'Data set'!$D913&gt;29.9,"Very High")</f>
        <v>Very High</v>
      </c>
    </row>
    <row r="914" spans="1:17" x14ac:dyDescent="0.25">
      <c r="A914" s="3">
        <v>78</v>
      </c>
      <c r="B914" s="3" t="s">
        <v>9</v>
      </c>
      <c r="C914" s="4">
        <v>271.5</v>
      </c>
      <c r="D914" s="4">
        <v>20.170000000000002</v>
      </c>
      <c r="E914" s="3" t="s">
        <v>14</v>
      </c>
      <c r="F914" s="3">
        <v>255</v>
      </c>
      <c r="G914" s="3" t="s">
        <v>703</v>
      </c>
      <c r="H914" s="4">
        <v>4.2300000000000004</v>
      </c>
      <c r="I914" s="3">
        <v>7</v>
      </c>
      <c r="J914" s="3" t="s">
        <v>3</v>
      </c>
      <c r="K914" s="3" t="s">
        <v>4</v>
      </c>
      <c r="L914" s="3">
        <v>133</v>
      </c>
      <c r="M914" s="3">
        <v>80</v>
      </c>
      <c r="N914" s="3" t="s">
        <v>5</v>
      </c>
      <c r="O914" s="3" t="str">
        <f>_xlfn.IFS('Data set'!$H914&lt;5.7,"Normal",'Data set'!$H914&lt;=6.4,"Prediabetes",'Data set'!$H914&lt;=7.5,"Diabetes",'Data set'!$H914&gt;=7.5,"Uncontrolled")</f>
        <v>Normal</v>
      </c>
      <c r="P914" s="3" t="str">
        <f>_xlfn.IFS('Data set'!$F914&lt;120,"Low",'Data set'!$F914&lt;=200,"Normal",'Data set'!$F914&lt;=240,"Boarderline",'Data set'!$F914&gt;=241,"High")</f>
        <v>High</v>
      </c>
      <c r="Q914" s="3" t="str">
        <f>_xlfn.IFS('Data set'!$D914&lt;=18.5,"Low",'Data set'!$D914&lt;=24.9,"Normal",'Data set'!$D914&lt;=29.9,"High",'Data set'!$D914&gt;29.9,"Very High")</f>
        <v>Normal</v>
      </c>
    </row>
    <row r="915" spans="1:17" x14ac:dyDescent="0.25">
      <c r="A915" s="5">
        <v>33</v>
      </c>
      <c r="B915" s="5" t="s">
        <v>0</v>
      </c>
      <c r="C915" s="6">
        <v>288.57</v>
      </c>
      <c r="D915" s="6">
        <v>29.54</v>
      </c>
      <c r="E915" s="5" t="s">
        <v>1</v>
      </c>
      <c r="F915" s="5">
        <v>126</v>
      </c>
      <c r="G915" s="5" t="s">
        <v>704</v>
      </c>
      <c r="H915" s="6">
        <v>4.88</v>
      </c>
      <c r="I915" s="5">
        <v>2</v>
      </c>
      <c r="J915" s="5" t="s">
        <v>4</v>
      </c>
      <c r="K915" s="5" t="s">
        <v>3</v>
      </c>
      <c r="L915" s="5">
        <v>98</v>
      </c>
      <c r="M915" s="5">
        <v>74</v>
      </c>
      <c r="N915" s="5" t="s">
        <v>12</v>
      </c>
      <c r="O915" s="5" t="str">
        <f>_xlfn.IFS('Data set'!$H915&lt;5.7,"Normal",'Data set'!$H915&lt;=6.4,"Prediabetes",'Data set'!$H915&lt;=7.5,"Diabetes",'Data set'!$H915&gt;=7.5,"Uncontrolled")</f>
        <v>Normal</v>
      </c>
      <c r="P915" s="5" t="str">
        <f>_xlfn.IFS('Data set'!$F915&lt;120,"Low",'Data set'!$F915&lt;=200,"Normal",'Data set'!$F915&lt;=240,"Boarderline",'Data set'!$F915&gt;=241,"High")</f>
        <v>Normal</v>
      </c>
      <c r="Q915" s="5" t="str">
        <f>_xlfn.IFS('Data set'!$D915&lt;=18.5,"Low",'Data set'!$D915&lt;=24.9,"Normal",'Data set'!$D915&lt;=29.9,"High",'Data set'!$D915&gt;29.9,"Very High")</f>
        <v>High</v>
      </c>
    </row>
    <row r="916" spans="1:17" x14ac:dyDescent="0.25">
      <c r="A916" s="3">
        <v>51</v>
      </c>
      <c r="B916" s="3" t="s">
        <v>9</v>
      </c>
      <c r="C916" s="4">
        <v>90.75</v>
      </c>
      <c r="D916" s="4">
        <v>20.51</v>
      </c>
      <c r="E916" s="3" t="s">
        <v>6</v>
      </c>
      <c r="F916" s="3">
        <v>290</v>
      </c>
      <c r="G916" s="3" t="s">
        <v>593</v>
      </c>
      <c r="H916" s="4">
        <v>4.3600000000000003</v>
      </c>
      <c r="I916" s="3">
        <v>7</v>
      </c>
      <c r="J916" s="3" t="s">
        <v>4</v>
      </c>
      <c r="K916" s="3" t="s">
        <v>3</v>
      </c>
      <c r="L916" s="3">
        <v>92</v>
      </c>
      <c r="M916" s="3">
        <v>75</v>
      </c>
      <c r="N916" s="3" t="s">
        <v>8</v>
      </c>
      <c r="O916" s="3" t="str">
        <f>_xlfn.IFS('Data set'!$H916&lt;5.7,"Normal",'Data set'!$H916&lt;=6.4,"Prediabetes",'Data set'!$H916&lt;=7.5,"Diabetes",'Data set'!$H916&gt;=7.5,"Uncontrolled")</f>
        <v>Normal</v>
      </c>
      <c r="P916" s="3" t="str">
        <f>_xlfn.IFS('Data set'!$F916&lt;120,"Low",'Data set'!$F916&lt;=200,"Normal",'Data set'!$F916&lt;=240,"Boarderline",'Data set'!$F916&gt;=241,"High")</f>
        <v>High</v>
      </c>
      <c r="Q916" s="3" t="str">
        <f>_xlfn.IFS('Data set'!$D916&lt;=18.5,"Low",'Data set'!$D916&lt;=24.9,"Normal",'Data set'!$D916&lt;=29.9,"High",'Data set'!$D916&gt;29.9,"Very High")</f>
        <v>Normal</v>
      </c>
    </row>
    <row r="917" spans="1:17" x14ac:dyDescent="0.25">
      <c r="A917" s="5">
        <v>50</v>
      </c>
      <c r="B917" s="5" t="s">
        <v>0</v>
      </c>
      <c r="C917" s="6">
        <v>131.97999999999999</v>
      </c>
      <c r="D917" s="6">
        <v>21.77</v>
      </c>
      <c r="E917" s="5" t="s">
        <v>14</v>
      </c>
      <c r="F917" s="5">
        <v>220</v>
      </c>
      <c r="G917" s="5" t="s">
        <v>705</v>
      </c>
      <c r="H917" s="6">
        <v>4.1900000000000004</v>
      </c>
      <c r="I917" s="5">
        <v>2</v>
      </c>
      <c r="J917" s="5" t="s">
        <v>4</v>
      </c>
      <c r="K917" s="5" t="s">
        <v>4</v>
      </c>
      <c r="L917" s="5">
        <v>112</v>
      </c>
      <c r="M917" s="5">
        <v>75</v>
      </c>
      <c r="N917" s="5" t="s">
        <v>23</v>
      </c>
      <c r="O917" s="5" t="str">
        <f>_xlfn.IFS('Data set'!$H917&lt;5.7,"Normal",'Data set'!$H917&lt;=6.4,"Prediabetes",'Data set'!$H917&lt;=7.5,"Diabetes",'Data set'!$H917&gt;=7.5,"Uncontrolled")</f>
        <v>Normal</v>
      </c>
      <c r="P917" s="5" t="str">
        <f>_xlfn.IFS('Data set'!$F917&lt;120,"Low",'Data set'!$F917&lt;=200,"Normal",'Data set'!$F917&lt;=240,"Boarderline",'Data set'!$F917&gt;=241,"High")</f>
        <v>Boarderline</v>
      </c>
      <c r="Q917" s="5" t="str">
        <f>_xlfn.IFS('Data set'!$D917&lt;=18.5,"Low",'Data set'!$D917&lt;=24.9,"Normal",'Data set'!$D917&lt;=29.9,"High",'Data set'!$D917&gt;29.9,"Very High")</f>
        <v>Normal</v>
      </c>
    </row>
    <row r="918" spans="1:17" x14ac:dyDescent="0.25">
      <c r="A918" s="3">
        <v>71</v>
      </c>
      <c r="B918" s="3" t="s">
        <v>0</v>
      </c>
      <c r="C918" s="4">
        <v>195.57</v>
      </c>
      <c r="D918" s="4">
        <v>19.39</v>
      </c>
      <c r="E918" s="3" t="s">
        <v>6</v>
      </c>
      <c r="F918" s="3">
        <v>116</v>
      </c>
      <c r="G918" s="3" t="s">
        <v>458</v>
      </c>
      <c r="H918" s="4">
        <v>6.61</v>
      </c>
      <c r="I918" s="3">
        <v>1</v>
      </c>
      <c r="J918" s="3" t="s">
        <v>3</v>
      </c>
      <c r="K918" s="3" t="s">
        <v>3</v>
      </c>
      <c r="L918" s="3">
        <v>111</v>
      </c>
      <c r="M918" s="3">
        <v>73</v>
      </c>
      <c r="N918" s="3" t="s">
        <v>5</v>
      </c>
      <c r="O918" s="3" t="str">
        <f>_xlfn.IFS('Data set'!$H918&lt;5.7,"Normal",'Data set'!$H918&lt;=6.4,"Prediabetes",'Data set'!$H918&lt;=7.5,"Diabetes",'Data set'!$H918&gt;=7.5,"Uncontrolled")</f>
        <v>Diabetes</v>
      </c>
      <c r="P918" s="3" t="str">
        <f>_xlfn.IFS('Data set'!$F918&lt;120,"Low",'Data set'!$F918&lt;=200,"Normal",'Data set'!$F918&lt;=240,"Boarderline",'Data set'!$F918&gt;=241,"High")</f>
        <v>Low</v>
      </c>
      <c r="Q918" s="3" t="str">
        <f>_xlfn.IFS('Data set'!$D918&lt;=18.5,"Low",'Data set'!$D918&lt;=24.9,"Normal",'Data set'!$D918&lt;=29.9,"High",'Data set'!$D918&gt;29.9,"Very High")</f>
        <v>Normal</v>
      </c>
    </row>
    <row r="919" spans="1:17" x14ac:dyDescent="0.25">
      <c r="A919" s="5">
        <v>19</v>
      </c>
      <c r="B919" s="5" t="s">
        <v>9</v>
      </c>
      <c r="C919" s="6">
        <v>269.97000000000003</v>
      </c>
      <c r="D919" s="6">
        <v>20.190000000000001</v>
      </c>
      <c r="E919" s="5" t="s">
        <v>1</v>
      </c>
      <c r="F919" s="5">
        <v>122</v>
      </c>
      <c r="G919" s="5" t="s">
        <v>133</v>
      </c>
      <c r="H919" s="6">
        <v>4.16</v>
      </c>
      <c r="I919" s="5">
        <v>5</v>
      </c>
      <c r="J919" s="5" t="s">
        <v>3</v>
      </c>
      <c r="K919" s="5" t="s">
        <v>4</v>
      </c>
      <c r="L919" s="5">
        <v>110</v>
      </c>
      <c r="M919" s="5">
        <v>73</v>
      </c>
      <c r="N919" s="5" t="s">
        <v>17</v>
      </c>
      <c r="O919" s="5" t="str">
        <f>_xlfn.IFS('Data set'!$H919&lt;5.7,"Normal",'Data set'!$H919&lt;=6.4,"Prediabetes",'Data set'!$H919&lt;=7.5,"Diabetes",'Data set'!$H919&gt;=7.5,"Uncontrolled")</f>
        <v>Normal</v>
      </c>
      <c r="P919" s="5" t="str">
        <f>_xlfn.IFS('Data set'!$F919&lt;120,"Low",'Data set'!$F919&lt;=200,"Normal",'Data set'!$F919&lt;=240,"Boarderline",'Data set'!$F919&gt;=241,"High")</f>
        <v>Normal</v>
      </c>
      <c r="Q919" s="5" t="str">
        <f>_xlfn.IFS('Data set'!$D919&lt;=18.5,"Low",'Data set'!$D919&lt;=24.9,"Normal",'Data set'!$D919&lt;=29.9,"High",'Data set'!$D919&gt;29.9,"Very High")</f>
        <v>Normal</v>
      </c>
    </row>
    <row r="920" spans="1:17" x14ac:dyDescent="0.25">
      <c r="A920" s="3">
        <v>69</v>
      </c>
      <c r="B920" s="3" t="s">
        <v>9</v>
      </c>
      <c r="C920" s="4">
        <v>241.12</v>
      </c>
      <c r="D920" s="4">
        <v>37.46</v>
      </c>
      <c r="E920" s="3" t="s">
        <v>10</v>
      </c>
      <c r="F920" s="3">
        <v>116</v>
      </c>
      <c r="G920" s="3" t="s">
        <v>706</v>
      </c>
      <c r="H920" s="4">
        <v>8.2200000000000006</v>
      </c>
      <c r="I920" s="3">
        <v>5</v>
      </c>
      <c r="J920" s="3" t="s">
        <v>3</v>
      </c>
      <c r="K920" s="3" t="s">
        <v>3</v>
      </c>
      <c r="L920" s="3">
        <v>99</v>
      </c>
      <c r="M920" s="3">
        <v>71</v>
      </c>
      <c r="N920" s="3" t="s">
        <v>21</v>
      </c>
      <c r="O920" s="3" t="str">
        <f>_xlfn.IFS('Data set'!$H920&lt;5.7,"Normal",'Data set'!$H920&lt;=6.4,"Prediabetes",'Data set'!$H920&lt;=7.5,"Diabetes",'Data set'!$H920&gt;=7.5,"Uncontrolled")</f>
        <v>Uncontrolled</v>
      </c>
      <c r="P920" s="3" t="str">
        <f>_xlfn.IFS('Data set'!$F920&lt;120,"Low",'Data set'!$F920&lt;=200,"Normal",'Data set'!$F920&lt;=240,"Boarderline",'Data set'!$F920&gt;=241,"High")</f>
        <v>Low</v>
      </c>
      <c r="Q920" s="3" t="str">
        <f>_xlfn.IFS('Data set'!$D920&lt;=18.5,"Low",'Data set'!$D920&lt;=24.9,"Normal",'Data set'!$D920&lt;=29.9,"High",'Data set'!$D920&gt;29.9,"Very High")</f>
        <v>Very High</v>
      </c>
    </row>
    <row r="921" spans="1:17" x14ac:dyDescent="0.25">
      <c r="A921" s="5">
        <v>27</v>
      </c>
      <c r="B921" s="5" t="s">
        <v>0</v>
      </c>
      <c r="C921" s="6">
        <v>260.76</v>
      </c>
      <c r="D921" s="6">
        <v>32.22</v>
      </c>
      <c r="E921" s="5" t="s">
        <v>6</v>
      </c>
      <c r="F921" s="5">
        <v>288</v>
      </c>
      <c r="G921" s="5" t="s">
        <v>707</v>
      </c>
      <c r="H921" s="6">
        <v>6.62</v>
      </c>
      <c r="I921" s="5">
        <v>3</v>
      </c>
      <c r="J921" s="5" t="s">
        <v>3</v>
      </c>
      <c r="K921" s="5" t="s">
        <v>4</v>
      </c>
      <c r="L921" s="5">
        <v>106</v>
      </c>
      <c r="M921" s="5">
        <v>75</v>
      </c>
      <c r="N921" s="5" t="s">
        <v>17</v>
      </c>
      <c r="O921" s="5" t="str">
        <f>_xlfn.IFS('Data set'!$H921&lt;5.7,"Normal",'Data set'!$H921&lt;=6.4,"Prediabetes",'Data set'!$H921&lt;=7.5,"Diabetes",'Data set'!$H921&gt;=7.5,"Uncontrolled")</f>
        <v>Diabetes</v>
      </c>
      <c r="P921" s="5" t="str">
        <f>_xlfn.IFS('Data set'!$F921&lt;120,"Low",'Data set'!$F921&lt;=200,"Normal",'Data set'!$F921&lt;=240,"Boarderline",'Data set'!$F921&gt;=241,"High")</f>
        <v>High</v>
      </c>
      <c r="Q921" s="5" t="str">
        <f>_xlfn.IFS('Data set'!$D921&lt;=18.5,"Low",'Data set'!$D921&lt;=24.9,"Normal",'Data set'!$D921&lt;=29.9,"High",'Data set'!$D921&gt;29.9,"Very High")</f>
        <v>Very High</v>
      </c>
    </row>
    <row r="922" spans="1:17" x14ac:dyDescent="0.25">
      <c r="A922" s="3">
        <v>51</v>
      </c>
      <c r="B922" s="3" t="s">
        <v>0</v>
      </c>
      <c r="C922" s="4">
        <v>146.47</v>
      </c>
      <c r="D922" s="4">
        <v>25.88</v>
      </c>
      <c r="E922" s="3" t="s">
        <v>1</v>
      </c>
      <c r="F922" s="3">
        <v>171</v>
      </c>
      <c r="G922" s="3" t="s">
        <v>288</v>
      </c>
      <c r="H922" s="4">
        <v>8.85</v>
      </c>
      <c r="I922" s="3">
        <v>7</v>
      </c>
      <c r="J922" s="3" t="s">
        <v>3</v>
      </c>
      <c r="K922" s="3" t="s">
        <v>3</v>
      </c>
      <c r="L922" s="3">
        <v>131</v>
      </c>
      <c r="M922" s="3">
        <v>77</v>
      </c>
      <c r="N922" s="3" t="s">
        <v>8</v>
      </c>
      <c r="O922" s="3" t="str">
        <f>_xlfn.IFS('Data set'!$H922&lt;5.7,"Normal",'Data set'!$H922&lt;=6.4,"Prediabetes",'Data set'!$H922&lt;=7.5,"Diabetes",'Data set'!$H922&gt;=7.5,"Uncontrolled")</f>
        <v>Uncontrolled</v>
      </c>
      <c r="P922" s="3" t="str">
        <f>_xlfn.IFS('Data set'!$F922&lt;120,"Low",'Data set'!$F922&lt;=200,"Normal",'Data set'!$F922&lt;=240,"Boarderline",'Data set'!$F922&gt;=241,"High")</f>
        <v>Normal</v>
      </c>
      <c r="Q922" s="3" t="str">
        <f>_xlfn.IFS('Data set'!$D922&lt;=18.5,"Low",'Data set'!$D922&lt;=24.9,"Normal",'Data set'!$D922&lt;=29.9,"High",'Data set'!$D922&gt;29.9,"Very High")</f>
        <v>High</v>
      </c>
    </row>
    <row r="923" spans="1:17" x14ac:dyDescent="0.25">
      <c r="A923" s="5">
        <v>30</v>
      </c>
      <c r="B923" s="5" t="s">
        <v>9</v>
      </c>
      <c r="C923" s="6">
        <v>155.01</v>
      </c>
      <c r="D923" s="6">
        <v>18.89</v>
      </c>
      <c r="E923" s="5" t="s">
        <v>1</v>
      </c>
      <c r="F923" s="5">
        <v>293</v>
      </c>
      <c r="G923" s="5" t="s">
        <v>78</v>
      </c>
      <c r="H923" s="6">
        <v>4.26</v>
      </c>
      <c r="I923" s="5">
        <v>2</v>
      </c>
      <c r="J923" s="5" t="s">
        <v>3</v>
      </c>
      <c r="K923" s="5" t="s">
        <v>4</v>
      </c>
      <c r="L923" s="5">
        <v>109</v>
      </c>
      <c r="M923" s="5">
        <v>70</v>
      </c>
      <c r="N923" s="5" t="s">
        <v>17</v>
      </c>
      <c r="O923" s="5" t="str">
        <f>_xlfn.IFS('Data set'!$H923&lt;5.7,"Normal",'Data set'!$H923&lt;=6.4,"Prediabetes",'Data set'!$H923&lt;=7.5,"Diabetes",'Data set'!$H923&gt;=7.5,"Uncontrolled")</f>
        <v>Normal</v>
      </c>
      <c r="P923" s="5" t="str">
        <f>_xlfn.IFS('Data set'!$F923&lt;120,"Low",'Data set'!$F923&lt;=200,"Normal",'Data set'!$F923&lt;=240,"Boarderline",'Data set'!$F923&gt;=241,"High")</f>
        <v>High</v>
      </c>
      <c r="Q923" s="5" t="str">
        <f>_xlfn.IFS('Data set'!$D923&lt;=18.5,"Low",'Data set'!$D923&lt;=24.9,"Normal",'Data set'!$D923&lt;=29.9,"High",'Data set'!$D923&gt;29.9,"Very High")</f>
        <v>Normal</v>
      </c>
    </row>
    <row r="924" spans="1:17" x14ac:dyDescent="0.25">
      <c r="A924" s="3">
        <v>42</v>
      </c>
      <c r="B924" s="3" t="s">
        <v>9</v>
      </c>
      <c r="C924" s="4">
        <v>112.57</v>
      </c>
      <c r="D924" s="4">
        <v>35.630000000000003</v>
      </c>
      <c r="E924" s="3" t="s">
        <v>14</v>
      </c>
      <c r="F924" s="3">
        <v>249</v>
      </c>
      <c r="G924" s="3" t="s">
        <v>708</v>
      </c>
      <c r="H924" s="4">
        <v>4.0599999999999996</v>
      </c>
      <c r="I924" s="3">
        <v>6</v>
      </c>
      <c r="J924" s="3" t="s">
        <v>3</v>
      </c>
      <c r="K924" s="3" t="s">
        <v>4</v>
      </c>
      <c r="L924" s="3">
        <v>130</v>
      </c>
      <c r="M924" s="3">
        <v>68</v>
      </c>
      <c r="N924" s="3" t="s">
        <v>23</v>
      </c>
      <c r="O924" s="3" t="str">
        <f>_xlfn.IFS('Data set'!$H924&lt;5.7,"Normal",'Data set'!$H924&lt;=6.4,"Prediabetes",'Data set'!$H924&lt;=7.5,"Diabetes",'Data set'!$H924&gt;=7.5,"Uncontrolled")</f>
        <v>Normal</v>
      </c>
      <c r="P924" s="3" t="str">
        <f>_xlfn.IFS('Data set'!$F924&lt;120,"Low",'Data set'!$F924&lt;=200,"Normal",'Data set'!$F924&lt;=240,"Boarderline",'Data set'!$F924&gt;=241,"High")</f>
        <v>High</v>
      </c>
      <c r="Q924" s="3" t="str">
        <f>_xlfn.IFS('Data set'!$D924&lt;=18.5,"Low",'Data set'!$D924&lt;=24.9,"Normal",'Data set'!$D924&lt;=29.9,"High",'Data set'!$D924&gt;29.9,"Very High")</f>
        <v>Very High</v>
      </c>
    </row>
    <row r="925" spans="1:17" x14ac:dyDescent="0.25">
      <c r="A925" s="5">
        <v>42</v>
      </c>
      <c r="B925" s="5" t="s">
        <v>0</v>
      </c>
      <c r="C925" s="6">
        <v>119.18</v>
      </c>
      <c r="D925" s="6">
        <v>21.09</v>
      </c>
      <c r="E925" s="5" t="s">
        <v>6</v>
      </c>
      <c r="F925" s="5">
        <v>182</v>
      </c>
      <c r="G925" s="5" t="s">
        <v>709</v>
      </c>
      <c r="H925" s="6">
        <v>9.25</v>
      </c>
      <c r="I925" s="5">
        <v>4</v>
      </c>
      <c r="J925" s="5" t="s">
        <v>4</v>
      </c>
      <c r="K925" s="5" t="s">
        <v>4</v>
      </c>
      <c r="L925" s="5">
        <v>136</v>
      </c>
      <c r="M925" s="5">
        <v>77</v>
      </c>
      <c r="N925" s="5" t="s">
        <v>23</v>
      </c>
      <c r="O925" s="5" t="str">
        <f>_xlfn.IFS('Data set'!$H925&lt;5.7,"Normal",'Data set'!$H925&lt;=6.4,"Prediabetes",'Data set'!$H925&lt;=7.5,"Diabetes",'Data set'!$H925&gt;=7.5,"Uncontrolled")</f>
        <v>Uncontrolled</v>
      </c>
      <c r="P925" s="5" t="str">
        <f>_xlfn.IFS('Data set'!$F925&lt;120,"Low",'Data set'!$F925&lt;=200,"Normal",'Data set'!$F925&lt;=240,"Boarderline",'Data set'!$F925&gt;=241,"High")</f>
        <v>Normal</v>
      </c>
      <c r="Q925" s="5" t="str">
        <f>_xlfn.IFS('Data set'!$D925&lt;=18.5,"Low",'Data set'!$D925&lt;=24.9,"Normal",'Data set'!$D925&lt;=29.9,"High",'Data set'!$D925&gt;29.9,"Very High")</f>
        <v>Normal</v>
      </c>
    </row>
    <row r="926" spans="1:17" x14ac:dyDescent="0.25">
      <c r="A926" s="3">
        <v>79</v>
      </c>
      <c r="B926" s="3" t="s">
        <v>0</v>
      </c>
      <c r="C926" s="4">
        <v>214.66</v>
      </c>
      <c r="D926" s="4">
        <v>18.72</v>
      </c>
      <c r="E926" s="3" t="s">
        <v>6</v>
      </c>
      <c r="F926" s="3">
        <v>116</v>
      </c>
      <c r="G926" s="3" t="s">
        <v>316</v>
      </c>
      <c r="H926" s="4">
        <v>7.68</v>
      </c>
      <c r="I926" s="3">
        <v>7</v>
      </c>
      <c r="J926" s="3" t="s">
        <v>3</v>
      </c>
      <c r="K926" s="3" t="s">
        <v>4</v>
      </c>
      <c r="L926" s="3">
        <v>139</v>
      </c>
      <c r="M926" s="3">
        <v>86</v>
      </c>
      <c r="N926" s="3" t="s">
        <v>5</v>
      </c>
      <c r="O926" s="3" t="str">
        <f>_xlfn.IFS('Data set'!$H926&lt;5.7,"Normal",'Data set'!$H926&lt;=6.4,"Prediabetes",'Data set'!$H926&lt;=7.5,"Diabetes",'Data set'!$H926&gt;=7.5,"Uncontrolled")</f>
        <v>Uncontrolled</v>
      </c>
      <c r="P926" s="3" t="str">
        <f>_xlfn.IFS('Data set'!$F926&lt;120,"Low",'Data set'!$F926&lt;=200,"Normal",'Data set'!$F926&lt;=240,"Boarderline",'Data set'!$F926&gt;=241,"High")</f>
        <v>Low</v>
      </c>
      <c r="Q926" s="3" t="str">
        <f>_xlfn.IFS('Data set'!$D926&lt;=18.5,"Low",'Data set'!$D926&lt;=24.9,"Normal",'Data set'!$D926&lt;=29.9,"High",'Data set'!$D926&gt;29.9,"Very High")</f>
        <v>Normal</v>
      </c>
    </row>
    <row r="927" spans="1:17" x14ac:dyDescent="0.25">
      <c r="A927" s="5">
        <v>59</v>
      </c>
      <c r="B927" s="5" t="s">
        <v>9</v>
      </c>
      <c r="C927" s="6">
        <v>179.22</v>
      </c>
      <c r="D927" s="6">
        <v>24.49</v>
      </c>
      <c r="E927" s="5" t="s">
        <v>1</v>
      </c>
      <c r="F927" s="5">
        <v>195</v>
      </c>
      <c r="G927" s="5" t="s">
        <v>710</v>
      </c>
      <c r="H927" s="6">
        <v>8.58</v>
      </c>
      <c r="I927" s="5">
        <v>2</v>
      </c>
      <c r="J927" s="5" t="s">
        <v>4</v>
      </c>
      <c r="K927" s="5" t="s">
        <v>3</v>
      </c>
      <c r="L927" s="5">
        <v>117</v>
      </c>
      <c r="M927" s="5">
        <v>85</v>
      </c>
      <c r="N927" s="5" t="s">
        <v>8</v>
      </c>
      <c r="O927" s="5" t="str">
        <f>_xlfn.IFS('Data set'!$H927&lt;5.7,"Normal",'Data set'!$H927&lt;=6.4,"Prediabetes",'Data set'!$H927&lt;=7.5,"Diabetes",'Data set'!$H927&gt;=7.5,"Uncontrolled")</f>
        <v>Uncontrolled</v>
      </c>
      <c r="P927" s="5" t="str">
        <f>_xlfn.IFS('Data set'!$F927&lt;120,"Low",'Data set'!$F927&lt;=200,"Normal",'Data set'!$F927&lt;=240,"Boarderline",'Data set'!$F927&gt;=241,"High")</f>
        <v>Normal</v>
      </c>
      <c r="Q927" s="5" t="str">
        <f>_xlfn.IFS('Data set'!$D927&lt;=18.5,"Low",'Data set'!$D927&lt;=24.9,"Normal",'Data set'!$D927&lt;=29.9,"High",'Data set'!$D927&gt;29.9,"Very High")</f>
        <v>Normal</v>
      </c>
    </row>
    <row r="928" spans="1:17" x14ac:dyDescent="0.25">
      <c r="A928" s="3">
        <v>52</v>
      </c>
      <c r="B928" s="3" t="s">
        <v>0</v>
      </c>
      <c r="C928" s="4">
        <v>209.65</v>
      </c>
      <c r="D928" s="4">
        <v>27.51</v>
      </c>
      <c r="E928" s="3" t="s">
        <v>1</v>
      </c>
      <c r="F928" s="3">
        <v>156</v>
      </c>
      <c r="G928" s="3" t="s">
        <v>53</v>
      </c>
      <c r="H928" s="4">
        <v>8.7799999999999994</v>
      </c>
      <c r="I928" s="3">
        <v>1</v>
      </c>
      <c r="J928" s="3" t="s">
        <v>3</v>
      </c>
      <c r="K928" s="3" t="s">
        <v>3</v>
      </c>
      <c r="L928" s="3">
        <v>90</v>
      </c>
      <c r="M928" s="3">
        <v>79</v>
      </c>
      <c r="N928" s="3" t="s">
        <v>8</v>
      </c>
      <c r="O928" s="3" t="str">
        <f>_xlfn.IFS('Data set'!$H928&lt;5.7,"Normal",'Data set'!$H928&lt;=6.4,"Prediabetes",'Data set'!$H928&lt;=7.5,"Diabetes",'Data set'!$H928&gt;=7.5,"Uncontrolled")</f>
        <v>Uncontrolled</v>
      </c>
      <c r="P928" s="3" t="str">
        <f>_xlfn.IFS('Data set'!$F928&lt;120,"Low",'Data set'!$F928&lt;=200,"Normal",'Data set'!$F928&lt;=240,"Boarderline",'Data set'!$F928&gt;=241,"High")</f>
        <v>Normal</v>
      </c>
      <c r="Q928" s="3" t="str">
        <f>_xlfn.IFS('Data set'!$D928&lt;=18.5,"Low",'Data set'!$D928&lt;=24.9,"Normal",'Data set'!$D928&lt;=29.9,"High",'Data set'!$D928&gt;29.9,"Very High")</f>
        <v>High</v>
      </c>
    </row>
    <row r="929" spans="1:17" x14ac:dyDescent="0.25">
      <c r="A929" s="5">
        <v>69</v>
      </c>
      <c r="B929" s="5" t="s">
        <v>9</v>
      </c>
      <c r="C929" s="6">
        <v>215.1</v>
      </c>
      <c r="D929" s="6">
        <v>31.53</v>
      </c>
      <c r="E929" s="5" t="s">
        <v>14</v>
      </c>
      <c r="F929" s="5">
        <v>204</v>
      </c>
      <c r="G929" s="5" t="s">
        <v>711</v>
      </c>
      <c r="H929" s="6">
        <v>5.58</v>
      </c>
      <c r="I929" s="5">
        <v>7</v>
      </c>
      <c r="J929" s="5" t="s">
        <v>4</v>
      </c>
      <c r="K929" s="5" t="s">
        <v>4</v>
      </c>
      <c r="L929" s="5">
        <v>106</v>
      </c>
      <c r="M929" s="5">
        <v>88</v>
      </c>
      <c r="N929" s="5" t="s">
        <v>21</v>
      </c>
      <c r="O929" s="5" t="str">
        <f>_xlfn.IFS('Data set'!$H929&lt;5.7,"Normal",'Data set'!$H929&lt;=6.4,"Prediabetes",'Data set'!$H929&lt;=7.5,"Diabetes",'Data set'!$H929&gt;=7.5,"Uncontrolled")</f>
        <v>Normal</v>
      </c>
      <c r="P929" s="5" t="str">
        <f>_xlfn.IFS('Data set'!$F929&lt;120,"Low",'Data set'!$F929&lt;=200,"Normal",'Data set'!$F929&lt;=240,"Boarderline",'Data set'!$F929&gt;=241,"High")</f>
        <v>Boarderline</v>
      </c>
      <c r="Q929" s="5" t="str">
        <f>_xlfn.IFS('Data set'!$D929&lt;=18.5,"Low",'Data set'!$D929&lt;=24.9,"Normal",'Data set'!$D929&lt;=29.9,"High",'Data set'!$D929&gt;29.9,"Very High")</f>
        <v>Very High</v>
      </c>
    </row>
    <row r="930" spans="1:17" x14ac:dyDescent="0.25">
      <c r="A930" s="3">
        <v>42</v>
      </c>
      <c r="B930" s="3" t="s">
        <v>0</v>
      </c>
      <c r="C930" s="4">
        <v>143.93</v>
      </c>
      <c r="D930" s="4">
        <v>38.090000000000003</v>
      </c>
      <c r="E930" s="3" t="s">
        <v>1</v>
      </c>
      <c r="F930" s="3">
        <v>185</v>
      </c>
      <c r="G930" s="3" t="s">
        <v>712</v>
      </c>
      <c r="H930" s="4">
        <v>8.31</v>
      </c>
      <c r="I930" s="3">
        <v>6</v>
      </c>
      <c r="J930" s="3" t="s">
        <v>4</v>
      </c>
      <c r="K930" s="3" t="s">
        <v>4</v>
      </c>
      <c r="L930" s="3">
        <v>112</v>
      </c>
      <c r="M930" s="3">
        <v>78</v>
      </c>
      <c r="N930" s="3" t="s">
        <v>23</v>
      </c>
      <c r="O930" s="3" t="str">
        <f>_xlfn.IFS('Data set'!$H930&lt;5.7,"Normal",'Data set'!$H930&lt;=6.4,"Prediabetes",'Data set'!$H930&lt;=7.5,"Diabetes",'Data set'!$H930&gt;=7.5,"Uncontrolled")</f>
        <v>Uncontrolled</v>
      </c>
      <c r="P930" s="3" t="str">
        <f>_xlfn.IFS('Data set'!$F930&lt;120,"Low",'Data set'!$F930&lt;=200,"Normal",'Data set'!$F930&lt;=240,"Boarderline",'Data set'!$F930&gt;=241,"High")</f>
        <v>Normal</v>
      </c>
      <c r="Q930" s="3" t="str">
        <f>_xlfn.IFS('Data set'!$D930&lt;=18.5,"Low",'Data set'!$D930&lt;=24.9,"Normal",'Data set'!$D930&lt;=29.9,"High",'Data set'!$D930&gt;29.9,"Very High")</f>
        <v>Very High</v>
      </c>
    </row>
    <row r="931" spans="1:17" x14ac:dyDescent="0.25">
      <c r="A931" s="5">
        <v>41</v>
      </c>
      <c r="B931" s="5" t="s">
        <v>0</v>
      </c>
      <c r="C931" s="6">
        <v>275.88</v>
      </c>
      <c r="D931" s="6">
        <v>26.06</v>
      </c>
      <c r="E931" s="5" t="s">
        <v>10</v>
      </c>
      <c r="F931" s="5">
        <v>296</v>
      </c>
      <c r="G931" s="5" t="s">
        <v>95</v>
      </c>
      <c r="H931" s="6">
        <v>5.64</v>
      </c>
      <c r="I931" s="5">
        <v>6</v>
      </c>
      <c r="J931" s="5" t="s">
        <v>4</v>
      </c>
      <c r="K931" s="5" t="s">
        <v>4</v>
      </c>
      <c r="L931" s="5">
        <v>103</v>
      </c>
      <c r="M931" s="5">
        <v>76</v>
      </c>
      <c r="N931" s="5" t="s">
        <v>23</v>
      </c>
      <c r="O931" s="5" t="str">
        <f>_xlfn.IFS('Data set'!$H931&lt;5.7,"Normal",'Data set'!$H931&lt;=6.4,"Prediabetes",'Data set'!$H931&lt;=7.5,"Diabetes",'Data set'!$H931&gt;=7.5,"Uncontrolled")</f>
        <v>Normal</v>
      </c>
      <c r="P931" s="5" t="str">
        <f>_xlfn.IFS('Data set'!$F931&lt;120,"Low",'Data set'!$F931&lt;=200,"Normal",'Data set'!$F931&lt;=240,"Boarderline",'Data set'!$F931&gt;=241,"High")</f>
        <v>High</v>
      </c>
      <c r="Q931" s="5" t="str">
        <f>_xlfn.IFS('Data set'!$D931&lt;=18.5,"Low",'Data set'!$D931&lt;=24.9,"Normal",'Data set'!$D931&lt;=29.9,"High",'Data set'!$D931&gt;29.9,"Very High")</f>
        <v>High</v>
      </c>
    </row>
    <row r="932" spans="1:17" x14ac:dyDescent="0.25">
      <c r="A932" s="3">
        <v>62</v>
      </c>
      <c r="B932" s="3" t="s">
        <v>0</v>
      </c>
      <c r="C932" s="4">
        <v>254.3</v>
      </c>
      <c r="D932" s="4">
        <v>26.56</v>
      </c>
      <c r="E932" s="3" t="s">
        <v>1</v>
      </c>
      <c r="F932" s="3">
        <v>150</v>
      </c>
      <c r="G932" s="3" t="s">
        <v>103</v>
      </c>
      <c r="H932" s="4">
        <v>5.42</v>
      </c>
      <c r="I932" s="3">
        <v>1</v>
      </c>
      <c r="J932" s="3" t="s">
        <v>4</v>
      </c>
      <c r="K932" s="3" t="s">
        <v>3</v>
      </c>
      <c r="L932" s="3">
        <v>112</v>
      </c>
      <c r="M932" s="3">
        <v>83</v>
      </c>
      <c r="N932" s="3" t="s">
        <v>21</v>
      </c>
      <c r="O932" s="3" t="str">
        <f>_xlfn.IFS('Data set'!$H932&lt;5.7,"Normal",'Data set'!$H932&lt;=6.4,"Prediabetes",'Data set'!$H932&lt;=7.5,"Diabetes",'Data set'!$H932&gt;=7.5,"Uncontrolled")</f>
        <v>Normal</v>
      </c>
      <c r="P932" s="3" t="str">
        <f>_xlfn.IFS('Data set'!$F932&lt;120,"Low",'Data set'!$F932&lt;=200,"Normal",'Data set'!$F932&lt;=240,"Boarderline",'Data set'!$F932&gt;=241,"High")</f>
        <v>Normal</v>
      </c>
      <c r="Q932" s="3" t="str">
        <f>_xlfn.IFS('Data set'!$D932&lt;=18.5,"Low",'Data set'!$D932&lt;=24.9,"Normal",'Data set'!$D932&lt;=29.9,"High",'Data set'!$D932&gt;29.9,"Very High")</f>
        <v>High</v>
      </c>
    </row>
    <row r="933" spans="1:17" x14ac:dyDescent="0.25">
      <c r="A933" s="5">
        <v>33</v>
      </c>
      <c r="B933" s="5" t="s">
        <v>0</v>
      </c>
      <c r="C933" s="6">
        <v>169.64</v>
      </c>
      <c r="D933" s="6">
        <v>33.31</v>
      </c>
      <c r="E933" s="5" t="s">
        <v>6</v>
      </c>
      <c r="F933" s="5">
        <v>141</v>
      </c>
      <c r="G933" s="5" t="s">
        <v>713</v>
      </c>
      <c r="H933" s="6">
        <v>6</v>
      </c>
      <c r="I933" s="5">
        <v>1</v>
      </c>
      <c r="J933" s="5" t="s">
        <v>4</v>
      </c>
      <c r="K933" s="5" t="s">
        <v>4</v>
      </c>
      <c r="L933" s="5">
        <v>113</v>
      </c>
      <c r="M933" s="5">
        <v>79</v>
      </c>
      <c r="N933" s="5" t="s">
        <v>12</v>
      </c>
      <c r="O933" s="5" t="str">
        <f>_xlfn.IFS('Data set'!$H933&lt;5.7,"Normal",'Data set'!$H933&lt;=6.4,"Prediabetes",'Data set'!$H933&lt;=7.5,"Diabetes",'Data set'!$H933&gt;=7.5,"Uncontrolled")</f>
        <v>Prediabetes</v>
      </c>
      <c r="P933" s="5" t="str">
        <f>_xlfn.IFS('Data set'!$F933&lt;120,"Low",'Data set'!$F933&lt;=200,"Normal",'Data set'!$F933&lt;=240,"Boarderline",'Data set'!$F933&gt;=241,"High")</f>
        <v>Normal</v>
      </c>
      <c r="Q933" s="5" t="str">
        <f>_xlfn.IFS('Data set'!$D933&lt;=18.5,"Low",'Data set'!$D933&lt;=24.9,"Normal",'Data set'!$D933&lt;=29.9,"High",'Data set'!$D933&gt;29.9,"Very High")</f>
        <v>Very High</v>
      </c>
    </row>
    <row r="934" spans="1:17" x14ac:dyDescent="0.25">
      <c r="A934" s="3">
        <v>66</v>
      </c>
      <c r="B934" s="3" t="s">
        <v>0</v>
      </c>
      <c r="C934" s="4">
        <v>242.16</v>
      </c>
      <c r="D934" s="4">
        <v>22.14</v>
      </c>
      <c r="E934" s="3" t="s">
        <v>14</v>
      </c>
      <c r="F934" s="3">
        <v>204</v>
      </c>
      <c r="G934" s="3" t="s">
        <v>294</v>
      </c>
      <c r="H934" s="4">
        <v>7.5</v>
      </c>
      <c r="I934" s="3">
        <v>5</v>
      </c>
      <c r="J934" s="3" t="s">
        <v>4</v>
      </c>
      <c r="K934" s="3" t="s">
        <v>4</v>
      </c>
      <c r="L934" s="3">
        <v>94</v>
      </c>
      <c r="M934" s="3">
        <v>66</v>
      </c>
      <c r="N934" s="3" t="s">
        <v>21</v>
      </c>
      <c r="O934" s="3" t="str">
        <f>_xlfn.IFS('Data set'!$H934&lt;5.7,"Normal",'Data set'!$H934&lt;=6.4,"Prediabetes",'Data set'!$H934&lt;=7.5,"Diabetes",'Data set'!$H934&gt;=7.5,"Uncontrolled")</f>
        <v>Diabetes</v>
      </c>
      <c r="P934" s="3" t="str">
        <f>_xlfn.IFS('Data set'!$F934&lt;120,"Low",'Data set'!$F934&lt;=200,"Normal",'Data set'!$F934&lt;=240,"Boarderline",'Data set'!$F934&gt;=241,"High")</f>
        <v>Boarderline</v>
      </c>
      <c r="Q934" s="3" t="str">
        <f>_xlfn.IFS('Data set'!$D934&lt;=18.5,"Low",'Data set'!$D934&lt;=24.9,"Normal",'Data set'!$D934&lt;=29.9,"High",'Data set'!$D934&gt;29.9,"Very High")</f>
        <v>Normal</v>
      </c>
    </row>
    <row r="935" spans="1:17" x14ac:dyDescent="0.25">
      <c r="A935" s="5">
        <v>30</v>
      </c>
      <c r="B935" s="5" t="s">
        <v>0</v>
      </c>
      <c r="C935" s="6">
        <v>234.74</v>
      </c>
      <c r="D935" s="6">
        <v>22.62</v>
      </c>
      <c r="E935" s="5" t="s">
        <v>14</v>
      </c>
      <c r="F935" s="5">
        <v>171</v>
      </c>
      <c r="G935" s="5" t="s">
        <v>429</v>
      </c>
      <c r="H935" s="6">
        <v>4.2</v>
      </c>
      <c r="I935" s="5">
        <v>6</v>
      </c>
      <c r="J935" s="5" t="s">
        <v>4</v>
      </c>
      <c r="K935" s="5" t="s">
        <v>4</v>
      </c>
      <c r="L935" s="5">
        <v>125</v>
      </c>
      <c r="M935" s="5">
        <v>76</v>
      </c>
      <c r="N935" s="5" t="s">
        <v>17</v>
      </c>
      <c r="O935" s="5" t="str">
        <f>_xlfn.IFS('Data set'!$H935&lt;5.7,"Normal",'Data set'!$H935&lt;=6.4,"Prediabetes",'Data set'!$H935&lt;=7.5,"Diabetes",'Data set'!$H935&gt;=7.5,"Uncontrolled")</f>
        <v>Normal</v>
      </c>
      <c r="P935" s="5" t="str">
        <f>_xlfn.IFS('Data set'!$F935&lt;120,"Low",'Data set'!$F935&lt;=200,"Normal",'Data set'!$F935&lt;=240,"Boarderline",'Data set'!$F935&gt;=241,"High")</f>
        <v>Normal</v>
      </c>
      <c r="Q935" s="5" t="str">
        <f>_xlfn.IFS('Data set'!$D935&lt;=18.5,"Low",'Data set'!$D935&lt;=24.9,"Normal",'Data set'!$D935&lt;=29.9,"High",'Data set'!$D935&gt;29.9,"Very High")</f>
        <v>Normal</v>
      </c>
    </row>
    <row r="936" spans="1:17" x14ac:dyDescent="0.25">
      <c r="A936" s="3">
        <v>71</v>
      </c>
      <c r="B936" s="3" t="s">
        <v>0</v>
      </c>
      <c r="C936" s="4">
        <v>256.07</v>
      </c>
      <c r="D936" s="4">
        <v>38.159999999999997</v>
      </c>
      <c r="E936" s="3" t="s">
        <v>6</v>
      </c>
      <c r="F936" s="3">
        <v>107</v>
      </c>
      <c r="G936" s="3" t="s">
        <v>714</v>
      </c>
      <c r="H936" s="4">
        <v>4.82</v>
      </c>
      <c r="I936" s="3">
        <v>5</v>
      </c>
      <c r="J936" s="3" t="s">
        <v>4</v>
      </c>
      <c r="K936" s="3" t="s">
        <v>4</v>
      </c>
      <c r="L936" s="3">
        <v>105</v>
      </c>
      <c r="M936" s="3">
        <v>64</v>
      </c>
      <c r="N936" s="3" t="s">
        <v>5</v>
      </c>
      <c r="O936" s="3" t="str">
        <f>_xlfn.IFS('Data set'!$H936&lt;5.7,"Normal",'Data set'!$H936&lt;=6.4,"Prediabetes",'Data set'!$H936&lt;=7.5,"Diabetes",'Data set'!$H936&gt;=7.5,"Uncontrolled")</f>
        <v>Normal</v>
      </c>
      <c r="P936" s="3" t="str">
        <f>_xlfn.IFS('Data set'!$F936&lt;120,"Low",'Data set'!$F936&lt;=200,"Normal",'Data set'!$F936&lt;=240,"Boarderline",'Data set'!$F936&gt;=241,"High")</f>
        <v>Low</v>
      </c>
      <c r="Q936" s="3" t="str">
        <f>_xlfn.IFS('Data set'!$D936&lt;=18.5,"Low",'Data set'!$D936&lt;=24.9,"Normal",'Data set'!$D936&lt;=29.9,"High",'Data set'!$D936&gt;29.9,"Very High")</f>
        <v>Very High</v>
      </c>
    </row>
    <row r="937" spans="1:17" x14ac:dyDescent="0.25">
      <c r="A937" s="5">
        <v>20</v>
      </c>
      <c r="B937" s="5" t="s">
        <v>0</v>
      </c>
      <c r="C937" s="6">
        <v>114.58</v>
      </c>
      <c r="D937" s="6">
        <v>32.79</v>
      </c>
      <c r="E937" s="5" t="s">
        <v>6</v>
      </c>
      <c r="F937" s="5">
        <v>269</v>
      </c>
      <c r="G937" s="5" t="s">
        <v>22</v>
      </c>
      <c r="H937" s="6">
        <v>9.85</v>
      </c>
      <c r="I937" s="5">
        <v>2</v>
      </c>
      <c r="J937" s="5" t="s">
        <v>4</v>
      </c>
      <c r="K937" s="5" t="s">
        <v>4</v>
      </c>
      <c r="L937" s="5">
        <v>98</v>
      </c>
      <c r="M937" s="5">
        <v>60</v>
      </c>
      <c r="N937" s="5" t="s">
        <v>17</v>
      </c>
      <c r="O937" s="5" t="str">
        <f>_xlfn.IFS('Data set'!$H937&lt;5.7,"Normal",'Data set'!$H937&lt;=6.4,"Prediabetes",'Data set'!$H937&lt;=7.5,"Diabetes",'Data set'!$H937&gt;=7.5,"Uncontrolled")</f>
        <v>Uncontrolled</v>
      </c>
      <c r="P937" s="5" t="str">
        <f>_xlfn.IFS('Data set'!$F937&lt;120,"Low",'Data set'!$F937&lt;=200,"Normal",'Data set'!$F937&lt;=240,"Boarderline",'Data set'!$F937&gt;=241,"High")</f>
        <v>High</v>
      </c>
      <c r="Q937" s="5" t="str">
        <f>_xlfn.IFS('Data set'!$D937&lt;=18.5,"Low",'Data set'!$D937&lt;=24.9,"Normal",'Data set'!$D937&lt;=29.9,"High",'Data set'!$D937&gt;29.9,"Very High")</f>
        <v>Very High</v>
      </c>
    </row>
    <row r="938" spans="1:17" x14ac:dyDescent="0.25">
      <c r="A938" s="3">
        <v>48</v>
      </c>
      <c r="B938" s="3" t="s">
        <v>9</v>
      </c>
      <c r="C938" s="4">
        <v>108.47</v>
      </c>
      <c r="D938" s="4">
        <v>37.82</v>
      </c>
      <c r="E938" s="3" t="s">
        <v>10</v>
      </c>
      <c r="F938" s="3">
        <v>156</v>
      </c>
      <c r="G938" s="3" t="s">
        <v>715</v>
      </c>
      <c r="H938" s="4">
        <v>6.18</v>
      </c>
      <c r="I938" s="3">
        <v>3</v>
      </c>
      <c r="J938" s="3" t="s">
        <v>3</v>
      </c>
      <c r="K938" s="3" t="s">
        <v>3</v>
      </c>
      <c r="L938" s="3">
        <v>129</v>
      </c>
      <c r="M938" s="3">
        <v>71</v>
      </c>
      <c r="N938" s="3" t="s">
        <v>23</v>
      </c>
      <c r="O938" s="3" t="str">
        <f>_xlfn.IFS('Data set'!$H938&lt;5.7,"Normal",'Data set'!$H938&lt;=6.4,"Prediabetes",'Data set'!$H938&lt;=7.5,"Diabetes",'Data set'!$H938&gt;=7.5,"Uncontrolled")</f>
        <v>Prediabetes</v>
      </c>
      <c r="P938" s="3" t="str">
        <f>_xlfn.IFS('Data set'!$F938&lt;120,"Low",'Data set'!$F938&lt;=200,"Normal",'Data set'!$F938&lt;=240,"Boarderline",'Data set'!$F938&gt;=241,"High")</f>
        <v>Normal</v>
      </c>
      <c r="Q938" s="3" t="str">
        <f>_xlfn.IFS('Data set'!$D938&lt;=18.5,"Low",'Data set'!$D938&lt;=24.9,"Normal",'Data set'!$D938&lt;=29.9,"High",'Data set'!$D938&gt;29.9,"Very High")</f>
        <v>Very High</v>
      </c>
    </row>
    <row r="939" spans="1:17" x14ac:dyDescent="0.25">
      <c r="A939" s="5">
        <v>42</v>
      </c>
      <c r="B939" s="5" t="s">
        <v>0</v>
      </c>
      <c r="C939" s="6">
        <v>202.71</v>
      </c>
      <c r="D939" s="6">
        <v>32.58</v>
      </c>
      <c r="E939" s="5" t="s">
        <v>6</v>
      </c>
      <c r="F939" s="5">
        <v>115</v>
      </c>
      <c r="G939" s="5" t="s">
        <v>716</v>
      </c>
      <c r="H939" s="6">
        <v>8.26</v>
      </c>
      <c r="I939" s="5">
        <v>5</v>
      </c>
      <c r="J939" s="5" t="s">
        <v>4</v>
      </c>
      <c r="K939" s="5" t="s">
        <v>3</v>
      </c>
      <c r="L939" s="5">
        <v>125</v>
      </c>
      <c r="M939" s="5">
        <v>89</v>
      </c>
      <c r="N939" s="5" t="s">
        <v>23</v>
      </c>
      <c r="O939" s="5" t="str">
        <f>_xlfn.IFS('Data set'!$H939&lt;5.7,"Normal",'Data set'!$H939&lt;=6.4,"Prediabetes",'Data set'!$H939&lt;=7.5,"Diabetes",'Data set'!$H939&gt;=7.5,"Uncontrolled")</f>
        <v>Uncontrolled</v>
      </c>
      <c r="P939" s="5" t="str">
        <f>_xlfn.IFS('Data set'!$F939&lt;120,"Low",'Data set'!$F939&lt;=200,"Normal",'Data set'!$F939&lt;=240,"Boarderline",'Data set'!$F939&gt;=241,"High")</f>
        <v>Low</v>
      </c>
      <c r="Q939" s="5" t="str">
        <f>_xlfn.IFS('Data set'!$D939&lt;=18.5,"Low",'Data set'!$D939&lt;=24.9,"Normal",'Data set'!$D939&lt;=29.9,"High",'Data set'!$D939&gt;29.9,"Very High")</f>
        <v>Very High</v>
      </c>
    </row>
    <row r="940" spans="1:17" x14ac:dyDescent="0.25">
      <c r="A940" s="3">
        <v>21</v>
      </c>
      <c r="B940" s="3" t="s">
        <v>0</v>
      </c>
      <c r="C940" s="4">
        <v>195.99</v>
      </c>
      <c r="D940" s="4">
        <v>34.33</v>
      </c>
      <c r="E940" s="3" t="s">
        <v>6</v>
      </c>
      <c r="F940" s="3">
        <v>123</v>
      </c>
      <c r="G940" s="3" t="s">
        <v>717</v>
      </c>
      <c r="H940" s="4">
        <v>8.35</v>
      </c>
      <c r="I940" s="3">
        <v>5</v>
      </c>
      <c r="J940" s="3" t="s">
        <v>3</v>
      </c>
      <c r="K940" s="3" t="s">
        <v>3</v>
      </c>
      <c r="L940" s="3">
        <v>90</v>
      </c>
      <c r="M940" s="3">
        <v>87</v>
      </c>
      <c r="N940" s="3" t="s">
        <v>17</v>
      </c>
      <c r="O940" s="3" t="str">
        <f>_xlfn.IFS('Data set'!$H940&lt;5.7,"Normal",'Data set'!$H940&lt;=6.4,"Prediabetes",'Data set'!$H940&lt;=7.5,"Diabetes",'Data set'!$H940&gt;=7.5,"Uncontrolled")</f>
        <v>Uncontrolled</v>
      </c>
      <c r="P940" s="3" t="str">
        <f>_xlfn.IFS('Data set'!$F940&lt;120,"Low",'Data set'!$F940&lt;=200,"Normal",'Data set'!$F940&lt;=240,"Boarderline",'Data set'!$F940&gt;=241,"High")</f>
        <v>Normal</v>
      </c>
      <c r="Q940" s="3" t="str">
        <f>_xlfn.IFS('Data set'!$D940&lt;=18.5,"Low",'Data set'!$D940&lt;=24.9,"Normal",'Data set'!$D940&lt;=29.9,"High",'Data set'!$D940&gt;29.9,"Very High")</f>
        <v>Very High</v>
      </c>
    </row>
    <row r="941" spans="1:17" x14ac:dyDescent="0.25">
      <c r="A941" s="5">
        <v>65</v>
      </c>
      <c r="B941" s="5" t="s">
        <v>9</v>
      </c>
      <c r="C941" s="6">
        <v>133.59</v>
      </c>
      <c r="D941" s="6">
        <v>33.6</v>
      </c>
      <c r="E941" s="5" t="s">
        <v>6</v>
      </c>
      <c r="F941" s="5">
        <v>136</v>
      </c>
      <c r="G941" s="5" t="s">
        <v>432</v>
      </c>
      <c r="H941" s="6">
        <v>6.98</v>
      </c>
      <c r="I941" s="5">
        <v>5</v>
      </c>
      <c r="J941" s="5" t="s">
        <v>3</v>
      </c>
      <c r="K941" s="5" t="s">
        <v>3</v>
      </c>
      <c r="L941" s="5">
        <v>108</v>
      </c>
      <c r="M941" s="5">
        <v>80</v>
      </c>
      <c r="N941" s="5" t="s">
        <v>21</v>
      </c>
      <c r="O941" s="5" t="str">
        <f>_xlfn.IFS('Data set'!$H941&lt;5.7,"Normal",'Data set'!$H941&lt;=6.4,"Prediabetes",'Data set'!$H941&lt;=7.5,"Diabetes",'Data set'!$H941&gt;=7.5,"Uncontrolled")</f>
        <v>Diabetes</v>
      </c>
      <c r="P941" s="5" t="str">
        <f>_xlfn.IFS('Data set'!$F941&lt;120,"Low",'Data set'!$F941&lt;=200,"Normal",'Data set'!$F941&lt;=240,"Boarderline",'Data set'!$F941&gt;=241,"High")</f>
        <v>Normal</v>
      </c>
      <c r="Q941" s="5" t="str">
        <f>_xlfn.IFS('Data set'!$D941&lt;=18.5,"Low",'Data set'!$D941&lt;=24.9,"Normal",'Data set'!$D941&lt;=29.9,"High",'Data set'!$D941&gt;29.9,"Very High")</f>
        <v>Very High</v>
      </c>
    </row>
    <row r="942" spans="1:17" x14ac:dyDescent="0.25">
      <c r="A942" s="3">
        <v>75</v>
      </c>
      <c r="B942" s="3" t="s">
        <v>0</v>
      </c>
      <c r="C942" s="4">
        <v>196.18</v>
      </c>
      <c r="D942" s="4">
        <v>22.11</v>
      </c>
      <c r="E942" s="3" t="s">
        <v>1</v>
      </c>
      <c r="F942" s="3">
        <v>191</v>
      </c>
      <c r="G942" s="3" t="s">
        <v>718</v>
      </c>
      <c r="H942" s="4">
        <v>8.43</v>
      </c>
      <c r="I942" s="3">
        <v>0</v>
      </c>
      <c r="J942" s="3" t="s">
        <v>4</v>
      </c>
      <c r="K942" s="3" t="s">
        <v>4</v>
      </c>
      <c r="L942" s="3">
        <v>115</v>
      </c>
      <c r="M942" s="3">
        <v>76</v>
      </c>
      <c r="N942" s="3" t="s">
        <v>5</v>
      </c>
      <c r="O942" s="3" t="str">
        <f>_xlfn.IFS('Data set'!$H942&lt;5.7,"Normal",'Data set'!$H942&lt;=6.4,"Prediabetes",'Data set'!$H942&lt;=7.5,"Diabetes",'Data set'!$H942&gt;=7.5,"Uncontrolled")</f>
        <v>Uncontrolled</v>
      </c>
      <c r="P942" s="3" t="str">
        <f>_xlfn.IFS('Data set'!$F942&lt;120,"Low",'Data set'!$F942&lt;=200,"Normal",'Data set'!$F942&lt;=240,"Boarderline",'Data set'!$F942&gt;=241,"High")</f>
        <v>Normal</v>
      </c>
      <c r="Q942" s="3" t="str">
        <f>_xlfn.IFS('Data set'!$D942&lt;=18.5,"Low",'Data set'!$D942&lt;=24.9,"Normal",'Data set'!$D942&lt;=29.9,"High",'Data set'!$D942&gt;29.9,"Very High")</f>
        <v>Normal</v>
      </c>
    </row>
    <row r="943" spans="1:17" x14ac:dyDescent="0.25">
      <c r="A943" s="5">
        <v>19</v>
      </c>
      <c r="B943" s="5" t="s">
        <v>9</v>
      </c>
      <c r="C943" s="6">
        <v>242.32</v>
      </c>
      <c r="D943" s="6">
        <v>21.57</v>
      </c>
      <c r="E943" s="5" t="s">
        <v>1</v>
      </c>
      <c r="F943" s="5">
        <v>156</v>
      </c>
      <c r="G943" s="5" t="s">
        <v>393</v>
      </c>
      <c r="H943" s="6">
        <v>8.17</v>
      </c>
      <c r="I943" s="5">
        <v>4</v>
      </c>
      <c r="J943" s="5" t="s">
        <v>3</v>
      </c>
      <c r="K943" s="5" t="s">
        <v>4</v>
      </c>
      <c r="L943" s="5">
        <v>93</v>
      </c>
      <c r="M943" s="5">
        <v>61</v>
      </c>
      <c r="N943" s="5" t="s">
        <v>17</v>
      </c>
      <c r="O943" s="5" t="str">
        <f>_xlfn.IFS('Data set'!$H943&lt;5.7,"Normal",'Data set'!$H943&lt;=6.4,"Prediabetes",'Data set'!$H943&lt;=7.5,"Diabetes",'Data set'!$H943&gt;=7.5,"Uncontrolled")</f>
        <v>Uncontrolled</v>
      </c>
      <c r="P943" s="5" t="str">
        <f>_xlfn.IFS('Data set'!$F943&lt;120,"Low",'Data set'!$F943&lt;=200,"Normal",'Data set'!$F943&lt;=240,"Boarderline",'Data set'!$F943&gt;=241,"High")</f>
        <v>Normal</v>
      </c>
      <c r="Q943" s="5" t="str">
        <f>_xlfn.IFS('Data set'!$D943&lt;=18.5,"Low",'Data set'!$D943&lt;=24.9,"Normal",'Data set'!$D943&lt;=29.9,"High",'Data set'!$D943&gt;29.9,"Very High")</f>
        <v>Normal</v>
      </c>
    </row>
    <row r="944" spans="1:17" x14ac:dyDescent="0.25">
      <c r="A944" s="3">
        <v>56</v>
      </c>
      <c r="B944" s="3" t="s">
        <v>0</v>
      </c>
      <c r="C944" s="4">
        <v>184.67</v>
      </c>
      <c r="D944" s="4">
        <v>23.66</v>
      </c>
      <c r="E944" s="3" t="s">
        <v>6</v>
      </c>
      <c r="F944" s="3">
        <v>134</v>
      </c>
      <c r="G944" s="3" t="s">
        <v>505</v>
      </c>
      <c r="H944" s="4">
        <v>8.93</v>
      </c>
      <c r="I944" s="3">
        <v>5</v>
      </c>
      <c r="J944" s="3" t="s">
        <v>3</v>
      </c>
      <c r="K944" s="3" t="s">
        <v>3</v>
      </c>
      <c r="L944" s="3">
        <v>91</v>
      </c>
      <c r="M944" s="3">
        <v>65</v>
      </c>
      <c r="N944" s="3" t="s">
        <v>8</v>
      </c>
      <c r="O944" s="3" t="str">
        <f>_xlfn.IFS('Data set'!$H944&lt;5.7,"Normal",'Data set'!$H944&lt;=6.4,"Prediabetes",'Data set'!$H944&lt;=7.5,"Diabetes",'Data set'!$H944&gt;=7.5,"Uncontrolled")</f>
        <v>Uncontrolled</v>
      </c>
      <c r="P944" s="3" t="str">
        <f>_xlfn.IFS('Data set'!$F944&lt;120,"Low",'Data set'!$F944&lt;=200,"Normal",'Data set'!$F944&lt;=240,"Boarderline",'Data set'!$F944&gt;=241,"High")</f>
        <v>Normal</v>
      </c>
      <c r="Q944" s="3" t="str">
        <f>_xlfn.IFS('Data set'!$D944&lt;=18.5,"Low",'Data set'!$D944&lt;=24.9,"Normal",'Data set'!$D944&lt;=29.9,"High",'Data set'!$D944&gt;29.9,"Very High")</f>
        <v>Normal</v>
      </c>
    </row>
    <row r="945" spans="1:17" x14ac:dyDescent="0.25">
      <c r="A945" s="5">
        <v>18</v>
      </c>
      <c r="B945" s="5" t="s">
        <v>9</v>
      </c>
      <c r="C945" s="6">
        <v>234.97</v>
      </c>
      <c r="D945" s="6">
        <v>32.18</v>
      </c>
      <c r="E945" s="5" t="s">
        <v>14</v>
      </c>
      <c r="F945" s="5">
        <v>145</v>
      </c>
      <c r="G945" s="5" t="s">
        <v>719</v>
      </c>
      <c r="H945" s="6">
        <v>4.57</v>
      </c>
      <c r="I945" s="5">
        <v>5</v>
      </c>
      <c r="J945" s="5" t="s">
        <v>3</v>
      </c>
      <c r="K945" s="5" t="s">
        <v>4</v>
      </c>
      <c r="L945" s="5">
        <v>120</v>
      </c>
      <c r="M945" s="5">
        <v>73</v>
      </c>
      <c r="N945" s="5" t="s">
        <v>17</v>
      </c>
      <c r="O945" s="5" t="str">
        <f>_xlfn.IFS('Data set'!$H945&lt;5.7,"Normal",'Data set'!$H945&lt;=6.4,"Prediabetes",'Data set'!$H945&lt;=7.5,"Diabetes",'Data set'!$H945&gt;=7.5,"Uncontrolled")</f>
        <v>Normal</v>
      </c>
      <c r="P945" s="5" t="str">
        <f>_xlfn.IFS('Data set'!$F945&lt;120,"Low",'Data set'!$F945&lt;=200,"Normal",'Data set'!$F945&lt;=240,"Boarderline",'Data set'!$F945&gt;=241,"High")</f>
        <v>Normal</v>
      </c>
      <c r="Q945" s="5" t="str">
        <f>_xlfn.IFS('Data set'!$D945&lt;=18.5,"Low",'Data set'!$D945&lt;=24.9,"Normal",'Data set'!$D945&lt;=29.9,"High",'Data set'!$D945&gt;29.9,"Very High")</f>
        <v>Very High</v>
      </c>
    </row>
    <row r="946" spans="1:17" x14ac:dyDescent="0.25">
      <c r="A946" s="3">
        <v>66</v>
      </c>
      <c r="B946" s="3" t="s">
        <v>0</v>
      </c>
      <c r="C946" s="4">
        <v>278.98</v>
      </c>
      <c r="D946" s="4">
        <v>26.27</v>
      </c>
      <c r="E946" s="3" t="s">
        <v>1</v>
      </c>
      <c r="F946" s="3">
        <v>242</v>
      </c>
      <c r="G946" s="3" t="s">
        <v>720</v>
      </c>
      <c r="H946" s="4">
        <v>6.51</v>
      </c>
      <c r="I946" s="3">
        <v>3</v>
      </c>
      <c r="J946" s="3" t="s">
        <v>3</v>
      </c>
      <c r="K946" s="3" t="s">
        <v>4</v>
      </c>
      <c r="L946" s="3">
        <v>113</v>
      </c>
      <c r="M946" s="3">
        <v>76</v>
      </c>
      <c r="N946" s="3" t="s">
        <v>21</v>
      </c>
      <c r="O946" s="3" t="str">
        <f>_xlfn.IFS('Data set'!$H946&lt;5.7,"Normal",'Data set'!$H946&lt;=6.4,"Prediabetes",'Data set'!$H946&lt;=7.5,"Diabetes",'Data set'!$H946&gt;=7.5,"Uncontrolled")</f>
        <v>Diabetes</v>
      </c>
      <c r="P946" s="3" t="str">
        <f>_xlfn.IFS('Data set'!$F946&lt;120,"Low",'Data set'!$F946&lt;=200,"Normal",'Data set'!$F946&lt;=240,"Boarderline",'Data set'!$F946&gt;=241,"High")</f>
        <v>High</v>
      </c>
      <c r="Q946" s="3" t="str">
        <f>_xlfn.IFS('Data set'!$D946&lt;=18.5,"Low",'Data set'!$D946&lt;=24.9,"Normal",'Data set'!$D946&lt;=29.9,"High",'Data set'!$D946&gt;29.9,"Very High")</f>
        <v>High</v>
      </c>
    </row>
    <row r="947" spans="1:17" x14ac:dyDescent="0.25">
      <c r="A947" s="5">
        <v>29</v>
      </c>
      <c r="B947" s="5" t="s">
        <v>9</v>
      </c>
      <c r="C947" s="6">
        <v>201.65</v>
      </c>
      <c r="D947" s="6">
        <v>21.19</v>
      </c>
      <c r="E947" s="5" t="s">
        <v>6</v>
      </c>
      <c r="F947" s="5">
        <v>263</v>
      </c>
      <c r="G947" s="5" t="s">
        <v>341</v>
      </c>
      <c r="H947" s="6">
        <v>8.07</v>
      </c>
      <c r="I947" s="5">
        <v>7</v>
      </c>
      <c r="J947" s="5" t="s">
        <v>3</v>
      </c>
      <c r="K947" s="5" t="s">
        <v>3</v>
      </c>
      <c r="L947" s="5">
        <v>97</v>
      </c>
      <c r="M947" s="5">
        <v>65</v>
      </c>
      <c r="N947" s="5" t="s">
        <v>17</v>
      </c>
      <c r="O947" s="5" t="str">
        <f>_xlfn.IFS('Data set'!$H947&lt;5.7,"Normal",'Data set'!$H947&lt;=6.4,"Prediabetes",'Data set'!$H947&lt;=7.5,"Diabetes",'Data set'!$H947&gt;=7.5,"Uncontrolled")</f>
        <v>Uncontrolled</v>
      </c>
      <c r="P947" s="5" t="str">
        <f>_xlfn.IFS('Data set'!$F947&lt;120,"Low",'Data set'!$F947&lt;=200,"Normal",'Data set'!$F947&lt;=240,"Boarderline",'Data set'!$F947&gt;=241,"High")</f>
        <v>High</v>
      </c>
      <c r="Q947" s="5" t="str">
        <f>_xlfn.IFS('Data set'!$D947&lt;=18.5,"Low",'Data set'!$D947&lt;=24.9,"Normal",'Data set'!$D947&lt;=29.9,"High",'Data set'!$D947&gt;29.9,"Very High")</f>
        <v>Normal</v>
      </c>
    </row>
    <row r="948" spans="1:17" x14ac:dyDescent="0.25">
      <c r="A948" s="3">
        <v>57</v>
      </c>
      <c r="B948" s="3" t="s">
        <v>9</v>
      </c>
      <c r="C948" s="4">
        <v>209.74</v>
      </c>
      <c r="D948" s="4">
        <v>37.9</v>
      </c>
      <c r="E948" s="3" t="s">
        <v>1</v>
      </c>
      <c r="F948" s="3">
        <v>189</v>
      </c>
      <c r="G948" s="3" t="s">
        <v>721</v>
      </c>
      <c r="H948" s="4">
        <v>5.19</v>
      </c>
      <c r="I948" s="3">
        <v>6</v>
      </c>
      <c r="J948" s="3" t="s">
        <v>3</v>
      </c>
      <c r="K948" s="3" t="s">
        <v>4</v>
      </c>
      <c r="L948" s="3">
        <v>135</v>
      </c>
      <c r="M948" s="3">
        <v>87</v>
      </c>
      <c r="N948" s="3" t="s">
        <v>8</v>
      </c>
      <c r="O948" s="3" t="str">
        <f>_xlfn.IFS('Data set'!$H948&lt;5.7,"Normal",'Data set'!$H948&lt;=6.4,"Prediabetes",'Data set'!$H948&lt;=7.5,"Diabetes",'Data set'!$H948&gt;=7.5,"Uncontrolled")</f>
        <v>Normal</v>
      </c>
      <c r="P948" s="3" t="str">
        <f>_xlfn.IFS('Data set'!$F948&lt;120,"Low",'Data set'!$F948&lt;=200,"Normal",'Data set'!$F948&lt;=240,"Boarderline",'Data set'!$F948&gt;=241,"High")</f>
        <v>Normal</v>
      </c>
      <c r="Q948" s="3" t="str">
        <f>_xlfn.IFS('Data set'!$D948&lt;=18.5,"Low",'Data set'!$D948&lt;=24.9,"Normal",'Data set'!$D948&lt;=29.9,"High",'Data set'!$D948&gt;29.9,"Very High")</f>
        <v>Very High</v>
      </c>
    </row>
    <row r="949" spans="1:17" x14ac:dyDescent="0.25">
      <c r="A949" s="5">
        <v>50</v>
      </c>
      <c r="B949" s="5" t="s">
        <v>0</v>
      </c>
      <c r="C949" s="6">
        <v>146.4</v>
      </c>
      <c r="D949" s="6">
        <v>37.89</v>
      </c>
      <c r="E949" s="5" t="s">
        <v>6</v>
      </c>
      <c r="F949" s="5">
        <v>118</v>
      </c>
      <c r="G949" s="5" t="s">
        <v>722</v>
      </c>
      <c r="H949" s="6">
        <v>6.61</v>
      </c>
      <c r="I949" s="5">
        <v>5</v>
      </c>
      <c r="J949" s="5" t="s">
        <v>3</v>
      </c>
      <c r="K949" s="5" t="s">
        <v>3</v>
      </c>
      <c r="L949" s="5">
        <v>115</v>
      </c>
      <c r="M949" s="5">
        <v>85</v>
      </c>
      <c r="N949" s="5" t="s">
        <v>23</v>
      </c>
      <c r="O949" s="5" t="str">
        <f>_xlfn.IFS('Data set'!$H949&lt;5.7,"Normal",'Data set'!$H949&lt;=6.4,"Prediabetes",'Data set'!$H949&lt;=7.5,"Diabetes",'Data set'!$H949&gt;=7.5,"Uncontrolled")</f>
        <v>Diabetes</v>
      </c>
      <c r="P949" s="5" t="str">
        <f>_xlfn.IFS('Data set'!$F949&lt;120,"Low",'Data set'!$F949&lt;=200,"Normal",'Data set'!$F949&lt;=240,"Boarderline",'Data set'!$F949&gt;=241,"High")</f>
        <v>Low</v>
      </c>
      <c r="Q949" s="5" t="str">
        <f>_xlfn.IFS('Data set'!$D949&lt;=18.5,"Low",'Data set'!$D949&lt;=24.9,"Normal",'Data set'!$D949&lt;=29.9,"High",'Data set'!$D949&gt;29.9,"Very High")</f>
        <v>Very High</v>
      </c>
    </row>
    <row r="950" spans="1:17" x14ac:dyDescent="0.25">
      <c r="A950" s="3">
        <v>52</v>
      </c>
      <c r="B950" s="3" t="s">
        <v>0</v>
      </c>
      <c r="C950" s="4">
        <v>274.51</v>
      </c>
      <c r="D950" s="4">
        <v>24.1</v>
      </c>
      <c r="E950" s="3" t="s">
        <v>14</v>
      </c>
      <c r="F950" s="3">
        <v>109</v>
      </c>
      <c r="G950" s="3" t="s">
        <v>654</v>
      </c>
      <c r="H950" s="4">
        <v>9.65</v>
      </c>
      <c r="I950" s="3">
        <v>5</v>
      </c>
      <c r="J950" s="3" t="s">
        <v>4</v>
      </c>
      <c r="K950" s="3" t="s">
        <v>4</v>
      </c>
      <c r="L950" s="3">
        <v>104</v>
      </c>
      <c r="M950" s="3">
        <v>84</v>
      </c>
      <c r="N950" s="3" t="s">
        <v>8</v>
      </c>
      <c r="O950" s="3" t="str">
        <f>_xlfn.IFS('Data set'!$H950&lt;5.7,"Normal",'Data set'!$H950&lt;=6.4,"Prediabetes",'Data set'!$H950&lt;=7.5,"Diabetes",'Data set'!$H950&gt;=7.5,"Uncontrolled")</f>
        <v>Uncontrolled</v>
      </c>
      <c r="P950" s="3" t="str">
        <f>_xlfn.IFS('Data set'!$F950&lt;120,"Low",'Data set'!$F950&lt;=200,"Normal",'Data set'!$F950&lt;=240,"Boarderline",'Data set'!$F950&gt;=241,"High")</f>
        <v>Low</v>
      </c>
      <c r="Q950" s="3" t="str">
        <f>_xlfn.IFS('Data set'!$D950&lt;=18.5,"Low",'Data set'!$D950&lt;=24.9,"Normal",'Data set'!$D950&lt;=29.9,"High",'Data set'!$D950&gt;29.9,"Very High")</f>
        <v>Normal</v>
      </c>
    </row>
    <row r="951" spans="1:17" x14ac:dyDescent="0.25">
      <c r="A951" s="5">
        <v>21</v>
      </c>
      <c r="B951" s="5" t="s">
        <v>0</v>
      </c>
      <c r="C951" s="6">
        <v>244.56</v>
      </c>
      <c r="D951" s="6">
        <v>23.71</v>
      </c>
      <c r="E951" s="5" t="s">
        <v>6</v>
      </c>
      <c r="F951" s="5">
        <v>133</v>
      </c>
      <c r="G951" s="5" t="s">
        <v>723</v>
      </c>
      <c r="H951" s="6">
        <v>9.9</v>
      </c>
      <c r="I951" s="5">
        <v>3</v>
      </c>
      <c r="J951" s="5" t="s">
        <v>4</v>
      </c>
      <c r="K951" s="5" t="s">
        <v>4</v>
      </c>
      <c r="L951" s="5">
        <v>112</v>
      </c>
      <c r="M951" s="5">
        <v>70</v>
      </c>
      <c r="N951" s="5" t="s">
        <v>17</v>
      </c>
      <c r="O951" s="5" t="str">
        <f>_xlfn.IFS('Data set'!$H951&lt;5.7,"Normal",'Data set'!$H951&lt;=6.4,"Prediabetes",'Data set'!$H951&lt;=7.5,"Diabetes",'Data set'!$H951&gt;=7.5,"Uncontrolled")</f>
        <v>Uncontrolled</v>
      </c>
      <c r="P951" s="5" t="str">
        <f>_xlfn.IFS('Data set'!$F951&lt;120,"Low",'Data set'!$F951&lt;=200,"Normal",'Data set'!$F951&lt;=240,"Boarderline",'Data set'!$F951&gt;=241,"High")</f>
        <v>Normal</v>
      </c>
      <c r="Q951" s="5" t="str">
        <f>_xlfn.IFS('Data set'!$D951&lt;=18.5,"Low",'Data set'!$D951&lt;=24.9,"Normal",'Data set'!$D951&lt;=29.9,"High",'Data set'!$D951&gt;29.9,"Very High")</f>
        <v>Normal</v>
      </c>
    </row>
    <row r="952" spans="1:17" x14ac:dyDescent="0.25">
      <c r="A952" s="3">
        <v>22</v>
      </c>
      <c r="B952" s="3" t="s">
        <v>9</v>
      </c>
      <c r="C952" s="4">
        <v>149.27000000000001</v>
      </c>
      <c r="D952" s="4">
        <v>38.659999999999997</v>
      </c>
      <c r="E952" s="3" t="s">
        <v>14</v>
      </c>
      <c r="F952" s="3">
        <v>223</v>
      </c>
      <c r="G952" s="3" t="s">
        <v>548</v>
      </c>
      <c r="H952" s="4">
        <v>7.84</v>
      </c>
      <c r="I952" s="3">
        <v>2</v>
      </c>
      <c r="J952" s="3" t="s">
        <v>4</v>
      </c>
      <c r="K952" s="3" t="s">
        <v>4</v>
      </c>
      <c r="L952" s="3">
        <v>107</v>
      </c>
      <c r="M952" s="3">
        <v>62</v>
      </c>
      <c r="N952" s="3" t="s">
        <v>17</v>
      </c>
      <c r="O952" s="3" t="str">
        <f>_xlfn.IFS('Data set'!$H952&lt;5.7,"Normal",'Data set'!$H952&lt;=6.4,"Prediabetes",'Data set'!$H952&lt;=7.5,"Diabetes",'Data set'!$H952&gt;=7.5,"Uncontrolled")</f>
        <v>Uncontrolled</v>
      </c>
      <c r="P952" s="3" t="str">
        <f>_xlfn.IFS('Data set'!$F952&lt;120,"Low",'Data set'!$F952&lt;=200,"Normal",'Data set'!$F952&lt;=240,"Boarderline",'Data set'!$F952&gt;=241,"High")</f>
        <v>Boarderline</v>
      </c>
      <c r="Q952" s="3" t="str">
        <f>_xlfn.IFS('Data set'!$D952&lt;=18.5,"Low",'Data set'!$D952&lt;=24.9,"Normal",'Data set'!$D952&lt;=29.9,"High",'Data set'!$D952&gt;29.9,"Very High")</f>
        <v>Very High</v>
      </c>
    </row>
    <row r="953" spans="1:17" x14ac:dyDescent="0.25">
      <c r="A953" s="5">
        <v>23</v>
      </c>
      <c r="B953" s="5" t="s">
        <v>0</v>
      </c>
      <c r="C953" s="6">
        <v>165.14</v>
      </c>
      <c r="D953" s="6">
        <v>28.95</v>
      </c>
      <c r="E953" s="5" t="s">
        <v>6</v>
      </c>
      <c r="F953" s="5">
        <v>184</v>
      </c>
      <c r="G953" s="5" t="s">
        <v>447</v>
      </c>
      <c r="H953" s="6">
        <v>6.99</v>
      </c>
      <c r="I953" s="5">
        <v>3</v>
      </c>
      <c r="J953" s="5" t="s">
        <v>4</v>
      </c>
      <c r="K953" s="5" t="s">
        <v>3</v>
      </c>
      <c r="L953" s="5">
        <v>134</v>
      </c>
      <c r="M953" s="5">
        <v>69</v>
      </c>
      <c r="N953" s="5" t="s">
        <v>17</v>
      </c>
      <c r="O953" s="5" t="str">
        <f>_xlfn.IFS('Data set'!$H953&lt;5.7,"Normal",'Data set'!$H953&lt;=6.4,"Prediabetes",'Data set'!$H953&lt;=7.5,"Diabetes",'Data set'!$H953&gt;=7.5,"Uncontrolled")</f>
        <v>Diabetes</v>
      </c>
      <c r="P953" s="5" t="str">
        <f>_xlfn.IFS('Data set'!$F953&lt;120,"Low",'Data set'!$F953&lt;=200,"Normal",'Data set'!$F953&lt;=240,"Boarderline",'Data set'!$F953&gt;=241,"High")</f>
        <v>Normal</v>
      </c>
      <c r="Q953" s="5" t="str">
        <f>_xlfn.IFS('Data set'!$D953&lt;=18.5,"Low",'Data set'!$D953&lt;=24.9,"Normal",'Data set'!$D953&lt;=29.9,"High",'Data set'!$D953&gt;29.9,"Very High")</f>
        <v>High</v>
      </c>
    </row>
    <row r="954" spans="1:17" x14ac:dyDescent="0.25">
      <c r="A954" s="3">
        <v>53</v>
      </c>
      <c r="B954" s="3" t="s">
        <v>9</v>
      </c>
      <c r="C954" s="4">
        <v>210.97</v>
      </c>
      <c r="D954" s="4">
        <v>38.619999999999997</v>
      </c>
      <c r="E954" s="3" t="s">
        <v>14</v>
      </c>
      <c r="F954" s="3">
        <v>214</v>
      </c>
      <c r="G954" s="3" t="s">
        <v>724</v>
      </c>
      <c r="H954" s="4">
        <v>6.73</v>
      </c>
      <c r="I954" s="3">
        <v>3</v>
      </c>
      <c r="J954" s="3" t="s">
        <v>3</v>
      </c>
      <c r="K954" s="3" t="s">
        <v>3</v>
      </c>
      <c r="L954" s="3">
        <v>91</v>
      </c>
      <c r="M954" s="3">
        <v>88</v>
      </c>
      <c r="N954" s="3" t="s">
        <v>8</v>
      </c>
      <c r="O954" s="3" t="str">
        <f>_xlfn.IFS('Data set'!$H954&lt;5.7,"Normal",'Data set'!$H954&lt;=6.4,"Prediabetes",'Data set'!$H954&lt;=7.5,"Diabetes",'Data set'!$H954&gt;=7.5,"Uncontrolled")</f>
        <v>Diabetes</v>
      </c>
      <c r="P954" s="3" t="str">
        <f>_xlfn.IFS('Data set'!$F954&lt;120,"Low",'Data set'!$F954&lt;=200,"Normal",'Data set'!$F954&lt;=240,"Boarderline",'Data set'!$F954&gt;=241,"High")</f>
        <v>Boarderline</v>
      </c>
      <c r="Q954" s="3" t="str">
        <f>_xlfn.IFS('Data set'!$D954&lt;=18.5,"Low",'Data set'!$D954&lt;=24.9,"Normal",'Data set'!$D954&lt;=29.9,"High",'Data set'!$D954&gt;29.9,"Very High")</f>
        <v>Very High</v>
      </c>
    </row>
    <row r="955" spans="1:17" x14ac:dyDescent="0.25">
      <c r="A955" s="5">
        <v>57</v>
      </c>
      <c r="B955" s="5" t="s">
        <v>9</v>
      </c>
      <c r="C955" s="6">
        <v>174.4</v>
      </c>
      <c r="D955" s="6">
        <v>30.07</v>
      </c>
      <c r="E955" s="5" t="s">
        <v>10</v>
      </c>
      <c r="F955" s="5">
        <v>107</v>
      </c>
      <c r="G955" s="5" t="s">
        <v>76</v>
      </c>
      <c r="H955" s="6">
        <v>6.45</v>
      </c>
      <c r="I955" s="5">
        <v>0</v>
      </c>
      <c r="J955" s="5" t="s">
        <v>3</v>
      </c>
      <c r="K955" s="5" t="s">
        <v>3</v>
      </c>
      <c r="L955" s="5">
        <v>117</v>
      </c>
      <c r="M955" s="5">
        <v>68</v>
      </c>
      <c r="N955" s="5" t="s">
        <v>8</v>
      </c>
      <c r="O955" s="5" t="str">
        <f>_xlfn.IFS('Data set'!$H955&lt;5.7,"Normal",'Data set'!$H955&lt;=6.4,"Prediabetes",'Data set'!$H955&lt;=7.5,"Diabetes",'Data set'!$H955&gt;=7.5,"Uncontrolled")</f>
        <v>Diabetes</v>
      </c>
      <c r="P955" s="5" t="str">
        <f>_xlfn.IFS('Data set'!$F955&lt;120,"Low",'Data set'!$F955&lt;=200,"Normal",'Data set'!$F955&lt;=240,"Boarderline",'Data set'!$F955&gt;=241,"High")</f>
        <v>Low</v>
      </c>
      <c r="Q955" s="5" t="str">
        <f>_xlfn.IFS('Data set'!$D955&lt;=18.5,"Low",'Data set'!$D955&lt;=24.9,"Normal",'Data set'!$D955&lt;=29.9,"High",'Data set'!$D955&gt;29.9,"Very High")</f>
        <v>Very High</v>
      </c>
    </row>
    <row r="956" spans="1:17" x14ac:dyDescent="0.25">
      <c r="A956" s="3">
        <v>75</v>
      </c>
      <c r="B956" s="3" t="s">
        <v>9</v>
      </c>
      <c r="C956" s="4">
        <v>248.91</v>
      </c>
      <c r="D956" s="4">
        <v>34.299999999999997</v>
      </c>
      <c r="E956" s="3" t="s">
        <v>10</v>
      </c>
      <c r="F956" s="3">
        <v>283</v>
      </c>
      <c r="G956" s="3" t="s">
        <v>680</v>
      </c>
      <c r="H956" s="4">
        <v>6.61</v>
      </c>
      <c r="I956" s="3">
        <v>1</v>
      </c>
      <c r="J956" s="3" t="s">
        <v>4</v>
      </c>
      <c r="K956" s="3" t="s">
        <v>4</v>
      </c>
      <c r="L956" s="3">
        <v>128</v>
      </c>
      <c r="M956" s="3">
        <v>75</v>
      </c>
      <c r="N956" s="3" t="s">
        <v>5</v>
      </c>
      <c r="O956" s="3" t="str">
        <f>_xlfn.IFS('Data set'!$H956&lt;5.7,"Normal",'Data set'!$H956&lt;=6.4,"Prediabetes",'Data set'!$H956&lt;=7.5,"Diabetes",'Data set'!$H956&gt;=7.5,"Uncontrolled")</f>
        <v>Diabetes</v>
      </c>
      <c r="P956" s="3" t="str">
        <f>_xlfn.IFS('Data set'!$F956&lt;120,"Low",'Data set'!$F956&lt;=200,"Normal",'Data set'!$F956&lt;=240,"Boarderline",'Data set'!$F956&gt;=241,"High")</f>
        <v>High</v>
      </c>
      <c r="Q956" s="3" t="str">
        <f>_xlfn.IFS('Data set'!$D956&lt;=18.5,"Low",'Data set'!$D956&lt;=24.9,"Normal",'Data set'!$D956&lt;=29.9,"High",'Data set'!$D956&gt;29.9,"Very High")</f>
        <v>Very High</v>
      </c>
    </row>
    <row r="957" spans="1:17" x14ac:dyDescent="0.25">
      <c r="A957" s="5">
        <v>36</v>
      </c>
      <c r="B957" s="5" t="s">
        <v>0</v>
      </c>
      <c r="C957" s="6">
        <v>257.2</v>
      </c>
      <c r="D957" s="6">
        <v>35.799999999999997</v>
      </c>
      <c r="E957" s="5" t="s">
        <v>10</v>
      </c>
      <c r="F957" s="5">
        <v>154</v>
      </c>
      <c r="G957" s="5" t="s">
        <v>725</v>
      </c>
      <c r="H957" s="6">
        <v>4.16</v>
      </c>
      <c r="I957" s="5">
        <v>1</v>
      </c>
      <c r="J957" s="5" t="s">
        <v>3</v>
      </c>
      <c r="K957" s="5" t="s">
        <v>3</v>
      </c>
      <c r="L957" s="5">
        <v>128</v>
      </c>
      <c r="M957" s="5">
        <v>85</v>
      </c>
      <c r="N957" s="5" t="s">
        <v>12</v>
      </c>
      <c r="O957" s="5" t="str">
        <f>_xlfn.IFS('Data set'!$H957&lt;5.7,"Normal",'Data set'!$H957&lt;=6.4,"Prediabetes",'Data set'!$H957&lt;=7.5,"Diabetes",'Data set'!$H957&gt;=7.5,"Uncontrolled")</f>
        <v>Normal</v>
      </c>
      <c r="P957" s="5" t="str">
        <f>_xlfn.IFS('Data set'!$F957&lt;120,"Low",'Data set'!$F957&lt;=200,"Normal",'Data set'!$F957&lt;=240,"Boarderline",'Data set'!$F957&gt;=241,"High")</f>
        <v>Normal</v>
      </c>
      <c r="Q957" s="5" t="str">
        <f>_xlfn.IFS('Data set'!$D957&lt;=18.5,"Low",'Data set'!$D957&lt;=24.9,"Normal",'Data set'!$D957&lt;=29.9,"High",'Data set'!$D957&gt;29.9,"Very High")</f>
        <v>Very High</v>
      </c>
    </row>
    <row r="958" spans="1:17" x14ac:dyDescent="0.25">
      <c r="A958" s="3">
        <v>74</v>
      </c>
      <c r="B958" s="3" t="s">
        <v>0</v>
      </c>
      <c r="C958" s="4">
        <v>109.02</v>
      </c>
      <c r="D958" s="4">
        <v>31.05</v>
      </c>
      <c r="E958" s="3" t="s">
        <v>1</v>
      </c>
      <c r="F958" s="3">
        <v>178</v>
      </c>
      <c r="G958" s="3" t="s">
        <v>726</v>
      </c>
      <c r="H958" s="4">
        <v>6.71</v>
      </c>
      <c r="I958" s="3">
        <v>0</v>
      </c>
      <c r="J958" s="3" t="s">
        <v>3</v>
      </c>
      <c r="K958" s="3" t="s">
        <v>4</v>
      </c>
      <c r="L958" s="3">
        <v>113</v>
      </c>
      <c r="M958" s="3">
        <v>77</v>
      </c>
      <c r="N958" s="3" t="s">
        <v>5</v>
      </c>
      <c r="O958" s="3" t="str">
        <f>_xlfn.IFS('Data set'!$H958&lt;5.7,"Normal",'Data set'!$H958&lt;=6.4,"Prediabetes",'Data set'!$H958&lt;=7.5,"Diabetes",'Data set'!$H958&gt;=7.5,"Uncontrolled")</f>
        <v>Diabetes</v>
      </c>
      <c r="P958" s="3" t="str">
        <f>_xlfn.IFS('Data set'!$F958&lt;120,"Low",'Data set'!$F958&lt;=200,"Normal",'Data set'!$F958&lt;=240,"Boarderline",'Data set'!$F958&gt;=241,"High")</f>
        <v>Normal</v>
      </c>
      <c r="Q958" s="3" t="str">
        <f>_xlfn.IFS('Data set'!$D958&lt;=18.5,"Low",'Data set'!$D958&lt;=24.9,"Normal",'Data set'!$D958&lt;=29.9,"High",'Data set'!$D958&gt;29.9,"Very High")</f>
        <v>Very High</v>
      </c>
    </row>
    <row r="959" spans="1:17" x14ac:dyDescent="0.25">
      <c r="A959" s="5">
        <v>29</v>
      </c>
      <c r="B959" s="5" t="s">
        <v>9</v>
      </c>
      <c r="C959" s="6">
        <v>121.89</v>
      </c>
      <c r="D959" s="6">
        <v>27.37</v>
      </c>
      <c r="E959" s="5" t="s">
        <v>10</v>
      </c>
      <c r="F959" s="5">
        <v>214</v>
      </c>
      <c r="G959" s="5" t="s">
        <v>727</v>
      </c>
      <c r="H959" s="6">
        <v>7.41</v>
      </c>
      <c r="I959" s="5">
        <v>4</v>
      </c>
      <c r="J959" s="5" t="s">
        <v>4</v>
      </c>
      <c r="K959" s="5" t="s">
        <v>3</v>
      </c>
      <c r="L959" s="5">
        <v>112</v>
      </c>
      <c r="M959" s="5">
        <v>80</v>
      </c>
      <c r="N959" s="5" t="s">
        <v>17</v>
      </c>
      <c r="O959" s="5" t="str">
        <f>_xlfn.IFS('Data set'!$H959&lt;5.7,"Normal",'Data set'!$H959&lt;=6.4,"Prediabetes",'Data set'!$H959&lt;=7.5,"Diabetes",'Data set'!$H959&gt;=7.5,"Uncontrolled")</f>
        <v>Diabetes</v>
      </c>
      <c r="P959" s="5" t="str">
        <f>_xlfn.IFS('Data set'!$F959&lt;120,"Low",'Data set'!$F959&lt;=200,"Normal",'Data set'!$F959&lt;=240,"Boarderline",'Data set'!$F959&gt;=241,"High")</f>
        <v>Boarderline</v>
      </c>
      <c r="Q959" s="5" t="str">
        <f>_xlfn.IFS('Data set'!$D959&lt;=18.5,"Low",'Data set'!$D959&lt;=24.9,"Normal",'Data set'!$D959&lt;=29.9,"High",'Data set'!$D959&gt;29.9,"Very High")</f>
        <v>High</v>
      </c>
    </row>
    <row r="960" spans="1:17" x14ac:dyDescent="0.25">
      <c r="A960" s="3">
        <v>59</v>
      </c>
      <c r="B960" s="3" t="s">
        <v>9</v>
      </c>
      <c r="C960" s="4">
        <v>75.34</v>
      </c>
      <c r="D960" s="4">
        <v>28.35</v>
      </c>
      <c r="E960" s="3" t="s">
        <v>6</v>
      </c>
      <c r="F960" s="3">
        <v>226</v>
      </c>
      <c r="G960" s="3" t="s">
        <v>728</v>
      </c>
      <c r="H960" s="4">
        <v>9.15</v>
      </c>
      <c r="I960" s="3">
        <v>4</v>
      </c>
      <c r="J960" s="3" t="s">
        <v>3</v>
      </c>
      <c r="K960" s="3" t="s">
        <v>3</v>
      </c>
      <c r="L960" s="3">
        <v>119</v>
      </c>
      <c r="M960" s="3">
        <v>69</v>
      </c>
      <c r="N960" s="3" t="s">
        <v>8</v>
      </c>
      <c r="O960" s="3" t="str">
        <f>_xlfn.IFS('Data set'!$H960&lt;5.7,"Normal",'Data set'!$H960&lt;=6.4,"Prediabetes",'Data set'!$H960&lt;=7.5,"Diabetes",'Data set'!$H960&gt;=7.5,"Uncontrolled")</f>
        <v>Uncontrolled</v>
      </c>
      <c r="P960" s="3" t="str">
        <f>_xlfn.IFS('Data set'!$F960&lt;120,"Low",'Data set'!$F960&lt;=200,"Normal",'Data set'!$F960&lt;=240,"Boarderline",'Data set'!$F960&gt;=241,"High")</f>
        <v>Boarderline</v>
      </c>
      <c r="Q960" s="3" t="str">
        <f>_xlfn.IFS('Data set'!$D960&lt;=18.5,"Low",'Data set'!$D960&lt;=24.9,"Normal",'Data set'!$D960&lt;=29.9,"High",'Data set'!$D960&gt;29.9,"Very High")</f>
        <v>High</v>
      </c>
    </row>
    <row r="961" spans="1:17" x14ac:dyDescent="0.25">
      <c r="A961" s="5">
        <v>18</v>
      </c>
      <c r="B961" s="5" t="s">
        <v>9</v>
      </c>
      <c r="C961" s="6">
        <v>102.94</v>
      </c>
      <c r="D961" s="6">
        <v>27.16</v>
      </c>
      <c r="E961" s="5" t="s">
        <v>1</v>
      </c>
      <c r="F961" s="5">
        <v>277</v>
      </c>
      <c r="G961" s="5" t="s">
        <v>729</v>
      </c>
      <c r="H961" s="6">
        <v>4.08</v>
      </c>
      <c r="I961" s="5">
        <v>5</v>
      </c>
      <c r="J961" s="5" t="s">
        <v>4</v>
      </c>
      <c r="K961" s="5" t="s">
        <v>3</v>
      </c>
      <c r="L961" s="5">
        <v>91</v>
      </c>
      <c r="M961" s="5">
        <v>66</v>
      </c>
      <c r="N961" s="5" t="s">
        <v>17</v>
      </c>
      <c r="O961" s="5" t="str">
        <f>_xlfn.IFS('Data set'!$H961&lt;5.7,"Normal",'Data set'!$H961&lt;=6.4,"Prediabetes",'Data set'!$H961&lt;=7.5,"Diabetes",'Data set'!$H961&gt;=7.5,"Uncontrolled")</f>
        <v>Normal</v>
      </c>
      <c r="P961" s="5" t="str">
        <f>_xlfn.IFS('Data set'!$F961&lt;120,"Low",'Data set'!$F961&lt;=200,"Normal",'Data set'!$F961&lt;=240,"Boarderline",'Data set'!$F961&gt;=241,"High")</f>
        <v>High</v>
      </c>
      <c r="Q961" s="5" t="str">
        <f>_xlfn.IFS('Data set'!$D961&lt;=18.5,"Low",'Data set'!$D961&lt;=24.9,"Normal",'Data set'!$D961&lt;=29.9,"High",'Data set'!$D961&gt;29.9,"Very High")</f>
        <v>High</v>
      </c>
    </row>
    <row r="962" spans="1:17" x14ac:dyDescent="0.25">
      <c r="A962" s="3">
        <v>22</v>
      </c>
      <c r="B962" s="3" t="s">
        <v>9</v>
      </c>
      <c r="C962" s="4">
        <v>289.61</v>
      </c>
      <c r="D962" s="4">
        <v>34.82</v>
      </c>
      <c r="E962" s="3" t="s">
        <v>14</v>
      </c>
      <c r="F962" s="3">
        <v>138</v>
      </c>
      <c r="G962" s="3" t="s">
        <v>730</v>
      </c>
      <c r="H962" s="4">
        <v>8.3699999999999992</v>
      </c>
      <c r="I962" s="3">
        <v>2</v>
      </c>
      <c r="J962" s="3" t="s">
        <v>3</v>
      </c>
      <c r="K962" s="3" t="s">
        <v>4</v>
      </c>
      <c r="L962" s="3">
        <v>103</v>
      </c>
      <c r="M962" s="3">
        <v>75</v>
      </c>
      <c r="N962" s="3" t="s">
        <v>17</v>
      </c>
      <c r="O962" s="3" t="str">
        <f>_xlfn.IFS('Data set'!$H962&lt;5.7,"Normal",'Data set'!$H962&lt;=6.4,"Prediabetes",'Data set'!$H962&lt;=7.5,"Diabetes",'Data set'!$H962&gt;=7.5,"Uncontrolled")</f>
        <v>Uncontrolled</v>
      </c>
      <c r="P962" s="3" t="str">
        <f>_xlfn.IFS('Data set'!$F962&lt;120,"Low",'Data set'!$F962&lt;=200,"Normal",'Data set'!$F962&lt;=240,"Boarderline",'Data set'!$F962&gt;=241,"High")</f>
        <v>Normal</v>
      </c>
      <c r="Q962" s="3" t="str">
        <f>_xlfn.IFS('Data set'!$D962&lt;=18.5,"Low",'Data set'!$D962&lt;=24.9,"Normal",'Data set'!$D962&lt;=29.9,"High",'Data set'!$D962&gt;29.9,"Very High")</f>
        <v>Very High</v>
      </c>
    </row>
    <row r="963" spans="1:17" x14ac:dyDescent="0.25">
      <c r="A963" s="5">
        <v>71</v>
      </c>
      <c r="B963" s="5" t="s">
        <v>9</v>
      </c>
      <c r="C963" s="6">
        <v>294.55</v>
      </c>
      <c r="D963" s="6">
        <v>38.94</v>
      </c>
      <c r="E963" s="5" t="s">
        <v>10</v>
      </c>
      <c r="F963" s="5">
        <v>214</v>
      </c>
      <c r="G963" s="5" t="s">
        <v>505</v>
      </c>
      <c r="H963" s="6">
        <v>9.16</v>
      </c>
      <c r="I963" s="5">
        <v>5</v>
      </c>
      <c r="J963" s="5" t="s">
        <v>3</v>
      </c>
      <c r="K963" s="5" t="s">
        <v>3</v>
      </c>
      <c r="L963" s="5">
        <v>91</v>
      </c>
      <c r="M963" s="5">
        <v>65</v>
      </c>
      <c r="N963" s="5" t="s">
        <v>5</v>
      </c>
      <c r="O963" s="5" t="str">
        <f>_xlfn.IFS('Data set'!$H963&lt;5.7,"Normal",'Data set'!$H963&lt;=6.4,"Prediabetes",'Data set'!$H963&lt;=7.5,"Diabetes",'Data set'!$H963&gt;=7.5,"Uncontrolled")</f>
        <v>Uncontrolled</v>
      </c>
      <c r="P963" s="5" t="str">
        <f>_xlfn.IFS('Data set'!$F963&lt;120,"Low",'Data set'!$F963&lt;=200,"Normal",'Data set'!$F963&lt;=240,"Boarderline",'Data set'!$F963&gt;=241,"High")</f>
        <v>Boarderline</v>
      </c>
      <c r="Q963" s="5" t="str">
        <f>_xlfn.IFS('Data set'!$D963&lt;=18.5,"Low",'Data set'!$D963&lt;=24.9,"Normal",'Data set'!$D963&lt;=29.9,"High",'Data set'!$D963&gt;29.9,"Very High")</f>
        <v>Very High</v>
      </c>
    </row>
    <row r="964" spans="1:17" x14ac:dyDescent="0.25">
      <c r="A964" s="3">
        <v>58</v>
      </c>
      <c r="B964" s="3" t="s">
        <v>0</v>
      </c>
      <c r="C964" s="4">
        <v>131.66999999999999</v>
      </c>
      <c r="D964" s="4">
        <v>26.25</v>
      </c>
      <c r="E964" s="3" t="s">
        <v>6</v>
      </c>
      <c r="F964" s="3">
        <v>253</v>
      </c>
      <c r="G964" s="3" t="s">
        <v>731</v>
      </c>
      <c r="H964" s="4">
        <v>5.9</v>
      </c>
      <c r="I964" s="3">
        <v>7</v>
      </c>
      <c r="J964" s="3" t="s">
        <v>3</v>
      </c>
      <c r="K964" s="3" t="s">
        <v>4</v>
      </c>
      <c r="L964" s="3">
        <v>96</v>
      </c>
      <c r="M964" s="3">
        <v>65</v>
      </c>
      <c r="N964" s="3" t="s">
        <v>8</v>
      </c>
      <c r="O964" s="3" t="str">
        <f>_xlfn.IFS('Data set'!$H964&lt;5.7,"Normal",'Data set'!$H964&lt;=6.4,"Prediabetes",'Data set'!$H964&lt;=7.5,"Diabetes",'Data set'!$H964&gt;=7.5,"Uncontrolled")</f>
        <v>Prediabetes</v>
      </c>
      <c r="P964" s="3" t="str">
        <f>_xlfn.IFS('Data set'!$F964&lt;120,"Low",'Data set'!$F964&lt;=200,"Normal",'Data set'!$F964&lt;=240,"Boarderline",'Data set'!$F964&gt;=241,"High")</f>
        <v>High</v>
      </c>
      <c r="Q964" s="3" t="str">
        <f>_xlfn.IFS('Data set'!$D964&lt;=18.5,"Low",'Data set'!$D964&lt;=24.9,"Normal",'Data set'!$D964&lt;=29.9,"High",'Data set'!$D964&gt;29.9,"Very High")</f>
        <v>High</v>
      </c>
    </row>
    <row r="965" spans="1:17" x14ac:dyDescent="0.25">
      <c r="A965" s="5">
        <v>58</v>
      </c>
      <c r="B965" s="5" t="s">
        <v>0</v>
      </c>
      <c r="C965" s="6">
        <v>113.81</v>
      </c>
      <c r="D965" s="6">
        <v>25.47</v>
      </c>
      <c r="E965" s="5" t="s">
        <v>1</v>
      </c>
      <c r="F965" s="5">
        <v>183</v>
      </c>
      <c r="G965" s="5" t="s">
        <v>732</v>
      </c>
      <c r="H965" s="6">
        <v>6.47</v>
      </c>
      <c r="I965" s="5">
        <v>1</v>
      </c>
      <c r="J965" s="5" t="s">
        <v>3</v>
      </c>
      <c r="K965" s="5" t="s">
        <v>4</v>
      </c>
      <c r="L965" s="5">
        <v>102</v>
      </c>
      <c r="M965" s="5">
        <v>84</v>
      </c>
      <c r="N965" s="5" t="s">
        <v>8</v>
      </c>
      <c r="O965" s="5" t="str">
        <f>_xlfn.IFS('Data set'!$H965&lt;5.7,"Normal",'Data set'!$H965&lt;=6.4,"Prediabetes",'Data set'!$H965&lt;=7.5,"Diabetes",'Data set'!$H965&gt;=7.5,"Uncontrolled")</f>
        <v>Diabetes</v>
      </c>
      <c r="P965" s="5" t="str">
        <f>_xlfn.IFS('Data set'!$F965&lt;120,"Low",'Data set'!$F965&lt;=200,"Normal",'Data set'!$F965&lt;=240,"Boarderline",'Data set'!$F965&gt;=241,"High")</f>
        <v>Normal</v>
      </c>
      <c r="Q965" s="5" t="str">
        <f>_xlfn.IFS('Data set'!$D965&lt;=18.5,"Low",'Data set'!$D965&lt;=24.9,"Normal",'Data set'!$D965&lt;=29.9,"High",'Data set'!$D965&gt;29.9,"Very High")</f>
        <v>High</v>
      </c>
    </row>
    <row r="966" spans="1:17" x14ac:dyDescent="0.25">
      <c r="A966" s="3">
        <v>64</v>
      </c>
      <c r="B966" s="3" t="s">
        <v>0</v>
      </c>
      <c r="C966" s="4">
        <v>96.21</v>
      </c>
      <c r="D966" s="4">
        <v>18.260000000000002</v>
      </c>
      <c r="E966" s="3" t="s">
        <v>14</v>
      </c>
      <c r="F966" s="3">
        <v>105</v>
      </c>
      <c r="G966" s="3" t="s">
        <v>733</v>
      </c>
      <c r="H966" s="4">
        <v>6.18</v>
      </c>
      <c r="I966" s="3">
        <v>3</v>
      </c>
      <c r="J966" s="3" t="s">
        <v>3</v>
      </c>
      <c r="K966" s="3" t="s">
        <v>4</v>
      </c>
      <c r="L966" s="3">
        <v>105</v>
      </c>
      <c r="M966" s="3">
        <v>82</v>
      </c>
      <c r="N966" s="3" t="s">
        <v>21</v>
      </c>
      <c r="O966" s="3" t="str">
        <f>_xlfn.IFS('Data set'!$H966&lt;5.7,"Normal",'Data set'!$H966&lt;=6.4,"Prediabetes",'Data set'!$H966&lt;=7.5,"Diabetes",'Data set'!$H966&gt;=7.5,"Uncontrolled")</f>
        <v>Prediabetes</v>
      </c>
      <c r="P966" s="3" t="str">
        <f>_xlfn.IFS('Data set'!$F966&lt;120,"Low",'Data set'!$F966&lt;=200,"Normal",'Data set'!$F966&lt;=240,"Boarderline",'Data set'!$F966&gt;=241,"High")</f>
        <v>Low</v>
      </c>
      <c r="Q966" s="3" t="str">
        <f>_xlfn.IFS('Data set'!$D966&lt;=18.5,"Low",'Data set'!$D966&lt;=24.9,"Normal",'Data set'!$D966&lt;=29.9,"High",'Data set'!$D966&gt;29.9,"Very High")</f>
        <v>Low</v>
      </c>
    </row>
    <row r="967" spans="1:17" x14ac:dyDescent="0.25">
      <c r="A967" s="5">
        <v>76</v>
      </c>
      <c r="B967" s="5" t="s">
        <v>9</v>
      </c>
      <c r="C967" s="6">
        <v>228.63</v>
      </c>
      <c r="D967" s="6">
        <v>35.29</v>
      </c>
      <c r="E967" s="5" t="s">
        <v>1</v>
      </c>
      <c r="F967" s="5">
        <v>221</v>
      </c>
      <c r="G967" s="5" t="s">
        <v>62</v>
      </c>
      <c r="H967" s="6">
        <v>9.5500000000000007</v>
      </c>
      <c r="I967" s="5">
        <v>7</v>
      </c>
      <c r="J967" s="5" t="s">
        <v>3</v>
      </c>
      <c r="K967" s="5" t="s">
        <v>4</v>
      </c>
      <c r="L967" s="5">
        <v>104</v>
      </c>
      <c r="M967" s="5">
        <v>81</v>
      </c>
      <c r="N967" s="5" t="s">
        <v>5</v>
      </c>
      <c r="O967" s="5" t="str">
        <f>_xlfn.IFS('Data set'!$H967&lt;5.7,"Normal",'Data set'!$H967&lt;=6.4,"Prediabetes",'Data set'!$H967&lt;=7.5,"Diabetes",'Data set'!$H967&gt;=7.5,"Uncontrolled")</f>
        <v>Uncontrolled</v>
      </c>
      <c r="P967" s="5" t="str">
        <f>_xlfn.IFS('Data set'!$F967&lt;120,"Low",'Data set'!$F967&lt;=200,"Normal",'Data set'!$F967&lt;=240,"Boarderline",'Data set'!$F967&gt;=241,"High")</f>
        <v>Boarderline</v>
      </c>
      <c r="Q967" s="5" t="str">
        <f>_xlfn.IFS('Data set'!$D967&lt;=18.5,"Low",'Data set'!$D967&lt;=24.9,"Normal",'Data set'!$D967&lt;=29.9,"High",'Data set'!$D967&gt;29.9,"Very High")</f>
        <v>Very High</v>
      </c>
    </row>
    <row r="968" spans="1:17" x14ac:dyDescent="0.25">
      <c r="A968" s="3">
        <v>24</v>
      </c>
      <c r="B968" s="3" t="s">
        <v>0</v>
      </c>
      <c r="C968" s="4">
        <v>150.87</v>
      </c>
      <c r="D968" s="4">
        <v>20.67</v>
      </c>
      <c r="E968" s="3" t="s">
        <v>1</v>
      </c>
      <c r="F968" s="3">
        <v>269</v>
      </c>
      <c r="G968" s="3" t="s">
        <v>669</v>
      </c>
      <c r="H968" s="4">
        <v>8.68</v>
      </c>
      <c r="I968" s="3">
        <v>4</v>
      </c>
      <c r="J968" s="3" t="s">
        <v>4</v>
      </c>
      <c r="K968" s="3" t="s">
        <v>3</v>
      </c>
      <c r="L968" s="3">
        <v>92</v>
      </c>
      <c r="M968" s="3">
        <v>79</v>
      </c>
      <c r="N968" s="3" t="s">
        <v>17</v>
      </c>
      <c r="O968" s="3" t="str">
        <f>_xlfn.IFS('Data set'!$H968&lt;5.7,"Normal",'Data set'!$H968&lt;=6.4,"Prediabetes",'Data set'!$H968&lt;=7.5,"Diabetes",'Data set'!$H968&gt;=7.5,"Uncontrolled")</f>
        <v>Uncontrolled</v>
      </c>
      <c r="P968" s="3" t="str">
        <f>_xlfn.IFS('Data set'!$F968&lt;120,"Low",'Data set'!$F968&lt;=200,"Normal",'Data set'!$F968&lt;=240,"Boarderline",'Data set'!$F968&gt;=241,"High")</f>
        <v>High</v>
      </c>
      <c r="Q968" s="3" t="str">
        <f>_xlfn.IFS('Data set'!$D968&lt;=18.5,"Low",'Data set'!$D968&lt;=24.9,"Normal",'Data set'!$D968&lt;=29.9,"High",'Data set'!$D968&gt;29.9,"Very High")</f>
        <v>Normal</v>
      </c>
    </row>
    <row r="969" spans="1:17" x14ac:dyDescent="0.25">
      <c r="A969" s="5">
        <v>22</v>
      </c>
      <c r="B969" s="5" t="s">
        <v>0</v>
      </c>
      <c r="C969" s="6">
        <v>231.42</v>
      </c>
      <c r="D969" s="6">
        <v>32.630000000000003</v>
      </c>
      <c r="E969" s="5" t="s">
        <v>1</v>
      </c>
      <c r="F969" s="5">
        <v>152</v>
      </c>
      <c r="G969" s="5" t="s">
        <v>734</v>
      </c>
      <c r="H969" s="6">
        <v>7.5</v>
      </c>
      <c r="I969" s="5">
        <v>3</v>
      </c>
      <c r="J969" s="5" t="s">
        <v>3</v>
      </c>
      <c r="K969" s="5" t="s">
        <v>3</v>
      </c>
      <c r="L969" s="5">
        <v>128</v>
      </c>
      <c r="M969" s="5">
        <v>88</v>
      </c>
      <c r="N969" s="5" t="s">
        <v>17</v>
      </c>
      <c r="O969" s="5" t="str">
        <f>_xlfn.IFS('Data set'!$H969&lt;5.7,"Normal",'Data set'!$H969&lt;=6.4,"Prediabetes",'Data set'!$H969&lt;=7.5,"Diabetes",'Data set'!$H969&gt;=7.5,"Uncontrolled")</f>
        <v>Diabetes</v>
      </c>
      <c r="P969" s="5" t="str">
        <f>_xlfn.IFS('Data set'!$F969&lt;120,"Low",'Data set'!$F969&lt;=200,"Normal",'Data set'!$F969&lt;=240,"Boarderline",'Data set'!$F969&gt;=241,"High")</f>
        <v>Normal</v>
      </c>
      <c r="Q969" s="5" t="str">
        <f>_xlfn.IFS('Data set'!$D969&lt;=18.5,"Low",'Data set'!$D969&lt;=24.9,"Normal",'Data set'!$D969&lt;=29.9,"High",'Data set'!$D969&gt;29.9,"Very High")</f>
        <v>Very High</v>
      </c>
    </row>
    <row r="970" spans="1:17" x14ac:dyDescent="0.25">
      <c r="A970" s="3">
        <v>27</v>
      </c>
      <c r="B970" s="3" t="s">
        <v>0</v>
      </c>
      <c r="C970" s="4">
        <v>169.52</v>
      </c>
      <c r="D970" s="4">
        <v>37.72</v>
      </c>
      <c r="E970" s="3" t="s">
        <v>10</v>
      </c>
      <c r="F970" s="3">
        <v>257</v>
      </c>
      <c r="G970" s="3" t="s">
        <v>735</v>
      </c>
      <c r="H970" s="4">
        <v>5.72</v>
      </c>
      <c r="I970" s="3">
        <v>6</v>
      </c>
      <c r="J970" s="3" t="s">
        <v>4</v>
      </c>
      <c r="K970" s="3" t="s">
        <v>3</v>
      </c>
      <c r="L970" s="3">
        <v>125</v>
      </c>
      <c r="M970" s="3">
        <v>61</v>
      </c>
      <c r="N970" s="3" t="s">
        <v>17</v>
      </c>
      <c r="O970" s="3" t="str">
        <f>_xlfn.IFS('Data set'!$H970&lt;5.7,"Normal",'Data set'!$H970&lt;=6.4,"Prediabetes",'Data set'!$H970&lt;=7.5,"Diabetes",'Data set'!$H970&gt;=7.5,"Uncontrolled")</f>
        <v>Prediabetes</v>
      </c>
      <c r="P970" s="3" t="str">
        <f>_xlfn.IFS('Data set'!$F970&lt;120,"Low",'Data set'!$F970&lt;=200,"Normal",'Data set'!$F970&lt;=240,"Boarderline",'Data set'!$F970&gt;=241,"High")</f>
        <v>High</v>
      </c>
      <c r="Q970" s="3" t="str">
        <f>_xlfn.IFS('Data set'!$D970&lt;=18.5,"Low",'Data set'!$D970&lt;=24.9,"Normal",'Data set'!$D970&lt;=29.9,"High",'Data set'!$D970&gt;29.9,"Very High")</f>
        <v>Very High</v>
      </c>
    </row>
    <row r="971" spans="1:17" x14ac:dyDescent="0.25">
      <c r="A971" s="5">
        <v>28</v>
      </c>
      <c r="B971" s="5" t="s">
        <v>9</v>
      </c>
      <c r="C971" s="6">
        <v>179.45</v>
      </c>
      <c r="D971" s="6">
        <v>25.8</v>
      </c>
      <c r="E971" s="5" t="s">
        <v>14</v>
      </c>
      <c r="F971" s="5">
        <v>147</v>
      </c>
      <c r="G971" s="5" t="s">
        <v>583</v>
      </c>
      <c r="H971" s="6">
        <v>9.48</v>
      </c>
      <c r="I971" s="5">
        <v>3</v>
      </c>
      <c r="J971" s="5" t="s">
        <v>3</v>
      </c>
      <c r="K971" s="5" t="s">
        <v>4</v>
      </c>
      <c r="L971" s="5">
        <v>139</v>
      </c>
      <c r="M971" s="5">
        <v>85</v>
      </c>
      <c r="N971" s="5" t="s">
        <v>17</v>
      </c>
      <c r="O971" s="5" t="str">
        <f>_xlfn.IFS('Data set'!$H971&lt;5.7,"Normal",'Data set'!$H971&lt;=6.4,"Prediabetes",'Data set'!$H971&lt;=7.5,"Diabetes",'Data set'!$H971&gt;=7.5,"Uncontrolled")</f>
        <v>Uncontrolled</v>
      </c>
      <c r="P971" s="5" t="str">
        <f>_xlfn.IFS('Data set'!$F971&lt;120,"Low",'Data set'!$F971&lt;=200,"Normal",'Data set'!$F971&lt;=240,"Boarderline",'Data set'!$F971&gt;=241,"High")</f>
        <v>Normal</v>
      </c>
      <c r="Q971" s="5" t="str">
        <f>_xlfn.IFS('Data set'!$D971&lt;=18.5,"Low",'Data set'!$D971&lt;=24.9,"Normal",'Data set'!$D971&lt;=29.9,"High",'Data set'!$D971&gt;29.9,"Very High")</f>
        <v>High</v>
      </c>
    </row>
    <row r="972" spans="1:17" x14ac:dyDescent="0.25">
      <c r="A972" s="3">
        <v>51</v>
      </c>
      <c r="B972" s="3" t="s">
        <v>0</v>
      </c>
      <c r="C972" s="4">
        <v>292.44</v>
      </c>
      <c r="D972" s="4">
        <v>31.28</v>
      </c>
      <c r="E972" s="3" t="s">
        <v>1</v>
      </c>
      <c r="F972" s="3">
        <v>162</v>
      </c>
      <c r="G972" s="3" t="s">
        <v>736</v>
      </c>
      <c r="H972" s="4">
        <v>5.26</v>
      </c>
      <c r="I972" s="3">
        <v>2</v>
      </c>
      <c r="J972" s="3" t="s">
        <v>3</v>
      </c>
      <c r="K972" s="3" t="s">
        <v>4</v>
      </c>
      <c r="L972" s="3">
        <v>93</v>
      </c>
      <c r="M972" s="3">
        <v>63</v>
      </c>
      <c r="N972" s="3" t="s">
        <v>8</v>
      </c>
      <c r="O972" s="3" t="str">
        <f>_xlfn.IFS('Data set'!$H972&lt;5.7,"Normal",'Data set'!$H972&lt;=6.4,"Prediabetes",'Data set'!$H972&lt;=7.5,"Diabetes",'Data set'!$H972&gt;=7.5,"Uncontrolled")</f>
        <v>Normal</v>
      </c>
      <c r="P972" s="3" t="str">
        <f>_xlfn.IFS('Data set'!$F972&lt;120,"Low",'Data set'!$F972&lt;=200,"Normal",'Data set'!$F972&lt;=240,"Boarderline",'Data set'!$F972&gt;=241,"High")</f>
        <v>Normal</v>
      </c>
      <c r="Q972" s="3" t="str">
        <f>_xlfn.IFS('Data set'!$D972&lt;=18.5,"Low",'Data set'!$D972&lt;=24.9,"Normal",'Data set'!$D972&lt;=29.9,"High",'Data set'!$D972&gt;29.9,"Very High")</f>
        <v>Very High</v>
      </c>
    </row>
    <row r="973" spans="1:17" x14ac:dyDescent="0.25">
      <c r="A973" s="5">
        <v>61</v>
      </c>
      <c r="B973" s="5" t="s">
        <v>0</v>
      </c>
      <c r="C973" s="6">
        <v>174.21</v>
      </c>
      <c r="D973" s="6">
        <v>33.479999999999997</v>
      </c>
      <c r="E973" s="5" t="s">
        <v>14</v>
      </c>
      <c r="F973" s="5">
        <v>153</v>
      </c>
      <c r="G973" s="5" t="s">
        <v>737</v>
      </c>
      <c r="H973" s="6">
        <v>4.28</v>
      </c>
      <c r="I973" s="5">
        <v>6</v>
      </c>
      <c r="J973" s="5" t="s">
        <v>4</v>
      </c>
      <c r="K973" s="5" t="s">
        <v>3</v>
      </c>
      <c r="L973" s="5">
        <v>101</v>
      </c>
      <c r="M973" s="5">
        <v>88</v>
      </c>
      <c r="N973" s="5" t="s">
        <v>21</v>
      </c>
      <c r="O973" s="5" t="str">
        <f>_xlfn.IFS('Data set'!$H973&lt;5.7,"Normal",'Data set'!$H973&lt;=6.4,"Prediabetes",'Data set'!$H973&lt;=7.5,"Diabetes",'Data set'!$H973&gt;=7.5,"Uncontrolled")</f>
        <v>Normal</v>
      </c>
      <c r="P973" s="5" t="str">
        <f>_xlfn.IFS('Data set'!$F973&lt;120,"Low",'Data set'!$F973&lt;=200,"Normal",'Data set'!$F973&lt;=240,"Boarderline",'Data set'!$F973&gt;=241,"High")</f>
        <v>Normal</v>
      </c>
      <c r="Q973" s="5" t="str">
        <f>_xlfn.IFS('Data set'!$D973&lt;=18.5,"Low",'Data set'!$D973&lt;=24.9,"Normal",'Data set'!$D973&lt;=29.9,"High",'Data set'!$D973&gt;29.9,"Very High")</f>
        <v>Very High</v>
      </c>
    </row>
    <row r="974" spans="1:17" x14ac:dyDescent="0.25">
      <c r="A974" s="3">
        <v>52</v>
      </c>
      <c r="B974" s="3" t="s">
        <v>0</v>
      </c>
      <c r="C974" s="4">
        <v>194.75</v>
      </c>
      <c r="D974" s="4">
        <v>24.07</v>
      </c>
      <c r="E974" s="3" t="s">
        <v>1</v>
      </c>
      <c r="F974" s="3">
        <v>259</v>
      </c>
      <c r="G974" s="3" t="s">
        <v>355</v>
      </c>
      <c r="H974" s="4">
        <v>4.21</v>
      </c>
      <c r="I974" s="3">
        <v>5</v>
      </c>
      <c r="J974" s="3" t="s">
        <v>3</v>
      </c>
      <c r="K974" s="3" t="s">
        <v>3</v>
      </c>
      <c r="L974" s="3">
        <v>139</v>
      </c>
      <c r="M974" s="3">
        <v>63</v>
      </c>
      <c r="N974" s="3" t="s">
        <v>8</v>
      </c>
      <c r="O974" s="3" t="str">
        <f>_xlfn.IFS('Data set'!$H974&lt;5.7,"Normal",'Data set'!$H974&lt;=6.4,"Prediabetes",'Data set'!$H974&lt;=7.5,"Diabetes",'Data set'!$H974&gt;=7.5,"Uncontrolled")</f>
        <v>Normal</v>
      </c>
      <c r="P974" s="3" t="str">
        <f>_xlfn.IFS('Data set'!$F974&lt;120,"Low",'Data set'!$F974&lt;=200,"Normal",'Data set'!$F974&lt;=240,"Boarderline",'Data set'!$F974&gt;=241,"High")</f>
        <v>High</v>
      </c>
      <c r="Q974" s="3" t="str">
        <f>_xlfn.IFS('Data set'!$D974&lt;=18.5,"Low",'Data set'!$D974&lt;=24.9,"Normal",'Data set'!$D974&lt;=29.9,"High",'Data set'!$D974&gt;29.9,"Very High")</f>
        <v>Normal</v>
      </c>
    </row>
    <row r="975" spans="1:17" x14ac:dyDescent="0.25">
      <c r="A975" s="5">
        <v>41</v>
      </c>
      <c r="B975" s="5" t="s">
        <v>0</v>
      </c>
      <c r="C975" s="6">
        <v>184.77</v>
      </c>
      <c r="D975" s="6">
        <v>32.270000000000003</v>
      </c>
      <c r="E975" s="5" t="s">
        <v>10</v>
      </c>
      <c r="F975" s="5">
        <v>224</v>
      </c>
      <c r="G975" s="5" t="s">
        <v>738</v>
      </c>
      <c r="H975" s="6">
        <v>9.09</v>
      </c>
      <c r="I975" s="5">
        <v>0</v>
      </c>
      <c r="J975" s="5" t="s">
        <v>3</v>
      </c>
      <c r="K975" s="5" t="s">
        <v>3</v>
      </c>
      <c r="L975" s="5">
        <v>128</v>
      </c>
      <c r="M975" s="5">
        <v>66</v>
      </c>
      <c r="N975" s="5" t="s">
        <v>23</v>
      </c>
      <c r="O975" s="5" t="str">
        <f>_xlfn.IFS('Data set'!$H975&lt;5.7,"Normal",'Data set'!$H975&lt;=6.4,"Prediabetes",'Data set'!$H975&lt;=7.5,"Diabetes",'Data set'!$H975&gt;=7.5,"Uncontrolled")</f>
        <v>Uncontrolled</v>
      </c>
      <c r="P975" s="5" t="str">
        <f>_xlfn.IFS('Data set'!$F975&lt;120,"Low",'Data set'!$F975&lt;=200,"Normal",'Data set'!$F975&lt;=240,"Boarderline",'Data set'!$F975&gt;=241,"High")</f>
        <v>Boarderline</v>
      </c>
      <c r="Q975" s="5" t="str">
        <f>_xlfn.IFS('Data set'!$D975&lt;=18.5,"Low",'Data set'!$D975&lt;=24.9,"Normal",'Data set'!$D975&lt;=29.9,"High",'Data set'!$D975&gt;29.9,"Very High")</f>
        <v>Very High</v>
      </c>
    </row>
    <row r="976" spans="1:17" x14ac:dyDescent="0.25">
      <c r="A976" s="3">
        <v>74</v>
      </c>
      <c r="B976" s="3" t="s">
        <v>0</v>
      </c>
      <c r="C976" s="4">
        <v>249.52</v>
      </c>
      <c r="D976" s="4">
        <v>39.24</v>
      </c>
      <c r="E976" s="3" t="s">
        <v>6</v>
      </c>
      <c r="F976" s="3">
        <v>178</v>
      </c>
      <c r="G976" s="3" t="s">
        <v>739</v>
      </c>
      <c r="H976" s="4">
        <v>5.57</v>
      </c>
      <c r="I976" s="3">
        <v>4</v>
      </c>
      <c r="J976" s="3" t="s">
        <v>3</v>
      </c>
      <c r="K976" s="3" t="s">
        <v>4</v>
      </c>
      <c r="L976" s="3">
        <v>127</v>
      </c>
      <c r="M976" s="3">
        <v>66</v>
      </c>
      <c r="N976" s="3" t="s">
        <v>5</v>
      </c>
      <c r="O976" s="3" t="str">
        <f>_xlfn.IFS('Data set'!$H976&lt;5.7,"Normal",'Data set'!$H976&lt;=6.4,"Prediabetes",'Data set'!$H976&lt;=7.5,"Diabetes",'Data set'!$H976&gt;=7.5,"Uncontrolled")</f>
        <v>Normal</v>
      </c>
      <c r="P976" s="3" t="str">
        <f>_xlfn.IFS('Data set'!$F976&lt;120,"Low",'Data set'!$F976&lt;=200,"Normal",'Data set'!$F976&lt;=240,"Boarderline",'Data set'!$F976&gt;=241,"High")</f>
        <v>Normal</v>
      </c>
      <c r="Q976" s="3" t="str">
        <f>_xlfn.IFS('Data set'!$D976&lt;=18.5,"Low",'Data set'!$D976&lt;=24.9,"Normal",'Data set'!$D976&lt;=29.9,"High",'Data set'!$D976&gt;29.9,"Very High")</f>
        <v>Very High</v>
      </c>
    </row>
    <row r="977" spans="1:17" x14ac:dyDescent="0.25">
      <c r="A977" s="5">
        <v>27</v>
      </c>
      <c r="B977" s="5" t="s">
        <v>0</v>
      </c>
      <c r="C977" s="6">
        <v>113.45</v>
      </c>
      <c r="D977" s="6">
        <v>37.67</v>
      </c>
      <c r="E977" s="5" t="s">
        <v>14</v>
      </c>
      <c r="F977" s="5">
        <v>188</v>
      </c>
      <c r="G977" s="5" t="s">
        <v>425</v>
      </c>
      <c r="H977" s="6">
        <v>9.32</v>
      </c>
      <c r="I977" s="5">
        <v>6</v>
      </c>
      <c r="J977" s="5" t="s">
        <v>4</v>
      </c>
      <c r="K977" s="5" t="s">
        <v>4</v>
      </c>
      <c r="L977" s="5">
        <v>132</v>
      </c>
      <c r="M977" s="5">
        <v>83</v>
      </c>
      <c r="N977" s="5" t="s">
        <v>17</v>
      </c>
      <c r="O977" s="5" t="str">
        <f>_xlfn.IFS('Data set'!$H977&lt;5.7,"Normal",'Data set'!$H977&lt;=6.4,"Prediabetes",'Data set'!$H977&lt;=7.5,"Diabetes",'Data set'!$H977&gt;=7.5,"Uncontrolled")</f>
        <v>Uncontrolled</v>
      </c>
      <c r="P977" s="5" t="str">
        <f>_xlfn.IFS('Data set'!$F977&lt;120,"Low",'Data set'!$F977&lt;=200,"Normal",'Data set'!$F977&lt;=240,"Boarderline",'Data set'!$F977&gt;=241,"High")</f>
        <v>Normal</v>
      </c>
      <c r="Q977" s="5" t="str">
        <f>_xlfn.IFS('Data set'!$D977&lt;=18.5,"Low",'Data set'!$D977&lt;=24.9,"Normal",'Data set'!$D977&lt;=29.9,"High",'Data set'!$D977&gt;29.9,"Very High")</f>
        <v>Very High</v>
      </c>
    </row>
    <row r="978" spans="1:17" x14ac:dyDescent="0.25">
      <c r="A978" s="3">
        <v>72</v>
      </c>
      <c r="B978" s="3" t="s">
        <v>0</v>
      </c>
      <c r="C978" s="4">
        <v>188.9</v>
      </c>
      <c r="D978" s="4">
        <v>34.22</v>
      </c>
      <c r="E978" s="3" t="s">
        <v>1</v>
      </c>
      <c r="F978" s="3">
        <v>178</v>
      </c>
      <c r="G978" s="3" t="s">
        <v>282</v>
      </c>
      <c r="H978" s="4">
        <v>9.1</v>
      </c>
      <c r="I978" s="3">
        <v>4</v>
      </c>
      <c r="J978" s="3" t="s">
        <v>3</v>
      </c>
      <c r="K978" s="3" t="s">
        <v>4</v>
      </c>
      <c r="L978" s="3">
        <v>124</v>
      </c>
      <c r="M978" s="3">
        <v>77</v>
      </c>
      <c r="N978" s="3" t="s">
        <v>5</v>
      </c>
      <c r="O978" s="3" t="str">
        <f>_xlfn.IFS('Data set'!$H978&lt;5.7,"Normal",'Data set'!$H978&lt;=6.4,"Prediabetes",'Data set'!$H978&lt;=7.5,"Diabetes",'Data set'!$H978&gt;=7.5,"Uncontrolled")</f>
        <v>Uncontrolled</v>
      </c>
      <c r="P978" s="3" t="str">
        <f>_xlfn.IFS('Data set'!$F978&lt;120,"Low",'Data set'!$F978&lt;=200,"Normal",'Data set'!$F978&lt;=240,"Boarderline",'Data set'!$F978&gt;=241,"High")</f>
        <v>Normal</v>
      </c>
      <c r="Q978" s="3" t="str">
        <f>_xlfn.IFS('Data set'!$D978&lt;=18.5,"Low",'Data set'!$D978&lt;=24.9,"Normal",'Data set'!$D978&lt;=29.9,"High",'Data set'!$D978&gt;29.9,"Very High")</f>
        <v>Very High</v>
      </c>
    </row>
    <row r="979" spans="1:17" x14ac:dyDescent="0.25">
      <c r="A979" s="5">
        <v>30</v>
      </c>
      <c r="B979" s="5" t="s">
        <v>0</v>
      </c>
      <c r="C979" s="6">
        <v>219.83</v>
      </c>
      <c r="D979" s="6">
        <v>20.14</v>
      </c>
      <c r="E979" s="5" t="s">
        <v>10</v>
      </c>
      <c r="F979" s="5">
        <v>130</v>
      </c>
      <c r="G979" s="5" t="s">
        <v>326</v>
      </c>
      <c r="H979" s="6">
        <v>9.17</v>
      </c>
      <c r="I979" s="5">
        <v>6</v>
      </c>
      <c r="J979" s="5" t="s">
        <v>4</v>
      </c>
      <c r="K979" s="5" t="s">
        <v>3</v>
      </c>
      <c r="L979" s="5">
        <v>113</v>
      </c>
      <c r="M979" s="5">
        <v>70</v>
      </c>
      <c r="N979" s="5" t="s">
        <v>17</v>
      </c>
      <c r="O979" s="5" t="str">
        <f>_xlfn.IFS('Data set'!$H979&lt;5.7,"Normal",'Data set'!$H979&lt;=6.4,"Prediabetes",'Data set'!$H979&lt;=7.5,"Diabetes",'Data set'!$H979&gt;=7.5,"Uncontrolled")</f>
        <v>Uncontrolled</v>
      </c>
      <c r="P979" s="5" t="str">
        <f>_xlfn.IFS('Data set'!$F979&lt;120,"Low",'Data set'!$F979&lt;=200,"Normal",'Data set'!$F979&lt;=240,"Boarderline",'Data set'!$F979&gt;=241,"High")</f>
        <v>Normal</v>
      </c>
      <c r="Q979" s="5" t="str">
        <f>_xlfn.IFS('Data set'!$D979&lt;=18.5,"Low",'Data set'!$D979&lt;=24.9,"Normal",'Data set'!$D979&lt;=29.9,"High",'Data set'!$D979&gt;29.9,"Very High")</f>
        <v>Normal</v>
      </c>
    </row>
    <row r="980" spans="1:17" x14ac:dyDescent="0.25">
      <c r="A980" s="3">
        <v>20</v>
      </c>
      <c r="B980" s="3" t="s">
        <v>0</v>
      </c>
      <c r="C980" s="4">
        <v>133.82</v>
      </c>
      <c r="D980" s="4">
        <v>26.67</v>
      </c>
      <c r="E980" s="3" t="s">
        <v>14</v>
      </c>
      <c r="F980" s="3">
        <v>114</v>
      </c>
      <c r="G980" s="3" t="s">
        <v>740</v>
      </c>
      <c r="H980" s="4">
        <v>5.26</v>
      </c>
      <c r="I980" s="3">
        <v>3</v>
      </c>
      <c r="J980" s="3" t="s">
        <v>3</v>
      </c>
      <c r="K980" s="3" t="s">
        <v>4</v>
      </c>
      <c r="L980" s="3">
        <v>111</v>
      </c>
      <c r="M980" s="3">
        <v>63</v>
      </c>
      <c r="N980" s="3" t="s">
        <v>17</v>
      </c>
      <c r="O980" s="3" t="str">
        <f>_xlfn.IFS('Data set'!$H980&lt;5.7,"Normal",'Data set'!$H980&lt;=6.4,"Prediabetes",'Data set'!$H980&lt;=7.5,"Diabetes",'Data set'!$H980&gt;=7.5,"Uncontrolled")</f>
        <v>Normal</v>
      </c>
      <c r="P980" s="3" t="str">
        <f>_xlfn.IFS('Data set'!$F980&lt;120,"Low",'Data set'!$F980&lt;=200,"Normal",'Data set'!$F980&lt;=240,"Boarderline",'Data set'!$F980&gt;=241,"High")</f>
        <v>Low</v>
      </c>
      <c r="Q980" s="3" t="str">
        <f>_xlfn.IFS('Data set'!$D980&lt;=18.5,"Low",'Data set'!$D980&lt;=24.9,"Normal",'Data set'!$D980&lt;=29.9,"High",'Data set'!$D980&gt;29.9,"Very High")</f>
        <v>High</v>
      </c>
    </row>
    <row r="981" spans="1:17" x14ac:dyDescent="0.25">
      <c r="A981" s="5">
        <v>52</v>
      </c>
      <c r="B981" s="5" t="s">
        <v>9</v>
      </c>
      <c r="C981" s="6">
        <v>153.78</v>
      </c>
      <c r="D981" s="6">
        <v>33.54</v>
      </c>
      <c r="E981" s="5" t="s">
        <v>6</v>
      </c>
      <c r="F981" s="5">
        <v>265</v>
      </c>
      <c r="G981" s="5" t="s">
        <v>741</v>
      </c>
      <c r="H981" s="6">
        <v>8.57</v>
      </c>
      <c r="I981" s="5">
        <v>3</v>
      </c>
      <c r="J981" s="5" t="s">
        <v>4</v>
      </c>
      <c r="K981" s="5" t="s">
        <v>4</v>
      </c>
      <c r="L981" s="5">
        <v>140</v>
      </c>
      <c r="M981" s="5">
        <v>67</v>
      </c>
      <c r="N981" s="5" t="s">
        <v>8</v>
      </c>
      <c r="O981" s="5" t="str">
        <f>_xlfn.IFS('Data set'!$H981&lt;5.7,"Normal",'Data set'!$H981&lt;=6.4,"Prediabetes",'Data set'!$H981&lt;=7.5,"Diabetes",'Data set'!$H981&gt;=7.5,"Uncontrolled")</f>
        <v>Uncontrolled</v>
      </c>
      <c r="P981" s="5" t="str">
        <f>_xlfn.IFS('Data set'!$F981&lt;120,"Low",'Data set'!$F981&lt;=200,"Normal",'Data set'!$F981&lt;=240,"Boarderline",'Data set'!$F981&gt;=241,"High")</f>
        <v>High</v>
      </c>
      <c r="Q981" s="5" t="str">
        <f>_xlfn.IFS('Data set'!$D981&lt;=18.5,"Low",'Data set'!$D981&lt;=24.9,"Normal",'Data set'!$D981&lt;=29.9,"High",'Data set'!$D981&gt;29.9,"Very High")</f>
        <v>Very High</v>
      </c>
    </row>
    <row r="982" spans="1:17" x14ac:dyDescent="0.25">
      <c r="A982" s="3">
        <v>24</v>
      </c>
      <c r="B982" s="3" t="s">
        <v>9</v>
      </c>
      <c r="C982" s="4">
        <v>112.42</v>
      </c>
      <c r="D982" s="4">
        <v>32.770000000000003</v>
      </c>
      <c r="E982" s="3" t="s">
        <v>1</v>
      </c>
      <c r="F982" s="3">
        <v>172</v>
      </c>
      <c r="G982" s="3" t="s">
        <v>742</v>
      </c>
      <c r="H982" s="4">
        <v>5.82</v>
      </c>
      <c r="I982" s="3">
        <v>0</v>
      </c>
      <c r="J982" s="3" t="s">
        <v>4</v>
      </c>
      <c r="K982" s="3" t="s">
        <v>3</v>
      </c>
      <c r="L982" s="3">
        <v>98</v>
      </c>
      <c r="M982" s="3">
        <v>84</v>
      </c>
      <c r="N982" s="3" t="s">
        <v>17</v>
      </c>
      <c r="O982" s="3" t="str">
        <f>_xlfn.IFS('Data set'!$H982&lt;5.7,"Normal",'Data set'!$H982&lt;=6.4,"Prediabetes",'Data set'!$H982&lt;=7.5,"Diabetes",'Data set'!$H982&gt;=7.5,"Uncontrolled")</f>
        <v>Prediabetes</v>
      </c>
      <c r="P982" s="3" t="str">
        <f>_xlfn.IFS('Data set'!$F982&lt;120,"Low",'Data set'!$F982&lt;=200,"Normal",'Data set'!$F982&lt;=240,"Boarderline",'Data set'!$F982&gt;=241,"High")</f>
        <v>Normal</v>
      </c>
      <c r="Q982" s="3" t="str">
        <f>_xlfn.IFS('Data set'!$D982&lt;=18.5,"Low",'Data set'!$D982&lt;=24.9,"Normal",'Data set'!$D982&lt;=29.9,"High",'Data set'!$D982&gt;29.9,"Very High")</f>
        <v>Very High</v>
      </c>
    </row>
    <row r="983" spans="1:17" x14ac:dyDescent="0.25">
      <c r="A983" s="5">
        <v>58</v>
      </c>
      <c r="B983" s="5" t="s">
        <v>0</v>
      </c>
      <c r="C983" s="6">
        <v>129.21</v>
      </c>
      <c r="D983" s="6">
        <v>32.71</v>
      </c>
      <c r="E983" s="5" t="s">
        <v>10</v>
      </c>
      <c r="F983" s="5">
        <v>118</v>
      </c>
      <c r="G983" s="5" t="s">
        <v>675</v>
      </c>
      <c r="H983" s="6">
        <v>7.64</v>
      </c>
      <c r="I983" s="5">
        <v>6</v>
      </c>
      <c r="J983" s="5" t="s">
        <v>3</v>
      </c>
      <c r="K983" s="5" t="s">
        <v>4</v>
      </c>
      <c r="L983" s="5">
        <v>119</v>
      </c>
      <c r="M983" s="5">
        <v>77</v>
      </c>
      <c r="N983" s="5" t="s">
        <v>8</v>
      </c>
      <c r="O983" s="5" t="str">
        <f>_xlfn.IFS('Data set'!$H983&lt;5.7,"Normal",'Data set'!$H983&lt;=6.4,"Prediabetes",'Data set'!$H983&lt;=7.5,"Diabetes",'Data set'!$H983&gt;=7.5,"Uncontrolled")</f>
        <v>Uncontrolled</v>
      </c>
      <c r="P983" s="5" t="str">
        <f>_xlfn.IFS('Data set'!$F983&lt;120,"Low",'Data set'!$F983&lt;=200,"Normal",'Data set'!$F983&lt;=240,"Boarderline",'Data set'!$F983&gt;=241,"High")</f>
        <v>Low</v>
      </c>
      <c r="Q983" s="5" t="str">
        <f>_xlfn.IFS('Data set'!$D983&lt;=18.5,"Low",'Data set'!$D983&lt;=24.9,"Normal",'Data set'!$D983&lt;=29.9,"High",'Data set'!$D983&gt;29.9,"Very High")</f>
        <v>Very High</v>
      </c>
    </row>
    <row r="984" spans="1:17" x14ac:dyDescent="0.25">
      <c r="A984" s="3">
        <v>27</v>
      </c>
      <c r="B984" s="3" t="s">
        <v>0</v>
      </c>
      <c r="C984" s="4">
        <v>159.35</v>
      </c>
      <c r="D984" s="4">
        <v>20.72</v>
      </c>
      <c r="E984" s="3" t="s">
        <v>10</v>
      </c>
      <c r="F984" s="3">
        <v>124</v>
      </c>
      <c r="G984" s="3" t="s">
        <v>299</v>
      </c>
      <c r="H984" s="4">
        <v>7.29</v>
      </c>
      <c r="I984" s="3">
        <v>5</v>
      </c>
      <c r="J984" s="3" t="s">
        <v>3</v>
      </c>
      <c r="K984" s="3" t="s">
        <v>4</v>
      </c>
      <c r="L984" s="3">
        <v>139</v>
      </c>
      <c r="M984" s="3">
        <v>74</v>
      </c>
      <c r="N984" s="3" t="s">
        <v>17</v>
      </c>
      <c r="O984" s="3" t="str">
        <f>_xlfn.IFS('Data set'!$H984&lt;5.7,"Normal",'Data set'!$H984&lt;=6.4,"Prediabetes",'Data set'!$H984&lt;=7.5,"Diabetes",'Data set'!$H984&gt;=7.5,"Uncontrolled")</f>
        <v>Diabetes</v>
      </c>
      <c r="P984" s="3" t="str">
        <f>_xlfn.IFS('Data set'!$F984&lt;120,"Low",'Data set'!$F984&lt;=200,"Normal",'Data set'!$F984&lt;=240,"Boarderline",'Data set'!$F984&gt;=241,"High")</f>
        <v>Normal</v>
      </c>
      <c r="Q984" s="3" t="str">
        <f>_xlfn.IFS('Data set'!$D984&lt;=18.5,"Low",'Data set'!$D984&lt;=24.9,"Normal",'Data set'!$D984&lt;=29.9,"High",'Data set'!$D984&gt;29.9,"Very High")</f>
        <v>Normal</v>
      </c>
    </row>
    <row r="985" spans="1:17" x14ac:dyDescent="0.25">
      <c r="A985" s="5">
        <v>59</v>
      </c>
      <c r="B985" s="5" t="s">
        <v>0</v>
      </c>
      <c r="C985" s="6">
        <v>123.13</v>
      </c>
      <c r="D985" s="6">
        <v>26.06</v>
      </c>
      <c r="E985" s="5" t="s">
        <v>14</v>
      </c>
      <c r="F985" s="5">
        <v>178</v>
      </c>
      <c r="G985" s="5" t="s">
        <v>340</v>
      </c>
      <c r="H985" s="6">
        <v>6.75</v>
      </c>
      <c r="I985" s="5">
        <v>3</v>
      </c>
      <c r="J985" s="5" t="s">
        <v>3</v>
      </c>
      <c r="K985" s="5" t="s">
        <v>4</v>
      </c>
      <c r="L985" s="5">
        <v>95</v>
      </c>
      <c r="M985" s="5">
        <v>78</v>
      </c>
      <c r="N985" s="5" t="s">
        <v>8</v>
      </c>
      <c r="O985" s="5" t="str">
        <f>_xlfn.IFS('Data set'!$H985&lt;5.7,"Normal",'Data set'!$H985&lt;=6.4,"Prediabetes",'Data set'!$H985&lt;=7.5,"Diabetes",'Data set'!$H985&gt;=7.5,"Uncontrolled")</f>
        <v>Diabetes</v>
      </c>
      <c r="P985" s="5" t="str">
        <f>_xlfn.IFS('Data set'!$F985&lt;120,"Low",'Data set'!$F985&lt;=200,"Normal",'Data set'!$F985&lt;=240,"Boarderline",'Data set'!$F985&gt;=241,"High")</f>
        <v>Normal</v>
      </c>
      <c r="Q985" s="5" t="str">
        <f>_xlfn.IFS('Data set'!$D985&lt;=18.5,"Low",'Data set'!$D985&lt;=24.9,"Normal",'Data set'!$D985&lt;=29.9,"High",'Data set'!$D985&gt;29.9,"Very High")</f>
        <v>High</v>
      </c>
    </row>
    <row r="986" spans="1:17" x14ac:dyDescent="0.25">
      <c r="A986" s="3">
        <v>48</v>
      </c>
      <c r="B986" s="3" t="s">
        <v>9</v>
      </c>
      <c r="C986" s="4">
        <v>249.52</v>
      </c>
      <c r="D986" s="4">
        <v>26.2</v>
      </c>
      <c r="E986" s="3" t="s">
        <v>14</v>
      </c>
      <c r="F986" s="3">
        <v>215</v>
      </c>
      <c r="G986" s="3" t="s">
        <v>743</v>
      </c>
      <c r="H986" s="4">
        <v>4.4800000000000004</v>
      </c>
      <c r="I986" s="3">
        <v>0</v>
      </c>
      <c r="J986" s="3" t="s">
        <v>3</v>
      </c>
      <c r="K986" s="3" t="s">
        <v>3</v>
      </c>
      <c r="L986" s="3">
        <v>135</v>
      </c>
      <c r="M986" s="3">
        <v>88</v>
      </c>
      <c r="N986" s="3" t="s">
        <v>23</v>
      </c>
      <c r="O986" s="3" t="str">
        <f>_xlfn.IFS('Data set'!$H986&lt;5.7,"Normal",'Data set'!$H986&lt;=6.4,"Prediabetes",'Data set'!$H986&lt;=7.5,"Diabetes",'Data set'!$H986&gt;=7.5,"Uncontrolled")</f>
        <v>Normal</v>
      </c>
      <c r="P986" s="3" t="str">
        <f>_xlfn.IFS('Data set'!$F986&lt;120,"Low",'Data set'!$F986&lt;=200,"Normal",'Data set'!$F986&lt;=240,"Boarderline",'Data set'!$F986&gt;=241,"High")</f>
        <v>Boarderline</v>
      </c>
      <c r="Q986" s="3" t="str">
        <f>_xlfn.IFS('Data set'!$D986&lt;=18.5,"Low",'Data set'!$D986&lt;=24.9,"Normal",'Data set'!$D986&lt;=29.9,"High",'Data set'!$D986&gt;29.9,"Very High")</f>
        <v>High</v>
      </c>
    </row>
    <row r="987" spans="1:17" x14ac:dyDescent="0.25">
      <c r="A987" s="5">
        <v>39</v>
      </c>
      <c r="B987" s="5" t="s">
        <v>0</v>
      </c>
      <c r="C987" s="6">
        <v>96.79</v>
      </c>
      <c r="D987" s="6">
        <v>21.63</v>
      </c>
      <c r="E987" s="5" t="s">
        <v>6</v>
      </c>
      <c r="F987" s="5">
        <v>200</v>
      </c>
      <c r="G987" s="5" t="s">
        <v>583</v>
      </c>
      <c r="H987" s="6">
        <v>5.04</v>
      </c>
      <c r="I987" s="5">
        <v>3</v>
      </c>
      <c r="J987" s="5" t="s">
        <v>3</v>
      </c>
      <c r="K987" s="5" t="s">
        <v>4</v>
      </c>
      <c r="L987" s="5">
        <v>139</v>
      </c>
      <c r="M987" s="5">
        <v>85</v>
      </c>
      <c r="N987" s="5" t="s">
        <v>12</v>
      </c>
      <c r="O987" s="5" t="str">
        <f>_xlfn.IFS('Data set'!$H987&lt;5.7,"Normal",'Data set'!$H987&lt;=6.4,"Prediabetes",'Data set'!$H987&lt;=7.5,"Diabetes",'Data set'!$H987&gt;=7.5,"Uncontrolled")</f>
        <v>Normal</v>
      </c>
      <c r="P987" s="5" t="str">
        <f>_xlfn.IFS('Data set'!$F987&lt;120,"Low",'Data set'!$F987&lt;=200,"Normal",'Data set'!$F987&lt;=240,"Boarderline",'Data set'!$F987&gt;=241,"High")</f>
        <v>Normal</v>
      </c>
      <c r="Q987" s="5" t="str">
        <f>_xlfn.IFS('Data set'!$D987&lt;=18.5,"Low",'Data set'!$D987&lt;=24.9,"Normal",'Data set'!$D987&lt;=29.9,"High",'Data set'!$D987&gt;29.9,"Very High")</f>
        <v>Normal</v>
      </c>
    </row>
    <row r="988" spans="1:17" x14ac:dyDescent="0.25">
      <c r="A988" s="3">
        <v>72</v>
      </c>
      <c r="B988" s="3" t="s">
        <v>0</v>
      </c>
      <c r="C988" s="4">
        <v>265.47000000000003</v>
      </c>
      <c r="D988" s="4">
        <v>22.03</v>
      </c>
      <c r="E988" s="3" t="s">
        <v>6</v>
      </c>
      <c r="F988" s="3">
        <v>121</v>
      </c>
      <c r="G988" s="3" t="s">
        <v>744</v>
      </c>
      <c r="H988" s="4">
        <v>5.57</v>
      </c>
      <c r="I988" s="3">
        <v>7</v>
      </c>
      <c r="J988" s="3" t="s">
        <v>4</v>
      </c>
      <c r="K988" s="3" t="s">
        <v>3</v>
      </c>
      <c r="L988" s="3">
        <v>118</v>
      </c>
      <c r="M988" s="3">
        <v>83</v>
      </c>
      <c r="N988" s="3" t="s">
        <v>5</v>
      </c>
      <c r="O988" s="3" t="str">
        <f>_xlfn.IFS('Data set'!$H988&lt;5.7,"Normal",'Data set'!$H988&lt;=6.4,"Prediabetes",'Data set'!$H988&lt;=7.5,"Diabetes",'Data set'!$H988&gt;=7.5,"Uncontrolled")</f>
        <v>Normal</v>
      </c>
      <c r="P988" s="3" t="str">
        <f>_xlfn.IFS('Data set'!$F988&lt;120,"Low",'Data set'!$F988&lt;=200,"Normal",'Data set'!$F988&lt;=240,"Boarderline",'Data set'!$F988&gt;=241,"High")</f>
        <v>Normal</v>
      </c>
      <c r="Q988" s="3" t="str">
        <f>_xlfn.IFS('Data set'!$D988&lt;=18.5,"Low",'Data set'!$D988&lt;=24.9,"Normal",'Data set'!$D988&lt;=29.9,"High",'Data set'!$D988&gt;29.9,"Very High")</f>
        <v>Normal</v>
      </c>
    </row>
    <row r="989" spans="1:17" x14ac:dyDescent="0.25">
      <c r="A989" s="5">
        <v>56</v>
      </c>
      <c r="B989" s="5" t="s">
        <v>0</v>
      </c>
      <c r="C989" s="6">
        <v>219.23</v>
      </c>
      <c r="D989" s="6">
        <v>31.01</v>
      </c>
      <c r="E989" s="5" t="s">
        <v>6</v>
      </c>
      <c r="F989" s="5">
        <v>162</v>
      </c>
      <c r="G989" s="5" t="s">
        <v>745</v>
      </c>
      <c r="H989" s="6">
        <v>8.73</v>
      </c>
      <c r="I989" s="5">
        <v>0</v>
      </c>
      <c r="J989" s="5" t="s">
        <v>3</v>
      </c>
      <c r="K989" s="5" t="s">
        <v>3</v>
      </c>
      <c r="L989" s="5">
        <v>100</v>
      </c>
      <c r="M989" s="5">
        <v>66</v>
      </c>
      <c r="N989" s="5" t="s">
        <v>8</v>
      </c>
      <c r="O989" s="5" t="str">
        <f>_xlfn.IFS('Data set'!$H989&lt;5.7,"Normal",'Data set'!$H989&lt;=6.4,"Prediabetes",'Data set'!$H989&lt;=7.5,"Diabetes",'Data set'!$H989&gt;=7.5,"Uncontrolled")</f>
        <v>Uncontrolled</v>
      </c>
      <c r="P989" s="5" t="str">
        <f>_xlfn.IFS('Data set'!$F989&lt;120,"Low",'Data set'!$F989&lt;=200,"Normal",'Data set'!$F989&lt;=240,"Boarderline",'Data set'!$F989&gt;=241,"High")</f>
        <v>Normal</v>
      </c>
      <c r="Q989" s="5" t="str">
        <f>_xlfn.IFS('Data set'!$D989&lt;=18.5,"Low",'Data set'!$D989&lt;=24.9,"Normal",'Data set'!$D989&lt;=29.9,"High",'Data set'!$D989&gt;29.9,"Very High")</f>
        <v>Very High</v>
      </c>
    </row>
    <row r="990" spans="1:17" x14ac:dyDescent="0.25">
      <c r="A990" s="3">
        <v>49</v>
      </c>
      <c r="B990" s="3" t="s">
        <v>0</v>
      </c>
      <c r="C990" s="4">
        <v>71.14</v>
      </c>
      <c r="D990" s="4">
        <v>29.95</v>
      </c>
      <c r="E990" s="3" t="s">
        <v>1</v>
      </c>
      <c r="F990" s="3">
        <v>104</v>
      </c>
      <c r="G990" s="3" t="s">
        <v>287</v>
      </c>
      <c r="H990" s="4">
        <v>9.66</v>
      </c>
      <c r="I990" s="3">
        <v>6</v>
      </c>
      <c r="J990" s="3" t="s">
        <v>4</v>
      </c>
      <c r="K990" s="3" t="s">
        <v>3</v>
      </c>
      <c r="L990" s="3">
        <v>103</v>
      </c>
      <c r="M990" s="3">
        <v>85</v>
      </c>
      <c r="N990" s="3" t="s">
        <v>23</v>
      </c>
      <c r="O990" s="3" t="str">
        <f>_xlfn.IFS('Data set'!$H990&lt;5.7,"Normal",'Data set'!$H990&lt;=6.4,"Prediabetes",'Data set'!$H990&lt;=7.5,"Diabetes",'Data set'!$H990&gt;=7.5,"Uncontrolled")</f>
        <v>Uncontrolled</v>
      </c>
      <c r="P990" s="3" t="str">
        <f>_xlfn.IFS('Data set'!$F990&lt;120,"Low",'Data set'!$F990&lt;=200,"Normal",'Data set'!$F990&lt;=240,"Boarderline",'Data set'!$F990&gt;=241,"High")</f>
        <v>Low</v>
      </c>
      <c r="Q990" s="3" t="str">
        <f>_xlfn.IFS('Data set'!$D990&lt;=18.5,"Low",'Data set'!$D990&lt;=24.9,"Normal",'Data set'!$D990&lt;=29.9,"High",'Data set'!$D990&gt;29.9,"Very High")</f>
        <v>Very High</v>
      </c>
    </row>
    <row r="991" spans="1:17" x14ac:dyDescent="0.25">
      <c r="A991" s="5">
        <v>70</v>
      </c>
      <c r="B991" s="5" t="s">
        <v>0</v>
      </c>
      <c r="C991" s="6">
        <v>190.32</v>
      </c>
      <c r="D991" s="6">
        <v>32.44</v>
      </c>
      <c r="E991" s="5" t="s">
        <v>10</v>
      </c>
      <c r="F991" s="5">
        <v>185</v>
      </c>
      <c r="G991" s="5" t="s">
        <v>276</v>
      </c>
      <c r="H991" s="6">
        <v>8.6</v>
      </c>
      <c r="I991" s="5">
        <v>1</v>
      </c>
      <c r="J991" s="5" t="s">
        <v>3</v>
      </c>
      <c r="K991" s="5" t="s">
        <v>4</v>
      </c>
      <c r="L991" s="5">
        <v>110</v>
      </c>
      <c r="M991" s="5">
        <v>90</v>
      </c>
      <c r="N991" s="5" t="s">
        <v>21</v>
      </c>
      <c r="O991" s="5" t="str">
        <f>_xlfn.IFS('Data set'!$H991&lt;5.7,"Normal",'Data set'!$H991&lt;=6.4,"Prediabetes",'Data set'!$H991&lt;=7.5,"Diabetes",'Data set'!$H991&gt;=7.5,"Uncontrolled")</f>
        <v>Uncontrolled</v>
      </c>
      <c r="P991" s="5" t="str">
        <f>_xlfn.IFS('Data set'!$F991&lt;120,"Low",'Data set'!$F991&lt;=200,"Normal",'Data set'!$F991&lt;=240,"Boarderline",'Data set'!$F991&gt;=241,"High")</f>
        <v>Normal</v>
      </c>
      <c r="Q991" s="5" t="str">
        <f>_xlfn.IFS('Data set'!$D991&lt;=18.5,"Low",'Data set'!$D991&lt;=24.9,"Normal",'Data set'!$D991&lt;=29.9,"High",'Data set'!$D991&gt;29.9,"Very High")</f>
        <v>Very High</v>
      </c>
    </row>
    <row r="992" spans="1:17" x14ac:dyDescent="0.25">
      <c r="A992" s="3">
        <v>52</v>
      </c>
      <c r="B992" s="3" t="s">
        <v>0</v>
      </c>
      <c r="C992" s="4">
        <v>182.53</v>
      </c>
      <c r="D992" s="4">
        <v>37.799999999999997</v>
      </c>
      <c r="E992" s="3" t="s">
        <v>6</v>
      </c>
      <c r="F992" s="3">
        <v>138</v>
      </c>
      <c r="G992" s="3" t="s">
        <v>746</v>
      </c>
      <c r="H992" s="4">
        <v>4.37</v>
      </c>
      <c r="I992" s="3">
        <v>0</v>
      </c>
      <c r="J992" s="3" t="s">
        <v>4</v>
      </c>
      <c r="K992" s="3" t="s">
        <v>4</v>
      </c>
      <c r="L992" s="3">
        <v>90</v>
      </c>
      <c r="M992" s="3">
        <v>63</v>
      </c>
      <c r="N992" s="3" t="s">
        <v>8</v>
      </c>
      <c r="O992" s="3" t="str">
        <f>_xlfn.IFS('Data set'!$H992&lt;5.7,"Normal",'Data set'!$H992&lt;=6.4,"Prediabetes",'Data set'!$H992&lt;=7.5,"Diabetes",'Data set'!$H992&gt;=7.5,"Uncontrolled")</f>
        <v>Normal</v>
      </c>
      <c r="P992" s="3" t="str">
        <f>_xlfn.IFS('Data set'!$F992&lt;120,"Low",'Data set'!$F992&lt;=200,"Normal",'Data set'!$F992&lt;=240,"Boarderline",'Data set'!$F992&gt;=241,"High")</f>
        <v>Normal</v>
      </c>
      <c r="Q992" s="3" t="str">
        <f>_xlfn.IFS('Data set'!$D992&lt;=18.5,"Low",'Data set'!$D992&lt;=24.9,"Normal",'Data set'!$D992&lt;=29.9,"High",'Data set'!$D992&gt;29.9,"Very High")</f>
        <v>Very High</v>
      </c>
    </row>
    <row r="993" spans="1:17" x14ac:dyDescent="0.25">
      <c r="A993" s="5">
        <v>39</v>
      </c>
      <c r="B993" s="5" t="s">
        <v>9</v>
      </c>
      <c r="C993" s="6">
        <v>179.56</v>
      </c>
      <c r="D993" s="6">
        <v>39.22</v>
      </c>
      <c r="E993" s="5" t="s">
        <v>6</v>
      </c>
      <c r="F993" s="5">
        <v>130</v>
      </c>
      <c r="G993" s="5" t="s">
        <v>518</v>
      </c>
      <c r="H993" s="6">
        <v>9.76</v>
      </c>
      <c r="I993" s="5">
        <v>7</v>
      </c>
      <c r="J993" s="5" t="s">
        <v>4</v>
      </c>
      <c r="K993" s="5" t="s">
        <v>4</v>
      </c>
      <c r="L993" s="5">
        <v>124</v>
      </c>
      <c r="M993" s="5">
        <v>85</v>
      </c>
      <c r="N993" s="5" t="s">
        <v>12</v>
      </c>
      <c r="O993" s="5" t="str">
        <f>_xlfn.IFS('Data set'!$H993&lt;5.7,"Normal",'Data set'!$H993&lt;=6.4,"Prediabetes",'Data set'!$H993&lt;=7.5,"Diabetes",'Data set'!$H993&gt;=7.5,"Uncontrolled")</f>
        <v>Uncontrolled</v>
      </c>
      <c r="P993" s="5" t="str">
        <f>_xlfn.IFS('Data set'!$F993&lt;120,"Low",'Data set'!$F993&lt;=200,"Normal",'Data set'!$F993&lt;=240,"Boarderline",'Data set'!$F993&gt;=241,"High")</f>
        <v>Normal</v>
      </c>
      <c r="Q993" s="5" t="str">
        <f>_xlfn.IFS('Data set'!$D993&lt;=18.5,"Low",'Data set'!$D993&lt;=24.9,"Normal",'Data set'!$D993&lt;=29.9,"High",'Data set'!$D993&gt;29.9,"Very High")</f>
        <v>Very High</v>
      </c>
    </row>
    <row r="994" spans="1:17" x14ac:dyDescent="0.25">
      <c r="A994" s="3">
        <v>57</v>
      </c>
      <c r="B994" s="3" t="s">
        <v>0</v>
      </c>
      <c r="C994" s="4">
        <v>282.44</v>
      </c>
      <c r="D994" s="4">
        <v>24.41</v>
      </c>
      <c r="E994" s="3" t="s">
        <v>1</v>
      </c>
      <c r="F994" s="3">
        <v>275</v>
      </c>
      <c r="G994" s="3" t="s">
        <v>747</v>
      </c>
      <c r="H994" s="4">
        <v>9.83</v>
      </c>
      <c r="I994" s="3">
        <v>7</v>
      </c>
      <c r="J994" s="3" t="s">
        <v>3</v>
      </c>
      <c r="K994" s="3" t="s">
        <v>3</v>
      </c>
      <c r="L994" s="3">
        <v>102</v>
      </c>
      <c r="M994" s="3">
        <v>61</v>
      </c>
      <c r="N994" s="3" t="s">
        <v>8</v>
      </c>
      <c r="O994" s="3" t="str">
        <f>_xlfn.IFS('Data set'!$H994&lt;5.7,"Normal",'Data set'!$H994&lt;=6.4,"Prediabetes",'Data set'!$H994&lt;=7.5,"Diabetes",'Data set'!$H994&gt;=7.5,"Uncontrolled")</f>
        <v>Uncontrolled</v>
      </c>
      <c r="P994" s="3" t="str">
        <f>_xlfn.IFS('Data set'!$F994&lt;120,"Low",'Data set'!$F994&lt;=200,"Normal",'Data set'!$F994&lt;=240,"Boarderline",'Data set'!$F994&gt;=241,"High")</f>
        <v>High</v>
      </c>
      <c r="Q994" s="3" t="str">
        <f>_xlfn.IFS('Data set'!$D994&lt;=18.5,"Low",'Data set'!$D994&lt;=24.9,"Normal",'Data set'!$D994&lt;=29.9,"High",'Data set'!$D994&gt;29.9,"Very High")</f>
        <v>Normal</v>
      </c>
    </row>
    <row r="995" spans="1:17" x14ac:dyDescent="0.25">
      <c r="A995" s="5">
        <v>68</v>
      </c>
      <c r="B995" s="5" t="s">
        <v>0</v>
      </c>
      <c r="C995" s="6">
        <v>98.39</v>
      </c>
      <c r="D995" s="6">
        <v>18.170000000000002</v>
      </c>
      <c r="E995" s="5" t="s">
        <v>14</v>
      </c>
      <c r="F995" s="5">
        <v>256</v>
      </c>
      <c r="G995" s="5" t="s">
        <v>371</v>
      </c>
      <c r="H995" s="6">
        <v>8.93</v>
      </c>
      <c r="I995" s="5">
        <v>6</v>
      </c>
      <c r="J995" s="5" t="s">
        <v>4</v>
      </c>
      <c r="K995" s="5" t="s">
        <v>3</v>
      </c>
      <c r="L995" s="5">
        <v>93</v>
      </c>
      <c r="M995" s="5">
        <v>83</v>
      </c>
      <c r="N995" s="5" t="s">
        <v>21</v>
      </c>
      <c r="O995" s="5" t="str">
        <f>_xlfn.IFS('Data set'!$H995&lt;5.7,"Normal",'Data set'!$H995&lt;=6.4,"Prediabetes",'Data set'!$H995&lt;=7.5,"Diabetes",'Data set'!$H995&gt;=7.5,"Uncontrolled")</f>
        <v>Uncontrolled</v>
      </c>
      <c r="P995" s="5" t="str">
        <f>_xlfn.IFS('Data set'!$F995&lt;120,"Low",'Data set'!$F995&lt;=200,"Normal",'Data set'!$F995&lt;=240,"Boarderline",'Data set'!$F995&gt;=241,"High")</f>
        <v>High</v>
      </c>
      <c r="Q995" s="5" t="str">
        <f>_xlfn.IFS('Data set'!$D995&lt;=18.5,"Low",'Data set'!$D995&lt;=24.9,"Normal",'Data set'!$D995&lt;=29.9,"High",'Data set'!$D995&gt;29.9,"Very High")</f>
        <v>Low</v>
      </c>
    </row>
    <row r="996" spans="1:17" x14ac:dyDescent="0.25">
      <c r="A996" s="3">
        <v>47</v>
      </c>
      <c r="B996" s="3" t="s">
        <v>9</v>
      </c>
      <c r="C996" s="4">
        <v>130.78</v>
      </c>
      <c r="D996" s="4">
        <v>32.270000000000003</v>
      </c>
      <c r="E996" s="3" t="s">
        <v>6</v>
      </c>
      <c r="F996" s="3">
        <v>104</v>
      </c>
      <c r="G996" s="3" t="s">
        <v>748</v>
      </c>
      <c r="H996" s="4">
        <v>5.97</v>
      </c>
      <c r="I996" s="3">
        <v>3</v>
      </c>
      <c r="J996" s="3" t="s">
        <v>3</v>
      </c>
      <c r="K996" s="3" t="s">
        <v>4</v>
      </c>
      <c r="L996" s="3">
        <v>113</v>
      </c>
      <c r="M996" s="3">
        <v>63</v>
      </c>
      <c r="N996" s="3" t="s">
        <v>23</v>
      </c>
      <c r="O996" s="3" t="str">
        <f>_xlfn.IFS('Data set'!$H996&lt;5.7,"Normal",'Data set'!$H996&lt;=6.4,"Prediabetes",'Data set'!$H996&lt;=7.5,"Diabetes",'Data set'!$H996&gt;=7.5,"Uncontrolled")</f>
        <v>Prediabetes</v>
      </c>
      <c r="P996" s="3" t="str">
        <f>_xlfn.IFS('Data set'!$F996&lt;120,"Low",'Data set'!$F996&lt;=200,"Normal",'Data set'!$F996&lt;=240,"Boarderline",'Data set'!$F996&gt;=241,"High")</f>
        <v>Low</v>
      </c>
      <c r="Q996" s="3" t="str">
        <f>_xlfn.IFS('Data set'!$D996&lt;=18.5,"Low",'Data set'!$D996&lt;=24.9,"Normal",'Data set'!$D996&lt;=29.9,"High",'Data set'!$D996&gt;29.9,"Very High")</f>
        <v>Very High</v>
      </c>
    </row>
    <row r="997" spans="1:17" x14ac:dyDescent="0.25">
      <c r="A997" s="5">
        <v>20</v>
      </c>
      <c r="B997" s="5" t="s">
        <v>0</v>
      </c>
      <c r="C997" s="6">
        <v>252.75</v>
      </c>
      <c r="D997" s="6">
        <v>36.119999999999997</v>
      </c>
      <c r="E997" s="5" t="s">
        <v>1</v>
      </c>
      <c r="F997" s="5">
        <v>187</v>
      </c>
      <c r="G997" s="5" t="s">
        <v>213</v>
      </c>
      <c r="H997" s="6">
        <v>4.3</v>
      </c>
      <c r="I997" s="5">
        <v>7</v>
      </c>
      <c r="J997" s="5" t="s">
        <v>3</v>
      </c>
      <c r="K997" s="5" t="s">
        <v>3</v>
      </c>
      <c r="L997" s="5">
        <v>122</v>
      </c>
      <c r="M997" s="5">
        <v>67</v>
      </c>
      <c r="N997" s="5" t="s">
        <v>17</v>
      </c>
      <c r="O997" s="5" t="str">
        <f>_xlfn.IFS('Data set'!$H997&lt;5.7,"Normal",'Data set'!$H997&lt;=6.4,"Prediabetes",'Data set'!$H997&lt;=7.5,"Diabetes",'Data set'!$H997&gt;=7.5,"Uncontrolled")</f>
        <v>Normal</v>
      </c>
      <c r="P997" s="5" t="str">
        <f>_xlfn.IFS('Data set'!$F997&lt;120,"Low",'Data set'!$F997&lt;=200,"Normal",'Data set'!$F997&lt;=240,"Boarderline",'Data set'!$F997&gt;=241,"High")</f>
        <v>Normal</v>
      </c>
      <c r="Q997" s="5" t="str">
        <f>_xlfn.IFS('Data set'!$D997&lt;=18.5,"Low",'Data set'!$D997&lt;=24.9,"Normal",'Data set'!$D997&lt;=29.9,"High",'Data set'!$D997&gt;29.9,"Very High")</f>
        <v>Very High</v>
      </c>
    </row>
    <row r="998" spans="1:17" x14ac:dyDescent="0.25">
      <c r="A998" s="3">
        <v>27</v>
      </c>
      <c r="B998" s="3" t="s">
        <v>9</v>
      </c>
      <c r="C998" s="4">
        <v>236.11</v>
      </c>
      <c r="D998" s="4">
        <v>20.41</v>
      </c>
      <c r="E998" s="3" t="s">
        <v>10</v>
      </c>
      <c r="F998" s="3">
        <v>202</v>
      </c>
      <c r="G998" s="3" t="s">
        <v>749</v>
      </c>
      <c r="H998" s="4">
        <v>6.87</v>
      </c>
      <c r="I998" s="3">
        <v>0</v>
      </c>
      <c r="J998" s="3" t="s">
        <v>3</v>
      </c>
      <c r="K998" s="3" t="s">
        <v>3</v>
      </c>
      <c r="L998" s="3">
        <v>101</v>
      </c>
      <c r="M998" s="3">
        <v>90</v>
      </c>
      <c r="N998" s="3" t="s">
        <v>17</v>
      </c>
      <c r="O998" s="3" t="str">
        <f>_xlfn.IFS('Data set'!$H998&lt;5.7,"Normal",'Data set'!$H998&lt;=6.4,"Prediabetes",'Data set'!$H998&lt;=7.5,"Diabetes",'Data set'!$H998&gt;=7.5,"Uncontrolled")</f>
        <v>Diabetes</v>
      </c>
      <c r="P998" s="3" t="str">
        <f>_xlfn.IFS('Data set'!$F998&lt;120,"Low",'Data set'!$F998&lt;=200,"Normal",'Data set'!$F998&lt;=240,"Boarderline",'Data set'!$F998&gt;=241,"High")</f>
        <v>Boarderline</v>
      </c>
      <c r="Q998" s="3" t="str">
        <f>_xlfn.IFS('Data set'!$D998&lt;=18.5,"Low",'Data set'!$D998&lt;=24.9,"Normal",'Data set'!$D998&lt;=29.9,"High",'Data set'!$D998&gt;29.9,"Very High")</f>
        <v>Normal</v>
      </c>
    </row>
    <row r="999" spans="1:17" x14ac:dyDescent="0.25">
      <c r="A999" s="5">
        <v>35</v>
      </c>
      <c r="B999" s="5" t="s">
        <v>9</v>
      </c>
      <c r="C999" s="6">
        <v>267.31</v>
      </c>
      <c r="D999" s="6">
        <v>35.909999999999997</v>
      </c>
      <c r="E999" s="5" t="s">
        <v>10</v>
      </c>
      <c r="F999" s="5">
        <v>276</v>
      </c>
      <c r="G999" s="5" t="s">
        <v>750</v>
      </c>
      <c r="H999" s="6">
        <v>5.99</v>
      </c>
      <c r="I999" s="5">
        <v>2</v>
      </c>
      <c r="J999" s="5" t="s">
        <v>4</v>
      </c>
      <c r="K999" s="5" t="s">
        <v>4</v>
      </c>
      <c r="L999" s="5">
        <v>138</v>
      </c>
      <c r="M999" s="5">
        <v>76</v>
      </c>
      <c r="N999" s="5" t="s">
        <v>12</v>
      </c>
      <c r="O999" s="5" t="str">
        <f>_xlfn.IFS('Data set'!$H999&lt;5.7,"Normal",'Data set'!$H999&lt;=6.4,"Prediabetes",'Data set'!$H999&lt;=7.5,"Diabetes",'Data set'!$H999&gt;=7.5,"Uncontrolled")</f>
        <v>Prediabetes</v>
      </c>
      <c r="P999" s="5" t="str">
        <f>_xlfn.IFS('Data set'!$F999&lt;120,"Low",'Data set'!$F999&lt;=200,"Normal",'Data set'!$F999&lt;=240,"Boarderline",'Data set'!$F999&gt;=241,"High")</f>
        <v>High</v>
      </c>
      <c r="Q999" s="5" t="str">
        <f>_xlfn.IFS('Data set'!$D999&lt;=18.5,"Low",'Data set'!$D999&lt;=24.9,"Normal",'Data set'!$D999&lt;=29.9,"High",'Data set'!$D999&gt;29.9,"Very High")</f>
        <v>Very High</v>
      </c>
    </row>
    <row r="1000" spans="1:17" x14ac:dyDescent="0.25">
      <c r="A1000" s="3">
        <v>80</v>
      </c>
      <c r="B1000" s="3" t="s">
        <v>0</v>
      </c>
      <c r="C1000" s="4">
        <v>195.19</v>
      </c>
      <c r="D1000" s="4">
        <v>22.45</v>
      </c>
      <c r="E1000" s="3" t="s">
        <v>1</v>
      </c>
      <c r="F1000" s="3">
        <v>121</v>
      </c>
      <c r="G1000" s="3" t="s">
        <v>727</v>
      </c>
      <c r="H1000" s="4">
        <v>4.3499999999999996</v>
      </c>
      <c r="I1000" s="3">
        <v>1</v>
      </c>
      <c r="J1000" s="3" t="s">
        <v>3</v>
      </c>
      <c r="K1000" s="3" t="s">
        <v>4</v>
      </c>
      <c r="L1000" s="3">
        <v>112</v>
      </c>
      <c r="M1000" s="3">
        <v>80</v>
      </c>
      <c r="N1000" s="3" t="s">
        <v>5</v>
      </c>
      <c r="O1000" s="3" t="str">
        <f>_xlfn.IFS('Data set'!$H1000&lt;5.7,"Normal",'Data set'!$H1000&lt;=6.4,"Prediabetes",'Data set'!$H1000&lt;=7.5,"Diabetes",'Data set'!$H1000&gt;=7.5,"Uncontrolled")</f>
        <v>Normal</v>
      </c>
      <c r="P1000" s="3" t="str">
        <f>_xlfn.IFS('Data set'!$F1000&lt;120,"Low",'Data set'!$F1000&lt;=200,"Normal",'Data set'!$F1000&lt;=240,"Boarderline",'Data set'!$F1000&gt;=241,"High")</f>
        <v>Normal</v>
      </c>
      <c r="Q1000" s="3" t="str">
        <f>_xlfn.IFS('Data set'!$D1000&lt;=18.5,"Low",'Data set'!$D1000&lt;=24.9,"Normal",'Data set'!$D1000&lt;=29.9,"High",'Data set'!$D1000&gt;29.9,"Very High")</f>
        <v>Normal</v>
      </c>
    </row>
    <row r="1001" spans="1:17" x14ac:dyDescent="0.25">
      <c r="A1001" s="5">
        <v>69</v>
      </c>
      <c r="B1001" s="5" t="s">
        <v>0</v>
      </c>
      <c r="C1001" s="6">
        <v>273.81</v>
      </c>
      <c r="D1001" s="6">
        <v>20.420000000000002</v>
      </c>
      <c r="E1001" s="5" t="s">
        <v>1</v>
      </c>
      <c r="F1001" s="5">
        <v>206</v>
      </c>
      <c r="G1001" s="5" t="s">
        <v>601</v>
      </c>
      <c r="H1001" s="6">
        <v>9.02</v>
      </c>
      <c r="I1001" s="5">
        <v>0</v>
      </c>
      <c r="J1001" s="5" t="s">
        <v>3</v>
      </c>
      <c r="K1001" s="5" t="s">
        <v>3</v>
      </c>
      <c r="L1001" s="5">
        <v>130</v>
      </c>
      <c r="M1001" s="5">
        <v>74</v>
      </c>
      <c r="N1001" s="5" t="s">
        <v>21</v>
      </c>
      <c r="O1001" s="5" t="str">
        <f>_xlfn.IFS('Data set'!$H1001&lt;5.7,"Normal",'Data set'!$H1001&lt;=6.4,"Prediabetes",'Data set'!$H1001&lt;=7.5,"Diabetes",'Data set'!$H1001&gt;=7.5,"Uncontrolled")</f>
        <v>Uncontrolled</v>
      </c>
      <c r="P1001" s="5" t="str">
        <f>_xlfn.IFS('Data set'!$F1001&lt;120,"Low",'Data set'!$F1001&lt;=200,"Normal",'Data set'!$F1001&lt;=240,"Boarderline",'Data set'!$F1001&gt;=241,"High")</f>
        <v>Boarderline</v>
      </c>
      <c r="Q1001" s="5" t="str">
        <f>_xlfn.IFS('Data set'!$D1001&lt;=18.5,"Low",'Data set'!$D1001&lt;=24.9,"Normal",'Data set'!$D1001&lt;=29.9,"High",'Data set'!$D1001&gt;29.9,"Very High")</f>
        <v>Normal</v>
      </c>
    </row>
    <row r="1002" spans="1:17" x14ac:dyDescent="0.25">
      <c r="A1002" s="3">
        <v>60</v>
      </c>
      <c r="B1002" s="3" t="s">
        <v>9</v>
      </c>
      <c r="C1002" s="4">
        <v>73.41</v>
      </c>
      <c r="D1002" s="4">
        <v>39.479999999999997</v>
      </c>
      <c r="E1002" s="3" t="s">
        <v>1</v>
      </c>
      <c r="F1002" s="3">
        <v>185</v>
      </c>
      <c r="G1002" s="3" t="s">
        <v>751</v>
      </c>
      <c r="H1002" s="4">
        <v>4.29</v>
      </c>
      <c r="I1002" s="3">
        <v>0</v>
      </c>
      <c r="J1002" s="3" t="s">
        <v>4</v>
      </c>
      <c r="K1002" s="3" t="s">
        <v>3</v>
      </c>
      <c r="L1002" s="3">
        <v>95</v>
      </c>
      <c r="M1002" s="3">
        <v>74</v>
      </c>
      <c r="N1002" s="3" t="s">
        <v>8</v>
      </c>
      <c r="O1002" s="3" t="str">
        <f>_xlfn.IFS('Data set'!$H1002&lt;5.7,"Normal",'Data set'!$H1002&lt;=6.4,"Prediabetes",'Data set'!$H1002&lt;=7.5,"Diabetes",'Data set'!$H1002&gt;=7.5,"Uncontrolled")</f>
        <v>Normal</v>
      </c>
      <c r="P1002" s="3" t="str">
        <f>_xlfn.IFS('Data set'!$F1002&lt;120,"Low",'Data set'!$F1002&lt;=200,"Normal",'Data set'!$F1002&lt;=240,"Boarderline",'Data set'!$F1002&gt;=241,"High")</f>
        <v>Normal</v>
      </c>
      <c r="Q1002" s="3" t="str">
        <f>_xlfn.IFS('Data set'!$D1002&lt;=18.5,"Low",'Data set'!$D1002&lt;=24.9,"Normal",'Data set'!$D1002&lt;=29.9,"High",'Data set'!$D1002&gt;29.9,"Very High")</f>
        <v>Very High</v>
      </c>
    </row>
    <row r="1003" spans="1:17" x14ac:dyDescent="0.25">
      <c r="A1003" s="5">
        <v>21</v>
      </c>
      <c r="B1003" s="5" t="s">
        <v>0</v>
      </c>
      <c r="C1003" s="6">
        <v>235.47</v>
      </c>
      <c r="D1003" s="6">
        <v>20.99</v>
      </c>
      <c r="E1003" s="5" t="s">
        <v>1</v>
      </c>
      <c r="F1003" s="5">
        <v>292</v>
      </c>
      <c r="G1003" s="5" t="s">
        <v>752</v>
      </c>
      <c r="H1003" s="6">
        <v>8.4700000000000006</v>
      </c>
      <c r="I1003" s="5">
        <v>0</v>
      </c>
      <c r="J1003" s="5" t="s">
        <v>4</v>
      </c>
      <c r="K1003" s="5" t="s">
        <v>4</v>
      </c>
      <c r="L1003" s="5">
        <v>117</v>
      </c>
      <c r="M1003" s="5">
        <v>66</v>
      </c>
      <c r="N1003" s="5" t="s">
        <v>17</v>
      </c>
      <c r="O1003" s="5" t="str">
        <f>_xlfn.IFS('Data set'!$H1003&lt;5.7,"Normal",'Data set'!$H1003&lt;=6.4,"Prediabetes",'Data set'!$H1003&lt;=7.5,"Diabetes",'Data set'!$H1003&gt;=7.5,"Uncontrolled")</f>
        <v>Uncontrolled</v>
      </c>
      <c r="P1003" s="5" t="str">
        <f>_xlfn.IFS('Data set'!$F1003&lt;120,"Low",'Data set'!$F1003&lt;=200,"Normal",'Data set'!$F1003&lt;=240,"Boarderline",'Data set'!$F1003&gt;=241,"High")</f>
        <v>High</v>
      </c>
      <c r="Q1003" s="5" t="str">
        <f>_xlfn.IFS('Data set'!$D1003&lt;=18.5,"Low",'Data set'!$D1003&lt;=24.9,"Normal",'Data set'!$D1003&lt;=29.9,"High",'Data set'!$D1003&gt;29.9,"Very High")</f>
        <v>Normal</v>
      </c>
    </row>
    <row r="1004" spans="1:17" x14ac:dyDescent="0.25">
      <c r="A1004" s="3">
        <v>26</v>
      </c>
      <c r="B1004" s="3" t="s">
        <v>0</v>
      </c>
      <c r="C1004" s="4">
        <v>259.14999999999998</v>
      </c>
      <c r="D1004" s="4">
        <v>24.66</v>
      </c>
      <c r="E1004" s="3" t="s">
        <v>10</v>
      </c>
      <c r="F1004" s="3">
        <v>173</v>
      </c>
      <c r="G1004" s="3" t="s">
        <v>674</v>
      </c>
      <c r="H1004" s="4">
        <v>9.23</v>
      </c>
      <c r="I1004" s="3">
        <v>6</v>
      </c>
      <c r="J1004" s="3" t="s">
        <v>4</v>
      </c>
      <c r="K1004" s="3" t="s">
        <v>4</v>
      </c>
      <c r="L1004" s="3">
        <v>103</v>
      </c>
      <c r="M1004" s="3">
        <v>66</v>
      </c>
      <c r="N1004" s="3" t="s">
        <v>17</v>
      </c>
      <c r="O1004" s="3" t="str">
        <f>_xlfn.IFS('Data set'!$H1004&lt;5.7,"Normal",'Data set'!$H1004&lt;=6.4,"Prediabetes",'Data set'!$H1004&lt;=7.5,"Diabetes",'Data set'!$H1004&gt;=7.5,"Uncontrolled")</f>
        <v>Uncontrolled</v>
      </c>
      <c r="P1004" s="3" t="str">
        <f>_xlfn.IFS('Data set'!$F1004&lt;120,"Low",'Data set'!$F1004&lt;=200,"Normal",'Data set'!$F1004&lt;=240,"Boarderline",'Data set'!$F1004&gt;=241,"High")</f>
        <v>Normal</v>
      </c>
      <c r="Q1004" s="3" t="str">
        <f>_xlfn.IFS('Data set'!$D1004&lt;=18.5,"Low",'Data set'!$D1004&lt;=24.9,"Normal",'Data set'!$D1004&lt;=29.9,"High",'Data set'!$D1004&gt;29.9,"Very High")</f>
        <v>Normal</v>
      </c>
    </row>
    <row r="1005" spans="1:17" x14ac:dyDescent="0.25">
      <c r="A1005" s="5">
        <v>35</v>
      </c>
      <c r="B1005" s="5" t="s">
        <v>9</v>
      </c>
      <c r="C1005" s="6">
        <v>194.71</v>
      </c>
      <c r="D1005" s="6">
        <v>26.08</v>
      </c>
      <c r="E1005" s="5" t="s">
        <v>10</v>
      </c>
      <c r="F1005" s="5">
        <v>139</v>
      </c>
      <c r="G1005" s="5" t="s">
        <v>124</v>
      </c>
      <c r="H1005" s="6">
        <v>5.3</v>
      </c>
      <c r="I1005" s="5">
        <v>3</v>
      </c>
      <c r="J1005" s="5" t="s">
        <v>3</v>
      </c>
      <c r="K1005" s="5" t="s">
        <v>4</v>
      </c>
      <c r="L1005" s="5">
        <v>98</v>
      </c>
      <c r="M1005" s="5">
        <v>85</v>
      </c>
      <c r="N1005" s="5" t="s">
        <v>12</v>
      </c>
      <c r="O1005" s="5" t="str">
        <f>_xlfn.IFS('Data set'!$H1005&lt;5.7,"Normal",'Data set'!$H1005&lt;=6.4,"Prediabetes",'Data set'!$H1005&lt;=7.5,"Diabetes",'Data set'!$H1005&gt;=7.5,"Uncontrolled")</f>
        <v>Normal</v>
      </c>
      <c r="P1005" s="5" t="str">
        <f>_xlfn.IFS('Data set'!$F1005&lt;120,"Low",'Data set'!$F1005&lt;=200,"Normal",'Data set'!$F1005&lt;=240,"Boarderline",'Data set'!$F1005&gt;=241,"High")</f>
        <v>Normal</v>
      </c>
      <c r="Q1005" s="5" t="str">
        <f>_xlfn.IFS('Data set'!$D1005&lt;=18.5,"Low",'Data set'!$D1005&lt;=24.9,"Normal",'Data set'!$D1005&lt;=29.9,"High",'Data set'!$D1005&gt;29.9,"Very High")</f>
        <v>High</v>
      </c>
    </row>
    <row r="1006" spans="1:17" x14ac:dyDescent="0.25">
      <c r="A1006" s="3">
        <v>22</v>
      </c>
      <c r="B1006" s="3" t="s">
        <v>0</v>
      </c>
      <c r="C1006" s="4">
        <v>233.73</v>
      </c>
      <c r="D1006" s="4">
        <v>30.79</v>
      </c>
      <c r="E1006" s="3" t="s">
        <v>14</v>
      </c>
      <c r="F1006" s="3">
        <v>204</v>
      </c>
      <c r="G1006" s="3" t="s">
        <v>753</v>
      </c>
      <c r="H1006" s="4">
        <v>7.21</v>
      </c>
      <c r="I1006" s="3">
        <v>5</v>
      </c>
      <c r="J1006" s="3" t="s">
        <v>4</v>
      </c>
      <c r="K1006" s="3" t="s">
        <v>3</v>
      </c>
      <c r="L1006" s="3">
        <v>105</v>
      </c>
      <c r="M1006" s="3">
        <v>65</v>
      </c>
      <c r="N1006" s="3" t="s">
        <v>17</v>
      </c>
      <c r="O1006" s="3" t="str">
        <f>_xlfn.IFS('Data set'!$H1006&lt;5.7,"Normal",'Data set'!$H1006&lt;=6.4,"Prediabetes",'Data set'!$H1006&lt;=7.5,"Diabetes",'Data set'!$H1006&gt;=7.5,"Uncontrolled")</f>
        <v>Diabetes</v>
      </c>
      <c r="P1006" s="3" t="str">
        <f>_xlfn.IFS('Data set'!$F1006&lt;120,"Low",'Data set'!$F1006&lt;=200,"Normal",'Data set'!$F1006&lt;=240,"Boarderline",'Data set'!$F1006&gt;=241,"High")</f>
        <v>Boarderline</v>
      </c>
      <c r="Q1006" s="3" t="str">
        <f>_xlfn.IFS('Data set'!$D1006&lt;=18.5,"Low",'Data set'!$D1006&lt;=24.9,"Normal",'Data set'!$D1006&lt;=29.9,"High",'Data set'!$D1006&gt;29.9,"Very High")</f>
        <v>Very High</v>
      </c>
    </row>
    <row r="1007" spans="1:17" x14ac:dyDescent="0.25">
      <c r="A1007" s="5">
        <v>68</v>
      </c>
      <c r="B1007" s="5" t="s">
        <v>0</v>
      </c>
      <c r="C1007" s="6">
        <v>216.3</v>
      </c>
      <c r="D1007" s="6">
        <v>38.909999999999997</v>
      </c>
      <c r="E1007" s="5" t="s">
        <v>10</v>
      </c>
      <c r="F1007" s="5">
        <v>139</v>
      </c>
      <c r="G1007" s="5" t="s">
        <v>754</v>
      </c>
      <c r="H1007" s="6">
        <v>7.01</v>
      </c>
      <c r="I1007" s="5">
        <v>0</v>
      </c>
      <c r="J1007" s="5" t="s">
        <v>3</v>
      </c>
      <c r="K1007" s="5" t="s">
        <v>3</v>
      </c>
      <c r="L1007" s="5">
        <v>106</v>
      </c>
      <c r="M1007" s="5">
        <v>65</v>
      </c>
      <c r="N1007" s="5" t="s">
        <v>21</v>
      </c>
      <c r="O1007" s="5" t="str">
        <f>_xlfn.IFS('Data set'!$H1007&lt;5.7,"Normal",'Data set'!$H1007&lt;=6.4,"Prediabetes",'Data set'!$H1007&lt;=7.5,"Diabetes",'Data set'!$H1007&gt;=7.5,"Uncontrolled")</f>
        <v>Diabetes</v>
      </c>
      <c r="P1007" s="5" t="str">
        <f>_xlfn.IFS('Data set'!$F1007&lt;120,"Low",'Data set'!$F1007&lt;=200,"Normal",'Data set'!$F1007&lt;=240,"Boarderline",'Data set'!$F1007&gt;=241,"High")</f>
        <v>Normal</v>
      </c>
      <c r="Q1007" s="5" t="str">
        <f>_xlfn.IFS('Data set'!$D1007&lt;=18.5,"Low",'Data set'!$D1007&lt;=24.9,"Normal",'Data set'!$D1007&lt;=29.9,"High",'Data set'!$D1007&gt;29.9,"Very High")</f>
        <v>Very High</v>
      </c>
    </row>
    <row r="1008" spans="1:17" x14ac:dyDescent="0.25">
      <c r="A1008" s="3">
        <v>69</v>
      </c>
      <c r="B1008" s="3" t="s">
        <v>9</v>
      </c>
      <c r="C1008" s="4">
        <v>154.76</v>
      </c>
      <c r="D1008" s="4">
        <v>28.04</v>
      </c>
      <c r="E1008" s="3" t="s">
        <v>6</v>
      </c>
      <c r="F1008" s="3">
        <v>281</v>
      </c>
      <c r="G1008" s="3" t="s">
        <v>755</v>
      </c>
      <c r="H1008" s="4">
        <v>5.27</v>
      </c>
      <c r="I1008" s="3">
        <v>5</v>
      </c>
      <c r="J1008" s="3" t="s">
        <v>4</v>
      </c>
      <c r="K1008" s="3" t="s">
        <v>3</v>
      </c>
      <c r="L1008" s="3">
        <v>131</v>
      </c>
      <c r="M1008" s="3">
        <v>65</v>
      </c>
      <c r="N1008" s="3" t="s">
        <v>21</v>
      </c>
      <c r="O1008" s="3" t="str">
        <f>_xlfn.IFS('Data set'!$H1008&lt;5.7,"Normal",'Data set'!$H1008&lt;=6.4,"Prediabetes",'Data set'!$H1008&lt;=7.5,"Diabetes",'Data set'!$H1008&gt;=7.5,"Uncontrolled")</f>
        <v>Normal</v>
      </c>
      <c r="P1008" s="3" t="str">
        <f>_xlfn.IFS('Data set'!$F1008&lt;120,"Low",'Data set'!$F1008&lt;=200,"Normal",'Data set'!$F1008&lt;=240,"Boarderline",'Data set'!$F1008&gt;=241,"High")</f>
        <v>High</v>
      </c>
      <c r="Q1008" s="3" t="str">
        <f>_xlfn.IFS('Data set'!$D1008&lt;=18.5,"Low",'Data set'!$D1008&lt;=24.9,"Normal",'Data set'!$D1008&lt;=29.9,"High",'Data set'!$D1008&gt;29.9,"Very High")</f>
        <v>High</v>
      </c>
    </row>
    <row r="1009" spans="1:17" x14ac:dyDescent="0.25">
      <c r="A1009" s="5">
        <v>40</v>
      </c>
      <c r="B1009" s="5" t="s">
        <v>0</v>
      </c>
      <c r="C1009" s="6">
        <v>85.29</v>
      </c>
      <c r="D1009" s="6">
        <v>24.37</v>
      </c>
      <c r="E1009" s="5" t="s">
        <v>10</v>
      </c>
      <c r="F1009" s="5">
        <v>111</v>
      </c>
      <c r="G1009" s="5" t="s">
        <v>756</v>
      </c>
      <c r="H1009" s="6">
        <v>9.59</v>
      </c>
      <c r="I1009" s="5">
        <v>0</v>
      </c>
      <c r="J1009" s="5" t="s">
        <v>3</v>
      </c>
      <c r="K1009" s="5" t="s">
        <v>4</v>
      </c>
      <c r="L1009" s="5">
        <v>96</v>
      </c>
      <c r="M1009" s="5">
        <v>73</v>
      </c>
      <c r="N1009" s="5" t="s">
        <v>12</v>
      </c>
      <c r="O1009" s="5" t="str">
        <f>_xlfn.IFS('Data set'!$H1009&lt;5.7,"Normal",'Data set'!$H1009&lt;=6.4,"Prediabetes",'Data set'!$H1009&lt;=7.5,"Diabetes",'Data set'!$H1009&gt;=7.5,"Uncontrolled")</f>
        <v>Uncontrolled</v>
      </c>
      <c r="P1009" s="5" t="str">
        <f>_xlfn.IFS('Data set'!$F1009&lt;120,"Low",'Data set'!$F1009&lt;=200,"Normal",'Data set'!$F1009&lt;=240,"Boarderline",'Data set'!$F1009&gt;=241,"High")</f>
        <v>Low</v>
      </c>
      <c r="Q1009" s="5" t="str">
        <f>_xlfn.IFS('Data set'!$D1009&lt;=18.5,"Low",'Data set'!$D1009&lt;=24.9,"Normal",'Data set'!$D1009&lt;=29.9,"High",'Data set'!$D1009&gt;29.9,"Very High")</f>
        <v>Normal</v>
      </c>
    </row>
    <row r="1010" spans="1:17" x14ac:dyDescent="0.25">
      <c r="A1010" s="3">
        <v>36</v>
      </c>
      <c r="B1010" s="3" t="s">
        <v>9</v>
      </c>
      <c r="C1010" s="4">
        <v>114.76</v>
      </c>
      <c r="D1010" s="4">
        <v>25.83</v>
      </c>
      <c r="E1010" s="3" t="s">
        <v>10</v>
      </c>
      <c r="F1010" s="3">
        <v>264</v>
      </c>
      <c r="G1010" s="3" t="s">
        <v>523</v>
      </c>
      <c r="H1010" s="4">
        <v>8.5299999999999994</v>
      </c>
      <c r="I1010" s="3">
        <v>5</v>
      </c>
      <c r="J1010" s="3" t="s">
        <v>3</v>
      </c>
      <c r="K1010" s="3" t="s">
        <v>4</v>
      </c>
      <c r="L1010" s="3">
        <v>108</v>
      </c>
      <c r="M1010" s="3">
        <v>62</v>
      </c>
      <c r="N1010" s="3" t="s">
        <v>12</v>
      </c>
      <c r="O1010" s="3" t="str">
        <f>_xlfn.IFS('Data set'!$H1010&lt;5.7,"Normal",'Data set'!$H1010&lt;=6.4,"Prediabetes",'Data set'!$H1010&lt;=7.5,"Diabetes",'Data set'!$H1010&gt;=7.5,"Uncontrolled")</f>
        <v>Uncontrolled</v>
      </c>
      <c r="P1010" s="3" t="str">
        <f>_xlfn.IFS('Data set'!$F1010&lt;120,"Low",'Data set'!$F1010&lt;=200,"Normal",'Data set'!$F1010&lt;=240,"Boarderline",'Data set'!$F1010&gt;=241,"High")</f>
        <v>High</v>
      </c>
      <c r="Q1010" s="3" t="str">
        <f>_xlfn.IFS('Data set'!$D1010&lt;=18.5,"Low",'Data set'!$D1010&lt;=24.9,"Normal",'Data set'!$D1010&lt;=29.9,"High",'Data set'!$D1010&gt;29.9,"Very High")</f>
        <v>High</v>
      </c>
    </row>
    <row r="1011" spans="1:17" x14ac:dyDescent="0.25">
      <c r="A1011" s="5">
        <v>59</v>
      </c>
      <c r="B1011" s="5" t="s">
        <v>0</v>
      </c>
      <c r="C1011" s="6">
        <v>199.94</v>
      </c>
      <c r="D1011" s="6">
        <v>21.39</v>
      </c>
      <c r="E1011" s="5" t="s">
        <v>14</v>
      </c>
      <c r="F1011" s="5">
        <v>206</v>
      </c>
      <c r="G1011" s="5" t="s">
        <v>757</v>
      </c>
      <c r="H1011" s="6">
        <v>7.35</v>
      </c>
      <c r="I1011" s="5">
        <v>5</v>
      </c>
      <c r="J1011" s="5" t="s">
        <v>3</v>
      </c>
      <c r="K1011" s="5" t="s">
        <v>4</v>
      </c>
      <c r="L1011" s="5">
        <v>119</v>
      </c>
      <c r="M1011" s="5">
        <v>67</v>
      </c>
      <c r="N1011" s="5" t="s">
        <v>8</v>
      </c>
      <c r="O1011" s="5" t="str">
        <f>_xlfn.IFS('Data set'!$H1011&lt;5.7,"Normal",'Data set'!$H1011&lt;=6.4,"Prediabetes",'Data set'!$H1011&lt;=7.5,"Diabetes",'Data set'!$H1011&gt;=7.5,"Uncontrolled")</f>
        <v>Diabetes</v>
      </c>
      <c r="P1011" s="5" t="str">
        <f>_xlfn.IFS('Data set'!$F1011&lt;120,"Low",'Data set'!$F1011&lt;=200,"Normal",'Data set'!$F1011&lt;=240,"Boarderline",'Data set'!$F1011&gt;=241,"High")</f>
        <v>Boarderline</v>
      </c>
      <c r="Q1011" s="5" t="str">
        <f>_xlfn.IFS('Data set'!$D1011&lt;=18.5,"Low",'Data set'!$D1011&lt;=24.9,"Normal",'Data set'!$D1011&lt;=29.9,"High",'Data set'!$D1011&gt;29.9,"Very High")</f>
        <v>Normal</v>
      </c>
    </row>
    <row r="1012" spans="1:17" x14ac:dyDescent="0.25">
      <c r="A1012" s="3">
        <v>36</v>
      </c>
      <c r="B1012" s="3" t="s">
        <v>0</v>
      </c>
      <c r="C1012" s="4">
        <v>151.4</v>
      </c>
      <c r="D1012" s="4">
        <v>29.58</v>
      </c>
      <c r="E1012" s="3" t="s">
        <v>1</v>
      </c>
      <c r="F1012" s="3">
        <v>226</v>
      </c>
      <c r="G1012" s="3" t="s">
        <v>191</v>
      </c>
      <c r="H1012" s="4">
        <v>4.4400000000000004</v>
      </c>
      <c r="I1012" s="3">
        <v>5</v>
      </c>
      <c r="J1012" s="3" t="s">
        <v>4</v>
      </c>
      <c r="K1012" s="3" t="s">
        <v>3</v>
      </c>
      <c r="L1012" s="3">
        <v>127</v>
      </c>
      <c r="M1012" s="3">
        <v>63</v>
      </c>
      <c r="N1012" s="3" t="s">
        <v>12</v>
      </c>
      <c r="O1012" s="3" t="str">
        <f>_xlfn.IFS('Data set'!$H1012&lt;5.7,"Normal",'Data set'!$H1012&lt;=6.4,"Prediabetes",'Data set'!$H1012&lt;=7.5,"Diabetes",'Data set'!$H1012&gt;=7.5,"Uncontrolled")</f>
        <v>Normal</v>
      </c>
      <c r="P1012" s="3" t="str">
        <f>_xlfn.IFS('Data set'!$F1012&lt;120,"Low",'Data set'!$F1012&lt;=200,"Normal",'Data set'!$F1012&lt;=240,"Boarderline",'Data set'!$F1012&gt;=241,"High")</f>
        <v>Boarderline</v>
      </c>
      <c r="Q1012" s="3" t="str">
        <f>_xlfn.IFS('Data set'!$D1012&lt;=18.5,"Low",'Data set'!$D1012&lt;=24.9,"Normal",'Data set'!$D1012&lt;=29.9,"High",'Data set'!$D1012&gt;29.9,"Very High")</f>
        <v>High</v>
      </c>
    </row>
    <row r="1013" spans="1:17" x14ac:dyDescent="0.25">
      <c r="A1013" s="5">
        <v>74</v>
      </c>
      <c r="B1013" s="5" t="s">
        <v>0</v>
      </c>
      <c r="C1013" s="6">
        <v>147.74</v>
      </c>
      <c r="D1013" s="6">
        <v>20.5</v>
      </c>
      <c r="E1013" s="5" t="s">
        <v>14</v>
      </c>
      <c r="F1013" s="5">
        <v>294</v>
      </c>
      <c r="G1013" s="5" t="s">
        <v>645</v>
      </c>
      <c r="H1013" s="6">
        <v>9.61</v>
      </c>
      <c r="I1013" s="5">
        <v>2</v>
      </c>
      <c r="J1013" s="5" t="s">
        <v>3</v>
      </c>
      <c r="K1013" s="5" t="s">
        <v>3</v>
      </c>
      <c r="L1013" s="5">
        <v>92</v>
      </c>
      <c r="M1013" s="5">
        <v>81</v>
      </c>
      <c r="N1013" s="5" t="s">
        <v>5</v>
      </c>
      <c r="O1013" s="5" t="str">
        <f>_xlfn.IFS('Data set'!$H1013&lt;5.7,"Normal",'Data set'!$H1013&lt;=6.4,"Prediabetes",'Data set'!$H1013&lt;=7.5,"Diabetes",'Data set'!$H1013&gt;=7.5,"Uncontrolled")</f>
        <v>Uncontrolled</v>
      </c>
      <c r="P1013" s="5" t="str">
        <f>_xlfn.IFS('Data set'!$F1013&lt;120,"Low",'Data set'!$F1013&lt;=200,"Normal",'Data set'!$F1013&lt;=240,"Boarderline",'Data set'!$F1013&gt;=241,"High")</f>
        <v>High</v>
      </c>
      <c r="Q1013" s="5" t="str">
        <f>_xlfn.IFS('Data set'!$D1013&lt;=18.5,"Low",'Data set'!$D1013&lt;=24.9,"Normal",'Data set'!$D1013&lt;=29.9,"High",'Data set'!$D1013&gt;29.9,"Very High")</f>
        <v>Normal</v>
      </c>
    </row>
    <row r="1014" spans="1:17" x14ac:dyDescent="0.25">
      <c r="A1014" s="3">
        <v>51</v>
      </c>
      <c r="B1014" s="3" t="s">
        <v>0</v>
      </c>
      <c r="C1014" s="4">
        <v>181.68</v>
      </c>
      <c r="D1014" s="4">
        <v>21.2</v>
      </c>
      <c r="E1014" s="3" t="s">
        <v>14</v>
      </c>
      <c r="F1014" s="3">
        <v>131</v>
      </c>
      <c r="G1014" s="3" t="s">
        <v>295</v>
      </c>
      <c r="H1014" s="4">
        <v>5.62</v>
      </c>
      <c r="I1014" s="3">
        <v>6</v>
      </c>
      <c r="J1014" s="3" t="s">
        <v>4</v>
      </c>
      <c r="K1014" s="3" t="s">
        <v>3</v>
      </c>
      <c r="L1014" s="3">
        <v>129</v>
      </c>
      <c r="M1014" s="3">
        <v>63</v>
      </c>
      <c r="N1014" s="3" t="s">
        <v>8</v>
      </c>
      <c r="O1014" s="3" t="str">
        <f>_xlfn.IFS('Data set'!$H1014&lt;5.7,"Normal",'Data set'!$H1014&lt;=6.4,"Prediabetes",'Data set'!$H1014&lt;=7.5,"Diabetes",'Data set'!$H1014&gt;=7.5,"Uncontrolled")</f>
        <v>Normal</v>
      </c>
      <c r="P1014" s="3" t="str">
        <f>_xlfn.IFS('Data set'!$F1014&lt;120,"Low",'Data set'!$F1014&lt;=200,"Normal",'Data set'!$F1014&lt;=240,"Boarderline",'Data set'!$F1014&gt;=241,"High")</f>
        <v>Normal</v>
      </c>
      <c r="Q1014" s="3" t="str">
        <f>_xlfn.IFS('Data set'!$D1014&lt;=18.5,"Low",'Data set'!$D1014&lt;=24.9,"Normal",'Data set'!$D1014&lt;=29.9,"High",'Data set'!$D1014&gt;29.9,"Very High")</f>
        <v>Normal</v>
      </c>
    </row>
    <row r="1015" spans="1:17" x14ac:dyDescent="0.25">
      <c r="A1015" s="5">
        <v>39</v>
      </c>
      <c r="B1015" s="5" t="s">
        <v>9</v>
      </c>
      <c r="C1015" s="6">
        <v>231.44</v>
      </c>
      <c r="D1015" s="6">
        <v>21.63</v>
      </c>
      <c r="E1015" s="5" t="s">
        <v>6</v>
      </c>
      <c r="F1015" s="5">
        <v>134</v>
      </c>
      <c r="G1015" s="5" t="s">
        <v>758</v>
      </c>
      <c r="H1015" s="6">
        <v>6.46</v>
      </c>
      <c r="I1015" s="5">
        <v>6</v>
      </c>
      <c r="J1015" s="5" t="s">
        <v>3</v>
      </c>
      <c r="K1015" s="5" t="s">
        <v>4</v>
      </c>
      <c r="L1015" s="5">
        <v>123</v>
      </c>
      <c r="M1015" s="5">
        <v>75</v>
      </c>
      <c r="N1015" s="5" t="s">
        <v>12</v>
      </c>
      <c r="O1015" s="5" t="str">
        <f>_xlfn.IFS('Data set'!$H1015&lt;5.7,"Normal",'Data set'!$H1015&lt;=6.4,"Prediabetes",'Data set'!$H1015&lt;=7.5,"Diabetes",'Data set'!$H1015&gt;=7.5,"Uncontrolled")</f>
        <v>Diabetes</v>
      </c>
      <c r="P1015" s="5" t="str">
        <f>_xlfn.IFS('Data set'!$F1015&lt;120,"Low",'Data set'!$F1015&lt;=200,"Normal",'Data set'!$F1015&lt;=240,"Boarderline",'Data set'!$F1015&gt;=241,"High")</f>
        <v>Normal</v>
      </c>
      <c r="Q1015" s="5" t="str">
        <f>_xlfn.IFS('Data set'!$D1015&lt;=18.5,"Low",'Data set'!$D1015&lt;=24.9,"Normal",'Data set'!$D1015&lt;=29.9,"High",'Data set'!$D1015&gt;29.9,"Very High")</f>
        <v>Normal</v>
      </c>
    </row>
    <row r="1016" spans="1:17" x14ac:dyDescent="0.25">
      <c r="A1016" s="3">
        <v>58</v>
      </c>
      <c r="B1016" s="3" t="s">
        <v>0</v>
      </c>
      <c r="C1016" s="4">
        <v>226.23</v>
      </c>
      <c r="D1016" s="4">
        <v>27.6</v>
      </c>
      <c r="E1016" s="3" t="s">
        <v>6</v>
      </c>
      <c r="F1016" s="3">
        <v>126</v>
      </c>
      <c r="G1016" s="3" t="s">
        <v>759</v>
      </c>
      <c r="H1016" s="4">
        <v>4.67</v>
      </c>
      <c r="I1016" s="3">
        <v>4</v>
      </c>
      <c r="J1016" s="3" t="s">
        <v>4</v>
      </c>
      <c r="K1016" s="3" t="s">
        <v>3</v>
      </c>
      <c r="L1016" s="3">
        <v>123</v>
      </c>
      <c r="M1016" s="3">
        <v>70</v>
      </c>
      <c r="N1016" s="3" t="s">
        <v>8</v>
      </c>
      <c r="O1016" s="3" t="str">
        <f>_xlfn.IFS('Data set'!$H1016&lt;5.7,"Normal",'Data set'!$H1016&lt;=6.4,"Prediabetes",'Data set'!$H1016&lt;=7.5,"Diabetes",'Data set'!$H1016&gt;=7.5,"Uncontrolled")</f>
        <v>Normal</v>
      </c>
      <c r="P1016" s="3" t="str">
        <f>_xlfn.IFS('Data set'!$F1016&lt;120,"Low",'Data set'!$F1016&lt;=200,"Normal",'Data set'!$F1016&lt;=240,"Boarderline",'Data set'!$F1016&gt;=241,"High")</f>
        <v>Normal</v>
      </c>
      <c r="Q1016" s="3" t="str">
        <f>_xlfn.IFS('Data set'!$D1016&lt;=18.5,"Low",'Data set'!$D1016&lt;=24.9,"Normal",'Data set'!$D1016&lt;=29.9,"High",'Data set'!$D1016&gt;29.9,"Very High")</f>
        <v>High</v>
      </c>
    </row>
    <row r="1017" spans="1:17" x14ac:dyDescent="0.25">
      <c r="A1017" s="5">
        <v>56</v>
      </c>
      <c r="B1017" s="5" t="s">
        <v>0</v>
      </c>
      <c r="C1017" s="6">
        <v>249.65</v>
      </c>
      <c r="D1017" s="6">
        <v>32.590000000000003</v>
      </c>
      <c r="E1017" s="5" t="s">
        <v>1</v>
      </c>
      <c r="F1017" s="5">
        <v>210</v>
      </c>
      <c r="G1017" s="5" t="s">
        <v>422</v>
      </c>
      <c r="H1017" s="6">
        <v>5.94</v>
      </c>
      <c r="I1017" s="5">
        <v>4</v>
      </c>
      <c r="J1017" s="5" t="s">
        <v>3</v>
      </c>
      <c r="K1017" s="5" t="s">
        <v>4</v>
      </c>
      <c r="L1017" s="5">
        <v>118</v>
      </c>
      <c r="M1017" s="5">
        <v>66</v>
      </c>
      <c r="N1017" s="5" t="s">
        <v>8</v>
      </c>
      <c r="O1017" s="5" t="str">
        <f>_xlfn.IFS('Data set'!$H1017&lt;5.7,"Normal",'Data set'!$H1017&lt;=6.4,"Prediabetes",'Data set'!$H1017&lt;=7.5,"Diabetes",'Data set'!$H1017&gt;=7.5,"Uncontrolled")</f>
        <v>Prediabetes</v>
      </c>
      <c r="P1017" s="5" t="str">
        <f>_xlfn.IFS('Data set'!$F1017&lt;120,"Low",'Data set'!$F1017&lt;=200,"Normal",'Data set'!$F1017&lt;=240,"Boarderline",'Data set'!$F1017&gt;=241,"High")</f>
        <v>Boarderline</v>
      </c>
      <c r="Q1017" s="5" t="str">
        <f>_xlfn.IFS('Data set'!$D1017&lt;=18.5,"Low",'Data set'!$D1017&lt;=24.9,"Normal",'Data set'!$D1017&lt;=29.9,"High",'Data set'!$D1017&gt;29.9,"Very High")</f>
        <v>Very High</v>
      </c>
    </row>
    <row r="1018" spans="1:17" x14ac:dyDescent="0.25">
      <c r="A1018" s="3">
        <v>64</v>
      </c>
      <c r="B1018" s="3" t="s">
        <v>0</v>
      </c>
      <c r="C1018" s="4">
        <v>140.53</v>
      </c>
      <c r="D1018" s="4">
        <v>19.850000000000001</v>
      </c>
      <c r="E1018" s="3" t="s">
        <v>14</v>
      </c>
      <c r="F1018" s="3">
        <v>202</v>
      </c>
      <c r="G1018" s="3" t="s">
        <v>760</v>
      </c>
      <c r="H1018" s="4">
        <v>9.68</v>
      </c>
      <c r="I1018" s="3">
        <v>1</v>
      </c>
      <c r="J1018" s="3" t="s">
        <v>4</v>
      </c>
      <c r="K1018" s="3" t="s">
        <v>3</v>
      </c>
      <c r="L1018" s="3">
        <v>111</v>
      </c>
      <c r="M1018" s="3">
        <v>86</v>
      </c>
      <c r="N1018" s="3" t="s">
        <v>21</v>
      </c>
      <c r="O1018" s="3" t="str">
        <f>_xlfn.IFS('Data set'!$H1018&lt;5.7,"Normal",'Data set'!$H1018&lt;=6.4,"Prediabetes",'Data set'!$H1018&lt;=7.5,"Diabetes",'Data set'!$H1018&gt;=7.5,"Uncontrolled")</f>
        <v>Uncontrolled</v>
      </c>
      <c r="P1018" s="3" t="str">
        <f>_xlfn.IFS('Data set'!$F1018&lt;120,"Low",'Data set'!$F1018&lt;=200,"Normal",'Data set'!$F1018&lt;=240,"Boarderline",'Data set'!$F1018&gt;=241,"High")</f>
        <v>Boarderline</v>
      </c>
      <c r="Q1018" s="3" t="str">
        <f>_xlfn.IFS('Data set'!$D1018&lt;=18.5,"Low",'Data set'!$D1018&lt;=24.9,"Normal",'Data set'!$D1018&lt;=29.9,"High",'Data set'!$D1018&gt;29.9,"Very High")</f>
        <v>Normal</v>
      </c>
    </row>
    <row r="1019" spans="1:17" x14ac:dyDescent="0.25">
      <c r="A1019" s="5">
        <v>73</v>
      </c>
      <c r="B1019" s="5" t="s">
        <v>0</v>
      </c>
      <c r="C1019" s="6">
        <v>127.58</v>
      </c>
      <c r="D1019" s="6">
        <v>36.270000000000003</v>
      </c>
      <c r="E1019" s="5" t="s">
        <v>14</v>
      </c>
      <c r="F1019" s="5">
        <v>284</v>
      </c>
      <c r="G1019" s="5" t="s">
        <v>761</v>
      </c>
      <c r="H1019" s="6">
        <v>6.67</v>
      </c>
      <c r="I1019" s="5">
        <v>3</v>
      </c>
      <c r="J1019" s="5" t="s">
        <v>3</v>
      </c>
      <c r="K1019" s="5" t="s">
        <v>4</v>
      </c>
      <c r="L1019" s="5">
        <v>138</v>
      </c>
      <c r="M1019" s="5">
        <v>68</v>
      </c>
      <c r="N1019" s="5" t="s">
        <v>5</v>
      </c>
      <c r="O1019" s="5" t="str">
        <f>_xlfn.IFS('Data set'!$H1019&lt;5.7,"Normal",'Data set'!$H1019&lt;=6.4,"Prediabetes",'Data set'!$H1019&lt;=7.5,"Diabetes",'Data set'!$H1019&gt;=7.5,"Uncontrolled")</f>
        <v>Diabetes</v>
      </c>
      <c r="P1019" s="5" t="str">
        <f>_xlfn.IFS('Data set'!$F1019&lt;120,"Low",'Data set'!$F1019&lt;=200,"Normal",'Data set'!$F1019&lt;=240,"Boarderline",'Data set'!$F1019&gt;=241,"High")</f>
        <v>High</v>
      </c>
      <c r="Q1019" s="5" t="str">
        <f>_xlfn.IFS('Data set'!$D1019&lt;=18.5,"Low",'Data set'!$D1019&lt;=24.9,"Normal",'Data set'!$D1019&lt;=29.9,"High",'Data set'!$D1019&gt;29.9,"Very High")</f>
        <v>Very High</v>
      </c>
    </row>
    <row r="1020" spans="1:17" x14ac:dyDescent="0.25">
      <c r="A1020" s="3">
        <v>79</v>
      </c>
      <c r="B1020" s="3" t="s">
        <v>9</v>
      </c>
      <c r="C1020" s="4">
        <v>170.2</v>
      </c>
      <c r="D1020" s="4">
        <v>34.619999999999997</v>
      </c>
      <c r="E1020" s="3" t="s">
        <v>14</v>
      </c>
      <c r="F1020" s="3">
        <v>173</v>
      </c>
      <c r="G1020" s="3" t="s">
        <v>762</v>
      </c>
      <c r="H1020" s="4">
        <v>4.57</v>
      </c>
      <c r="I1020" s="3">
        <v>4</v>
      </c>
      <c r="J1020" s="3" t="s">
        <v>4</v>
      </c>
      <c r="K1020" s="3" t="s">
        <v>3</v>
      </c>
      <c r="L1020" s="3">
        <v>132</v>
      </c>
      <c r="M1020" s="3">
        <v>82</v>
      </c>
      <c r="N1020" s="3" t="s">
        <v>5</v>
      </c>
      <c r="O1020" s="3" t="str">
        <f>_xlfn.IFS('Data set'!$H1020&lt;5.7,"Normal",'Data set'!$H1020&lt;=6.4,"Prediabetes",'Data set'!$H1020&lt;=7.5,"Diabetes",'Data set'!$H1020&gt;=7.5,"Uncontrolled")</f>
        <v>Normal</v>
      </c>
      <c r="P1020" s="3" t="str">
        <f>_xlfn.IFS('Data set'!$F1020&lt;120,"Low",'Data set'!$F1020&lt;=200,"Normal",'Data set'!$F1020&lt;=240,"Boarderline",'Data set'!$F1020&gt;=241,"High")</f>
        <v>Normal</v>
      </c>
      <c r="Q1020" s="3" t="str">
        <f>_xlfn.IFS('Data set'!$D1020&lt;=18.5,"Low",'Data set'!$D1020&lt;=24.9,"Normal",'Data set'!$D1020&lt;=29.9,"High",'Data set'!$D1020&gt;29.9,"Very High")</f>
        <v>Very High</v>
      </c>
    </row>
    <row r="1021" spans="1:17" x14ac:dyDescent="0.25">
      <c r="A1021" s="5">
        <v>77</v>
      </c>
      <c r="B1021" s="5" t="s">
        <v>0</v>
      </c>
      <c r="C1021" s="6">
        <v>192.31</v>
      </c>
      <c r="D1021" s="6">
        <v>32.33</v>
      </c>
      <c r="E1021" s="5" t="s">
        <v>6</v>
      </c>
      <c r="F1021" s="5">
        <v>286</v>
      </c>
      <c r="G1021" s="5" t="s">
        <v>757</v>
      </c>
      <c r="H1021" s="6">
        <v>8.15</v>
      </c>
      <c r="I1021" s="5">
        <v>3</v>
      </c>
      <c r="J1021" s="5" t="s">
        <v>4</v>
      </c>
      <c r="K1021" s="5" t="s">
        <v>3</v>
      </c>
      <c r="L1021" s="5">
        <v>119</v>
      </c>
      <c r="M1021" s="5">
        <v>67</v>
      </c>
      <c r="N1021" s="5" t="s">
        <v>5</v>
      </c>
      <c r="O1021" s="5" t="str">
        <f>_xlfn.IFS('Data set'!$H1021&lt;5.7,"Normal",'Data set'!$H1021&lt;=6.4,"Prediabetes",'Data set'!$H1021&lt;=7.5,"Diabetes",'Data set'!$H1021&gt;=7.5,"Uncontrolled")</f>
        <v>Uncontrolled</v>
      </c>
      <c r="P1021" s="5" t="str">
        <f>_xlfn.IFS('Data set'!$F1021&lt;120,"Low",'Data set'!$F1021&lt;=200,"Normal",'Data set'!$F1021&lt;=240,"Boarderline",'Data set'!$F1021&gt;=241,"High")</f>
        <v>High</v>
      </c>
      <c r="Q1021" s="5" t="str">
        <f>_xlfn.IFS('Data set'!$D1021&lt;=18.5,"Low",'Data set'!$D1021&lt;=24.9,"Normal",'Data set'!$D1021&lt;=29.9,"High",'Data set'!$D1021&gt;29.9,"Very High")</f>
        <v>Very High</v>
      </c>
    </row>
    <row r="1022" spans="1:17" x14ac:dyDescent="0.25">
      <c r="A1022" s="3">
        <v>21</v>
      </c>
      <c r="B1022" s="3" t="s">
        <v>9</v>
      </c>
      <c r="C1022" s="4">
        <v>172.07</v>
      </c>
      <c r="D1022" s="4">
        <v>19.420000000000002</v>
      </c>
      <c r="E1022" s="3" t="s">
        <v>14</v>
      </c>
      <c r="F1022" s="3">
        <v>213</v>
      </c>
      <c r="G1022" s="3" t="s">
        <v>763</v>
      </c>
      <c r="H1022" s="4">
        <v>5.35</v>
      </c>
      <c r="I1022" s="3">
        <v>6</v>
      </c>
      <c r="J1022" s="3" t="s">
        <v>4</v>
      </c>
      <c r="K1022" s="3" t="s">
        <v>4</v>
      </c>
      <c r="L1022" s="3">
        <v>101</v>
      </c>
      <c r="M1022" s="3">
        <v>67</v>
      </c>
      <c r="N1022" s="3" t="s">
        <v>17</v>
      </c>
      <c r="O1022" s="3" t="str">
        <f>_xlfn.IFS('Data set'!$H1022&lt;5.7,"Normal",'Data set'!$H1022&lt;=6.4,"Prediabetes",'Data set'!$H1022&lt;=7.5,"Diabetes",'Data set'!$H1022&gt;=7.5,"Uncontrolled")</f>
        <v>Normal</v>
      </c>
      <c r="P1022" s="3" t="str">
        <f>_xlfn.IFS('Data set'!$F1022&lt;120,"Low",'Data set'!$F1022&lt;=200,"Normal",'Data set'!$F1022&lt;=240,"Boarderline",'Data set'!$F1022&gt;=241,"High")</f>
        <v>Boarderline</v>
      </c>
      <c r="Q1022" s="3" t="str">
        <f>_xlfn.IFS('Data set'!$D1022&lt;=18.5,"Low",'Data set'!$D1022&lt;=24.9,"Normal",'Data set'!$D1022&lt;=29.9,"High",'Data set'!$D1022&gt;29.9,"Very High")</f>
        <v>Normal</v>
      </c>
    </row>
    <row r="1023" spans="1:17" x14ac:dyDescent="0.25">
      <c r="A1023" s="5">
        <v>37</v>
      </c>
      <c r="B1023" s="5" t="s">
        <v>9</v>
      </c>
      <c r="C1023" s="6">
        <v>172.51</v>
      </c>
      <c r="D1023" s="6">
        <v>30.05</v>
      </c>
      <c r="E1023" s="5" t="s">
        <v>6</v>
      </c>
      <c r="F1023" s="5">
        <v>169</v>
      </c>
      <c r="G1023" s="5" t="s">
        <v>764</v>
      </c>
      <c r="H1023" s="6">
        <v>5.0599999999999996</v>
      </c>
      <c r="I1023" s="5">
        <v>6</v>
      </c>
      <c r="J1023" s="5" t="s">
        <v>3</v>
      </c>
      <c r="K1023" s="5" t="s">
        <v>4</v>
      </c>
      <c r="L1023" s="5">
        <v>139</v>
      </c>
      <c r="M1023" s="5">
        <v>88</v>
      </c>
      <c r="N1023" s="5" t="s">
        <v>12</v>
      </c>
      <c r="O1023" s="5" t="str">
        <f>_xlfn.IFS('Data set'!$H1023&lt;5.7,"Normal",'Data set'!$H1023&lt;=6.4,"Prediabetes",'Data set'!$H1023&lt;=7.5,"Diabetes",'Data set'!$H1023&gt;=7.5,"Uncontrolled")</f>
        <v>Normal</v>
      </c>
      <c r="P1023" s="5" t="str">
        <f>_xlfn.IFS('Data set'!$F1023&lt;120,"Low",'Data set'!$F1023&lt;=200,"Normal",'Data set'!$F1023&lt;=240,"Boarderline",'Data set'!$F1023&gt;=241,"High")</f>
        <v>Normal</v>
      </c>
      <c r="Q1023" s="5" t="str">
        <f>_xlfn.IFS('Data set'!$D1023&lt;=18.5,"Low",'Data set'!$D1023&lt;=24.9,"Normal",'Data set'!$D1023&lt;=29.9,"High",'Data set'!$D1023&gt;29.9,"Very High")</f>
        <v>Very High</v>
      </c>
    </row>
    <row r="1024" spans="1:17" x14ac:dyDescent="0.25">
      <c r="A1024" s="3">
        <v>54</v>
      </c>
      <c r="B1024" s="3" t="s">
        <v>0</v>
      </c>
      <c r="C1024" s="4">
        <v>165.56</v>
      </c>
      <c r="D1024" s="4">
        <v>33.21</v>
      </c>
      <c r="E1024" s="3" t="s">
        <v>1</v>
      </c>
      <c r="F1024" s="3">
        <v>110</v>
      </c>
      <c r="G1024" s="3" t="s">
        <v>685</v>
      </c>
      <c r="H1024" s="4">
        <v>7.24</v>
      </c>
      <c r="I1024" s="3">
        <v>6</v>
      </c>
      <c r="J1024" s="3" t="s">
        <v>3</v>
      </c>
      <c r="K1024" s="3" t="s">
        <v>3</v>
      </c>
      <c r="L1024" s="3">
        <v>99</v>
      </c>
      <c r="M1024" s="3">
        <v>84</v>
      </c>
      <c r="N1024" s="3" t="s">
        <v>8</v>
      </c>
      <c r="O1024" s="3" t="str">
        <f>_xlfn.IFS('Data set'!$H1024&lt;5.7,"Normal",'Data set'!$H1024&lt;=6.4,"Prediabetes",'Data set'!$H1024&lt;=7.5,"Diabetes",'Data set'!$H1024&gt;=7.5,"Uncontrolled")</f>
        <v>Diabetes</v>
      </c>
      <c r="P1024" s="3" t="str">
        <f>_xlfn.IFS('Data set'!$F1024&lt;120,"Low",'Data set'!$F1024&lt;=200,"Normal",'Data set'!$F1024&lt;=240,"Boarderline",'Data set'!$F1024&gt;=241,"High")</f>
        <v>Low</v>
      </c>
      <c r="Q1024" s="3" t="str">
        <f>_xlfn.IFS('Data set'!$D1024&lt;=18.5,"Low",'Data set'!$D1024&lt;=24.9,"Normal",'Data set'!$D1024&lt;=29.9,"High",'Data set'!$D1024&gt;29.9,"Very High")</f>
        <v>Very High</v>
      </c>
    </row>
    <row r="1025" spans="1:17" x14ac:dyDescent="0.25">
      <c r="A1025" s="5">
        <v>65</v>
      </c>
      <c r="B1025" s="5" t="s">
        <v>9</v>
      </c>
      <c r="C1025" s="6">
        <v>167.95</v>
      </c>
      <c r="D1025" s="6">
        <v>39.15</v>
      </c>
      <c r="E1025" s="5" t="s">
        <v>1</v>
      </c>
      <c r="F1025" s="5">
        <v>146</v>
      </c>
      <c r="G1025" s="5" t="s">
        <v>765</v>
      </c>
      <c r="H1025" s="6">
        <v>6.11</v>
      </c>
      <c r="I1025" s="5">
        <v>7</v>
      </c>
      <c r="J1025" s="5" t="s">
        <v>3</v>
      </c>
      <c r="K1025" s="5" t="s">
        <v>4</v>
      </c>
      <c r="L1025" s="5">
        <v>93</v>
      </c>
      <c r="M1025" s="5">
        <v>81</v>
      </c>
      <c r="N1025" s="5" t="s">
        <v>21</v>
      </c>
      <c r="O1025" s="5" t="str">
        <f>_xlfn.IFS('Data set'!$H1025&lt;5.7,"Normal",'Data set'!$H1025&lt;=6.4,"Prediabetes",'Data set'!$H1025&lt;=7.5,"Diabetes",'Data set'!$H1025&gt;=7.5,"Uncontrolled")</f>
        <v>Prediabetes</v>
      </c>
      <c r="P1025" s="5" t="str">
        <f>_xlfn.IFS('Data set'!$F1025&lt;120,"Low",'Data set'!$F1025&lt;=200,"Normal",'Data set'!$F1025&lt;=240,"Boarderline",'Data set'!$F1025&gt;=241,"High")</f>
        <v>Normal</v>
      </c>
      <c r="Q1025" s="5" t="str">
        <f>_xlfn.IFS('Data set'!$D1025&lt;=18.5,"Low",'Data set'!$D1025&lt;=24.9,"Normal",'Data set'!$D1025&lt;=29.9,"High",'Data set'!$D1025&gt;29.9,"Very High")</f>
        <v>Very High</v>
      </c>
    </row>
    <row r="1026" spans="1:17" x14ac:dyDescent="0.25">
      <c r="A1026" s="3">
        <v>41</v>
      </c>
      <c r="B1026" s="3" t="s">
        <v>9</v>
      </c>
      <c r="C1026" s="4">
        <v>79.27</v>
      </c>
      <c r="D1026" s="4">
        <v>21.73</v>
      </c>
      <c r="E1026" s="3" t="s">
        <v>14</v>
      </c>
      <c r="F1026" s="3">
        <v>155</v>
      </c>
      <c r="G1026" s="3" t="s">
        <v>683</v>
      </c>
      <c r="H1026" s="4">
        <v>7.78</v>
      </c>
      <c r="I1026" s="3">
        <v>4</v>
      </c>
      <c r="J1026" s="3" t="s">
        <v>4</v>
      </c>
      <c r="K1026" s="3" t="s">
        <v>3</v>
      </c>
      <c r="L1026" s="3">
        <v>92</v>
      </c>
      <c r="M1026" s="3">
        <v>63</v>
      </c>
      <c r="N1026" s="3" t="s">
        <v>23</v>
      </c>
      <c r="O1026" s="3" t="str">
        <f>_xlfn.IFS('Data set'!$H1026&lt;5.7,"Normal",'Data set'!$H1026&lt;=6.4,"Prediabetes",'Data set'!$H1026&lt;=7.5,"Diabetes",'Data set'!$H1026&gt;=7.5,"Uncontrolled")</f>
        <v>Uncontrolled</v>
      </c>
      <c r="P1026" s="3" t="str">
        <f>_xlfn.IFS('Data set'!$F1026&lt;120,"Low",'Data set'!$F1026&lt;=200,"Normal",'Data set'!$F1026&lt;=240,"Boarderline",'Data set'!$F1026&gt;=241,"High")</f>
        <v>Normal</v>
      </c>
      <c r="Q1026" s="3" t="str">
        <f>_xlfn.IFS('Data set'!$D1026&lt;=18.5,"Low",'Data set'!$D1026&lt;=24.9,"Normal",'Data set'!$D1026&lt;=29.9,"High",'Data set'!$D1026&gt;29.9,"Very High")</f>
        <v>Normal</v>
      </c>
    </row>
    <row r="1027" spans="1:17" x14ac:dyDescent="0.25">
      <c r="A1027" s="5">
        <v>48</v>
      </c>
      <c r="B1027" s="5" t="s">
        <v>0</v>
      </c>
      <c r="C1027" s="6">
        <v>129.24</v>
      </c>
      <c r="D1027" s="6">
        <v>30.82</v>
      </c>
      <c r="E1027" s="5" t="s">
        <v>10</v>
      </c>
      <c r="F1027" s="5">
        <v>281</v>
      </c>
      <c r="G1027" s="5" t="s">
        <v>494</v>
      </c>
      <c r="H1027" s="6">
        <v>9.59</v>
      </c>
      <c r="I1027" s="5">
        <v>4</v>
      </c>
      <c r="J1027" s="5" t="s">
        <v>4</v>
      </c>
      <c r="K1027" s="5" t="s">
        <v>4</v>
      </c>
      <c r="L1027" s="5">
        <v>102</v>
      </c>
      <c r="M1027" s="5">
        <v>65</v>
      </c>
      <c r="N1027" s="5" t="s">
        <v>23</v>
      </c>
      <c r="O1027" s="5" t="str">
        <f>_xlfn.IFS('Data set'!$H1027&lt;5.7,"Normal",'Data set'!$H1027&lt;=6.4,"Prediabetes",'Data set'!$H1027&lt;=7.5,"Diabetes",'Data set'!$H1027&gt;=7.5,"Uncontrolled")</f>
        <v>Uncontrolled</v>
      </c>
      <c r="P1027" s="5" t="str">
        <f>_xlfn.IFS('Data set'!$F1027&lt;120,"Low",'Data set'!$F1027&lt;=200,"Normal",'Data set'!$F1027&lt;=240,"Boarderline",'Data set'!$F1027&gt;=241,"High")</f>
        <v>High</v>
      </c>
      <c r="Q1027" s="5" t="str">
        <f>_xlfn.IFS('Data set'!$D1027&lt;=18.5,"Low",'Data set'!$D1027&lt;=24.9,"Normal",'Data set'!$D1027&lt;=29.9,"High",'Data set'!$D1027&gt;29.9,"Very High")</f>
        <v>Very High</v>
      </c>
    </row>
    <row r="1028" spans="1:17" x14ac:dyDescent="0.25">
      <c r="A1028" s="3">
        <v>51</v>
      </c>
      <c r="B1028" s="3" t="s">
        <v>9</v>
      </c>
      <c r="C1028" s="4">
        <v>92.56</v>
      </c>
      <c r="D1028" s="4">
        <v>30.64</v>
      </c>
      <c r="E1028" s="3" t="s">
        <v>6</v>
      </c>
      <c r="F1028" s="3">
        <v>183</v>
      </c>
      <c r="G1028" s="3" t="s">
        <v>164</v>
      </c>
      <c r="H1028" s="4">
        <v>9.94</v>
      </c>
      <c r="I1028" s="3">
        <v>7</v>
      </c>
      <c r="J1028" s="3" t="s">
        <v>3</v>
      </c>
      <c r="K1028" s="3" t="s">
        <v>4</v>
      </c>
      <c r="L1028" s="3">
        <v>136</v>
      </c>
      <c r="M1028" s="3">
        <v>69</v>
      </c>
      <c r="N1028" s="3" t="s">
        <v>8</v>
      </c>
      <c r="O1028" s="3" t="str">
        <f>_xlfn.IFS('Data set'!$H1028&lt;5.7,"Normal",'Data set'!$H1028&lt;=6.4,"Prediabetes",'Data set'!$H1028&lt;=7.5,"Diabetes",'Data set'!$H1028&gt;=7.5,"Uncontrolled")</f>
        <v>Uncontrolled</v>
      </c>
      <c r="P1028" s="3" t="str">
        <f>_xlfn.IFS('Data set'!$F1028&lt;120,"Low",'Data set'!$F1028&lt;=200,"Normal",'Data set'!$F1028&lt;=240,"Boarderline",'Data set'!$F1028&gt;=241,"High")</f>
        <v>Normal</v>
      </c>
      <c r="Q1028" s="3" t="str">
        <f>_xlfn.IFS('Data set'!$D1028&lt;=18.5,"Low",'Data set'!$D1028&lt;=24.9,"Normal",'Data set'!$D1028&lt;=29.9,"High",'Data set'!$D1028&gt;29.9,"Very High")</f>
        <v>Very High</v>
      </c>
    </row>
    <row r="1029" spans="1:17" x14ac:dyDescent="0.25">
      <c r="A1029" s="5">
        <v>79</v>
      </c>
      <c r="B1029" s="5" t="s">
        <v>9</v>
      </c>
      <c r="C1029" s="6">
        <v>165.79</v>
      </c>
      <c r="D1029" s="6">
        <v>39.26</v>
      </c>
      <c r="E1029" s="5" t="s">
        <v>6</v>
      </c>
      <c r="F1029" s="5">
        <v>185</v>
      </c>
      <c r="G1029" s="5" t="s">
        <v>610</v>
      </c>
      <c r="H1029" s="6">
        <v>9.14</v>
      </c>
      <c r="I1029" s="5">
        <v>4</v>
      </c>
      <c r="J1029" s="5" t="s">
        <v>3</v>
      </c>
      <c r="K1029" s="5" t="s">
        <v>3</v>
      </c>
      <c r="L1029" s="5">
        <v>115</v>
      </c>
      <c r="M1029" s="5">
        <v>90</v>
      </c>
      <c r="N1029" s="5" t="s">
        <v>5</v>
      </c>
      <c r="O1029" s="5" t="str">
        <f>_xlfn.IFS('Data set'!$H1029&lt;5.7,"Normal",'Data set'!$H1029&lt;=6.4,"Prediabetes",'Data set'!$H1029&lt;=7.5,"Diabetes",'Data set'!$H1029&gt;=7.5,"Uncontrolled")</f>
        <v>Uncontrolled</v>
      </c>
      <c r="P1029" s="5" t="str">
        <f>_xlfn.IFS('Data set'!$F1029&lt;120,"Low",'Data set'!$F1029&lt;=200,"Normal",'Data set'!$F1029&lt;=240,"Boarderline",'Data set'!$F1029&gt;=241,"High")</f>
        <v>Normal</v>
      </c>
      <c r="Q1029" s="5" t="str">
        <f>_xlfn.IFS('Data set'!$D1029&lt;=18.5,"Low",'Data set'!$D1029&lt;=24.9,"Normal",'Data set'!$D1029&lt;=29.9,"High",'Data set'!$D1029&gt;29.9,"Very High")</f>
        <v>Very High</v>
      </c>
    </row>
    <row r="1030" spans="1:17" x14ac:dyDescent="0.25">
      <c r="A1030" s="3">
        <v>32</v>
      </c>
      <c r="B1030" s="3" t="s">
        <v>9</v>
      </c>
      <c r="C1030" s="4">
        <v>186.78</v>
      </c>
      <c r="D1030" s="4">
        <v>21.33</v>
      </c>
      <c r="E1030" s="3" t="s">
        <v>14</v>
      </c>
      <c r="F1030" s="3">
        <v>122</v>
      </c>
      <c r="G1030" s="3" t="s">
        <v>252</v>
      </c>
      <c r="H1030" s="4">
        <v>5.75</v>
      </c>
      <c r="I1030" s="3">
        <v>4</v>
      </c>
      <c r="J1030" s="3" t="s">
        <v>3</v>
      </c>
      <c r="K1030" s="3" t="s">
        <v>4</v>
      </c>
      <c r="L1030" s="3">
        <v>137</v>
      </c>
      <c r="M1030" s="3">
        <v>62</v>
      </c>
      <c r="N1030" s="3" t="s">
        <v>12</v>
      </c>
      <c r="O1030" s="3" t="str">
        <f>_xlfn.IFS('Data set'!$H1030&lt;5.7,"Normal",'Data set'!$H1030&lt;=6.4,"Prediabetes",'Data set'!$H1030&lt;=7.5,"Diabetes",'Data set'!$H1030&gt;=7.5,"Uncontrolled")</f>
        <v>Prediabetes</v>
      </c>
      <c r="P1030" s="3" t="str">
        <f>_xlfn.IFS('Data set'!$F1030&lt;120,"Low",'Data set'!$F1030&lt;=200,"Normal",'Data set'!$F1030&lt;=240,"Boarderline",'Data set'!$F1030&gt;=241,"High")</f>
        <v>Normal</v>
      </c>
      <c r="Q1030" s="3" t="str">
        <f>_xlfn.IFS('Data set'!$D1030&lt;=18.5,"Low",'Data set'!$D1030&lt;=24.9,"Normal",'Data set'!$D1030&lt;=29.9,"High",'Data set'!$D1030&gt;29.9,"Very High")</f>
        <v>Normal</v>
      </c>
    </row>
    <row r="1031" spans="1:17" x14ac:dyDescent="0.25">
      <c r="A1031" s="5">
        <v>31</v>
      </c>
      <c r="B1031" s="5" t="s">
        <v>9</v>
      </c>
      <c r="C1031" s="6">
        <v>145.21</v>
      </c>
      <c r="D1031" s="6">
        <v>20.29</v>
      </c>
      <c r="E1031" s="5" t="s">
        <v>1</v>
      </c>
      <c r="F1031" s="5">
        <v>227</v>
      </c>
      <c r="G1031" s="5" t="s">
        <v>148</v>
      </c>
      <c r="H1031" s="6">
        <v>4.55</v>
      </c>
      <c r="I1031" s="5">
        <v>0</v>
      </c>
      <c r="J1031" s="5" t="s">
        <v>3</v>
      </c>
      <c r="K1031" s="5" t="s">
        <v>3</v>
      </c>
      <c r="L1031" s="5">
        <v>115</v>
      </c>
      <c r="M1031" s="5">
        <v>68</v>
      </c>
      <c r="N1031" s="5" t="s">
        <v>12</v>
      </c>
      <c r="O1031" s="5" t="str">
        <f>_xlfn.IFS('Data set'!$H1031&lt;5.7,"Normal",'Data set'!$H1031&lt;=6.4,"Prediabetes",'Data set'!$H1031&lt;=7.5,"Diabetes",'Data set'!$H1031&gt;=7.5,"Uncontrolled")</f>
        <v>Normal</v>
      </c>
      <c r="P1031" s="5" t="str">
        <f>_xlfn.IFS('Data set'!$F1031&lt;120,"Low",'Data set'!$F1031&lt;=200,"Normal",'Data set'!$F1031&lt;=240,"Boarderline",'Data set'!$F1031&gt;=241,"High")</f>
        <v>Boarderline</v>
      </c>
      <c r="Q1031" s="5" t="str">
        <f>_xlfn.IFS('Data set'!$D1031&lt;=18.5,"Low",'Data set'!$D1031&lt;=24.9,"Normal",'Data set'!$D1031&lt;=29.9,"High",'Data set'!$D1031&gt;29.9,"Very High")</f>
        <v>Normal</v>
      </c>
    </row>
    <row r="1032" spans="1:17" x14ac:dyDescent="0.25">
      <c r="A1032" s="3">
        <v>51</v>
      </c>
      <c r="B1032" s="3" t="s">
        <v>9</v>
      </c>
      <c r="C1032" s="4">
        <v>72.27</v>
      </c>
      <c r="D1032" s="4">
        <v>22.49</v>
      </c>
      <c r="E1032" s="3" t="s">
        <v>14</v>
      </c>
      <c r="F1032" s="3">
        <v>246</v>
      </c>
      <c r="G1032" s="3" t="s">
        <v>766</v>
      </c>
      <c r="H1032" s="4">
        <v>9.57</v>
      </c>
      <c r="I1032" s="3">
        <v>4</v>
      </c>
      <c r="J1032" s="3" t="s">
        <v>3</v>
      </c>
      <c r="K1032" s="3" t="s">
        <v>4</v>
      </c>
      <c r="L1032" s="3">
        <v>96</v>
      </c>
      <c r="M1032" s="3">
        <v>82</v>
      </c>
      <c r="N1032" s="3" t="s">
        <v>8</v>
      </c>
      <c r="O1032" s="3" t="str">
        <f>_xlfn.IFS('Data set'!$H1032&lt;5.7,"Normal",'Data set'!$H1032&lt;=6.4,"Prediabetes",'Data set'!$H1032&lt;=7.5,"Diabetes",'Data set'!$H1032&gt;=7.5,"Uncontrolled")</f>
        <v>Uncontrolled</v>
      </c>
      <c r="P1032" s="3" t="str">
        <f>_xlfn.IFS('Data set'!$F1032&lt;120,"Low",'Data set'!$F1032&lt;=200,"Normal",'Data set'!$F1032&lt;=240,"Boarderline",'Data set'!$F1032&gt;=241,"High")</f>
        <v>High</v>
      </c>
      <c r="Q1032" s="3" t="str">
        <f>_xlfn.IFS('Data set'!$D1032&lt;=18.5,"Low",'Data set'!$D1032&lt;=24.9,"Normal",'Data set'!$D1032&lt;=29.9,"High",'Data set'!$D1032&gt;29.9,"Very High")</f>
        <v>Normal</v>
      </c>
    </row>
    <row r="1033" spans="1:17" x14ac:dyDescent="0.25">
      <c r="A1033" s="5">
        <v>21</v>
      </c>
      <c r="B1033" s="5" t="s">
        <v>9</v>
      </c>
      <c r="C1033" s="6">
        <v>196.66</v>
      </c>
      <c r="D1033" s="6">
        <v>34.9</v>
      </c>
      <c r="E1033" s="5" t="s">
        <v>1</v>
      </c>
      <c r="F1033" s="5">
        <v>171</v>
      </c>
      <c r="G1033" s="5" t="s">
        <v>767</v>
      </c>
      <c r="H1033" s="6">
        <v>6.38</v>
      </c>
      <c r="I1033" s="5">
        <v>5</v>
      </c>
      <c r="J1033" s="5" t="s">
        <v>3</v>
      </c>
      <c r="K1033" s="5" t="s">
        <v>3</v>
      </c>
      <c r="L1033" s="5">
        <v>96</v>
      </c>
      <c r="M1033" s="5">
        <v>89</v>
      </c>
      <c r="N1033" s="5" t="s">
        <v>17</v>
      </c>
      <c r="O1033" s="5" t="str">
        <f>_xlfn.IFS('Data set'!$H1033&lt;5.7,"Normal",'Data set'!$H1033&lt;=6.4,"Prediabetes",'Data set'!$H1033&lt;=7.5,"Diabetes",'Data set'!$H1033&gt;=7.5,"Uncontrolled")</f>
        <v>Prediabetes</v>
      </c>
      <c r="P1033" s="5" t="str">
        <f>_xlfn.IFS('Data set'!$F1033&lt;120,"Low",'Data set'!$F1033&lt;=200,"Normal",'Data set'!$F1033&lt;=240,"Boarderline",'Data set'!$F1033&gt;=241,"High")</f>
        <v>Normal</v>
      </c>
      <c r="Q1033" s="5" t="str">
        <f>_xlfn.IFS('Data set'!$D1033&lt;=18.5,"Low",'Data set'!$D1033&lt;=24.9,"Normal",'Data set'!$D1033&lt;=29.9,"High",'Data set'!$D1033&gt;29.9,"Very High")</f>
        <v>Very High</v>
      </c>
    </row>
    <row r="1034" spans="1:17" x14ac:dyDescent="0.25">
      <c r="A1034" s="3">
        <v>60</v>
      </c>
      <c r="B1034" s="3" t="s">
        <v>0</v>
      </c>
      <c r="C1034" s="4">
        <v>246.48</v>
      </c>
      <c r="D1034" s="4">
        <v>39.380000000000003</v>
      </c>
      <c r="E1034" s="3" t="s">
        <v>1</v>
      </c>
      <c r="F1034" s="3">
        <v>163</v>
      </c>
      <c r="G1034" s="3" t="s">
        <v>768</v>
      </c>
      <c r="H1034" s="4">
        <v>9.26</v>
      </c>
      <c r="I1034" s="3">
        <v>2</v>
      </c>
      <c r="J1034" s="3" t="s">
        <v>3</v>
      </c>
      <c r="K1034" s="3" t="s">
        <v>4</v>
      </c>
      <c r="L1034" s="3">
        <v>104</v>
      </c>
      <c r="M1034" s="3">
        <v>78</v>
      </c>
      <c r="N1034" s="3" t="s">
        <v>8</v>
      </c>
      <c r="O1034" s="3" t="str">
        <f>_xlfn.IFS('Data set'!$H1034&lt;5.7,"Normal",'Data set'!$H1034&lt;=6.4,"Prediabetes",'Data set'!$H1034&lt;=7.5,"Diabetes",'Data set'!$H1034&gt;=7.5,"Uncontrolled")</f>
        <v>Uncontrolled</v>
      </c>
      <c r="P1034" s="3" t="str">
        <f>_xlfn.IFS('Data set'!$F1034&lt;120,"Low",'Data set'!$F1034&lt;=200,"Normal",'Data set'!$F1034&lt;=240,"Boarderline",'Data set'!$F1034&gt;=241,"High")</f>
        <v>Normal</v>
      </c>
      <c r="Q1034" s="3" t="str">
        <f>_xlfn.IFS('Data set'!$D1034&lt;=18.5,"Low",'Data set'!$D1034&lt;=24.9,"Normal",'Data set'!$D1034&lt;=29.9,"High",'Data set'!$D1034&gt;29.9,"Very High")</f>
        <v>Very High</v>
      </c>
    </row>
    <row r="1035" spans="1:17" x14ac:dyDescent="0.25">
      <c r="A1035" s="5">
        <v>24</v>
      </c>
      <c r="B1035" s="5" t="s">
        <v>0</v>
      </c>
      <c r="C1035" s="6">
        <v>236.31</v>
      </c>
      <c r="D1035" s="6">
        <v>38.11</v>
      </c>
      <c r="E1035" s="5" t="s">
        <v>10</v>
      </c>
      <c r="F1035" s="5">
        <v>211</v>
      </c>
      <c r="G1035" s="5" t="s">
        <v>569</v>
      </c>
      <c r="H1035" s="6">
        <v>8.98</v>
      </c>
      <c r="I1035" s="5">
        <v>2</v>
      </c>
      <c r="J1035" s="5" t="s">
        <v>4</v>
      </c>
      <c r="K1035" s="5" t="s">
        <v>4</v>
      </c>
      <c r="L1035" s="5">
        <v>129</v>
      </c>
      <c r="M1035" s="5">
        <v>64</v>
      </c>
      <c r="N1035" s="5" t="s">
        <v>17</v>
      </c>
      <c r="O1035" s="5" t="str">
        <f>_xlfn.IFS('Data set'!$H1035&lt;5.7,"Normal",'Data set'!$H1035&lt;=6.4,"Prediabetes",'Data set'!$H1035&lt;=7.5,"Diabetes",'Data set'!$H1035&gt;=7.5,"Uncontrolled")</f>
        <v>Uncontrolled</v>
      </c>
      <c r="P1035" s="5" t="str">
        <f>_xlfn.IFS('Data set'!$F1035&lt;120,"Low",'Data set'!$F1035&lt;=200,"Normal",'Data set'!$F1035&lt;=240,"Boarderline",'Data set'!$F1035&gt;=241,"High")</f>
        <v>Boarderline</v>
      </c>
      <c r="Q1035" s="5" t="str">
        <f>_xlfn.IFS('Data set'!$D1035&lt;=18.5,"Low",'Data set'!$D1035&lt;=24.9,"Normal",'Data set'!$D1035&lt;=29.9,"High",'Data set'!$D1035&gt;29.9,"Very High")</f>
        <v>Very High</v>
      </c>
    </row>
    <row r="1036" spans="1:17" x14ac:dyDescent="0.25">
      <c r="A1036" s="3">
        <v>53</v>
      </c>
      <c r="B1036" s="3" t="s">
        <v>9</v>
      </c>
      <c r="C1036" s="4">
        <v>123.58</v>
      </c>
      <c r="D1036" s="4">
        <v>26.66</v>
      </c>
      <c r="E1036" s="3" t="s">
        <v>10</v>
      </c>
      <c r="F1036" s="3">
        <v>155</v>
      </c>
      <c r="G1036" s="3" t="s">
        <v>354</v>
      </c>
      <c r="H1036" s="4">
        <v>7.18</v>
      </c>
      <c r="I1036" s="3">
        <v>0</v>
      </c>
      <c r="J1036" s="3" t="s">
        <v>4</v>
      </c>
      <c r="K1036" s="3" t="s">
        <v>4</v>
      </c>
      <c r="L1036" s="3">
        <v>129</v>
      </c>
      <c r="M1036" s="3">
        <v>82</v>
      </c>
      <c r="N1036" s="3" t="s">
        <v>8</v>
      </c>
      <c r="O1036" s="3" t="str">
        <f>_xlfn.IFS('Data set'!$H1036&lt;5.7,"Normal",'Data set'!$H1036&lt;=6.4,"Prediabetes",'Data set'!$H1036&lt;=7.5,"Diabetes",'Data set'!$H1036&gt;=7.5,"Uncontrolled")</f>
        <v>Diabetes</v>
      </c>
      <c r="P1036" s="3" t="str">
        <f>_xlfn.IFS('Data set'!$F1036&lt;120,"Low",'Data set'!$F1036&lt;=200,"Normal",'Data set'!$F1036&lt;=240,"Boarderline",'Data set'!$F1036&gt;=241,"High")</f>
        <v>Normal</v>
      </c>
      <c r="Q1036" s="3" t="str">
        <f>_xlfn.IFS('Data set'!$D1036&lt;=18.5,"Low",'Data set'!$D1036&lt;=24.9,"Normal",'Data set'!$D1036&lt;=29.9,"High",'Data set'!$D1036&gt;29.9,"Very High")</f>
        <v>High</v>
      </c>
    </row>
    <row r="1037" spans="1:17" x14ac:dyDescent="0.25">
      <c r="A1037" s="5">
        <v>20</v>
      </c>
      <c r="B1037" s="5" t="s">
        <v>0</v>
      </c>
      <c r="C1037" s="6">
        <v>71.069999999999993</v>
      </c>
      <c r="D1037" s="6">
        <v>35.049999999999997</v>
      </c>
      <c r="E1037" s="5" t="s">
        <v>10</v>
      </c>
      <c r="F1037" s="5">
        <v>148</v>
      </c>
      <c r="G1037" s="5" t="s">
        <v>56</v>
      </c>
      <c r="H1037" s="6">
        <v>8.26</v>
      </c>
      <c r="I1037" s="5">
        <v>2</v>
      </c>
      <c r="J1037" s="5" t="s">
        <v>3</v>
      </c>
      <c r="K1037" s="5" t="s">
        <v>4</v>
      </c>
      <c r="L1037" s="5">
        <v>96</v>
      </c>
      <c r="M1037" s="5">
        <v>76</v>
      </c>
      <c r="N1037" s="5" t="s">
        <v>17</v>
      </c>
      <c r="O1037" s="5" t="str">
        <f>_xlfn.IFS('Data set'!$H1037&lt;5.7,"Normal",'Data set'!$H1037&lt;=6.4,"Prediabetes",'Data set'!$H1037&lt;=7.5,"Diabetes",'Data set'!$H1037&gt;=7.5,"Uncontrolled")</f>
        <v>Uncontrolled</v>
      </c>
      <c r="P1037" s="5" t="str">
        <f>_xlfn.IFS('Data set'!$F1037&lt;120,"Low",'Data set'!$F1037&lt;=200,"Normal",'Data set'!$F1037&lt;=240,"Boarderline",'Data set'!$F1037&gt;=241,"High")</f>
        <v>Normal</v>
      </c>
      <c r="Q1037" s="5" t="str">
        <f>_xlfn.IFS('Data set'!$D1037&lt;=18.5,"Low",'Data set'!$D1037&lt;=24.9,"Normal",'Data set'!$D1037&lt;=29.9,"High",'Data set'!$D1037&gt;29.9,"Very High")</f>
        <v>Very High</v>
      </c>
    </row>
    <row r="1038" spans="1:17" x14ac:dyDescent="0.25">
      <c r="A1038" s="3">
        <v>80</v>
      </c>
      <c r="B1038" s="3" t="s">
        <v>0</v>
      </c>
      <c r="C1038" s="4">
        <v>76.19</v>
      </c>
      <c r="D1038" s="4">
        <v>22.62</v>
      </c>
      <c r="E1038" s="3" t="s">
        <v>1</v>
      </c>
      <c r="F1038" s="3">
        <v>267</v>
      </c>
      <c r="G1038" s="3" t="s">
        <v>769</v>
      </c>
      <c r="H1038" s="4">
        <v>9.61</v>
      </c>
      <c r="I1038" s="3">
        <v>3</v>
      </c>
      <c r="J1038" s="3" t="s">
        <v>3</v>
      </c>
      <c r="K1038" s="3" t="s">
        <v>4</v>
      </c>
      <c r="L1038" s="3">
        <v>119</v>
      </c>
      <c r="M1038" s="3">
        <v>61</v>
      </c>
      <c r="N1038" s="3" t="s">
        <v>5</v>
      </c>
      <c r="O1038" s="3" t="str">
        <f>_xlfn.IFS('Data set'!$H1038&lt;5.7,"Normal",'Data set'!$H1038&lt;=6.4,"Prediabetes",'Data set'!$H1038&lt;=7.5,"Diabetes",'Data set'!$H1038&gt;=7.5,"Uncontrolled")</f>
        <v>Uncontrolled</v>
      </c>
      <c r="P1038" s="3" t="str">
        <f>_xlfn.IFS('Data set'!$F1038&lt;120,"Low",'Data set'!$F1038&lt;=200,"Normal",'Data set'!$F1038&lt;=240,"Boarderline",'Data set'!$F1038&gt;=241,"High")</f>
        <v>High</v>
      </c>
      <c r="Q1038" s="3" t="str">
        <f>_xlfn.IFS('Data set'!$D1038&lt;=18.5,"Low",'Data set'!$D1038&lt;=24.9,"Normal",'Data set'!$D1038&lt;=29.9,"High",'Data set'!$D1038&gt;29.9,"Very High")</f>
        <v>Normal</v>
      </c>
    </row>
    <row r="1039" spans="1:17" x14ac:dyDescent="0.25">
      <c r="A1039" s="5">
        <v>29</v>
      </c>
      <c r="B1039" s="5" t="s">
        <v>9</v>
      </c>
      <c r="C1039" s="6">
        <v>96.21</v>
      </c>
      <c r="D1039" s="6">
        <v>20.72</v>
      </c>
      <c r="E1039" s="5" t="s">
        <v>6</v>
      </c>
      <c r="F1039" s="5">
        <v>156</v>
      </c>
      <c r="G1039" s="5" t="s">
        <v>388</v>
      </c>
      <c r="H1039" s="6">
        <v>8.9700000000000006</v>
      </c>
      <c r="I1039" s="5">
        <v>0</v>
      </c>
      <c r="J1039" s="5" t="s">
        <v>3</v>
      </c>
      <c r="K1039" s="5" t="s">
        <v>4</v>
      </c>
      <c r="L1039" s="5">
        <v>99</v>
      </c>
      <c r="M1039" s="5">
        <v>83</v>
      </c>
      <c r="N1039" s="5" t="s">
        <v>17</v>
      </c>
      <c r="O1039" s="5" t="str">
        <f>_xlfn.IFS('Data set'!$H1039&lt;5.7,"Normal",'Data set'!$H1039&lt;=6.4,"Prediabetes",'Data set'!$H1039&lt;=7.5,"Diabetes",'Data set'!$H1039&gt;=7.5,"Uncontrolled")</f>
        <v>Uncontrolled</v>
      </c>
      <c r="P1039" s="5" t="str">
        <f>_xlfn.IFS('Data set'!$F1039&lt;120,"Low",'Data set'!$F1039&lt;=200,"Normal",'Data set'!$F1039&lt;=240,"Boarderline",'Data set'!$F1039&gt;=241,"High")</f>
        <v>Normal</v>
      </c>
      <c r="Q1039" s="5" t="str">
        <f>_xlfn.IFS('Data set'!$D1039&lt;=18.5,"Low",'Data set'!$D1039&lt;=24.9,"Normal",'Data set'!$D1039&lt;=29.9,"High",'Data set'!$D1039&gt;29.9,"Very High")</f>
        <v>Normal</v>
      </c>
    </row>
    <row r="1040" spans="1:17" x14ac:dyDescent="0.25">
      <c r="A1040" s="3">
        <v>23</v>
      </c>
      <c r="B1040" s="3" t="s">
        <v>9</v>
      </c>
      <c r="C1040" s="4">
        <v>196.89</v>
      </c>
      <c r="D1040" s="4">
        <v>39.020000000000003</v>
      </c>
      <c r="E1040" s="3" t="s">
        <v>6</v>
      </c>
      <c r="F1040" s="3">
        <v>232</v>
      </c>
      <c r="G1040" s="3" t="s">
        <v>770</v>
      </c>
      <c r="H1040" s="4">
        <v>6.13</v>
      </c>
      <c r="I1040" s="3">
        <v>4</v>
      </c>
      <c r="J1040" s="3" t="s">
        <v>3</v>
      </c>
      <c r="K1040" s="3" t="s">
        <v>4</v>
      </c>
      <c r="L1040" s="3">
        <v>99</v>
      </c>
      <c r="M1040" s="3">
        <v>76</v>
      </c>
      <c r="N1040" s="3" t="s">
        <v>17</v>
      </c>
      <c r="O1040" s="3" t="str">
        <f>_xlfn.IFS('Data set'!$H1040&lt;5.7,"Normal",'Data set'!$H1040&lt;=6.4,"Prediabetes",'Data set'!$H1040&lt;=7.5,"Diabetes",'Data set'!$H1040&gt;=7.5,"Uncontrolled")</f>
        <v>Prediabetes</v>
      </c>
      <c r="P1040" s="3" t="str">
        <f>_xlfn.IFS('Data set'!$F1040&lt;120,"Low",'Data set'!$F1040&lt;=200,"Normal",'Data set'!$F1040&lt;=240,"Boarderline",'Data set'!$F1040&gt;=241,"High")</f>
        <v>Boarderline</v>
      </c>
      <c r="Q1040" s="3" t="str">
        <f>_xlfn.IFS('Data set'!$D1040&lt;=18.5,"Low",'Data set'!$D1040&lt;=24.9,"Normal",'Data set'!$D1040&lt;=29.9,"High",'Data set'!$D1040&gt;29.9,"Very High")</f>
        <v>Very High</v>
      </c>
    </row>
    <row r="1041" spans="1:17" x14ac:dyDescent="0.25">
      <c r="A1041" s="5">
        <v>43</v>
      </c>
      <c r="B1041" s="5" t="s">
        <v>0</v>
      </c>
      <c r="C1041" s="6">
        <v>218.04</v>
      </c>
      <c r="D1041" s="6">
        <v>19.690000000000001</v>
      </c>
      <c r="E1041" s="5" t="s">
        <v>14</v>
      </c>
      <c r="F1041" s="5">
        <v>229</v>
      </c>
      <c r="G1041" s="5" t="s">
        <v>771</v>
      </c>
      <c r="H1041" s="6">
        <v>8.35</v>
      </c>
      <c r="I1041" s="5">
        <v>5</v>
      </c>
      <c r="J1041" s="5" t="s">
        <v>4</v>
      </c>
      <c r="K1041" s="5" t="s">
        <v>3</v>
      </c>
      <c r="L1041" s="5">
        <v>115</v>
      </c>
      <c r="M1041" s="5">
        <v>69</v>
      </c>
      <c r="N1041" s="5" t="s">
        <v>23</v>
      </c>
      <c r="O1041" s="5" t="str">
        <f>_xlfn.IFS('Data set'!$H1041&lt;5.7,"Normal",'Data set'!$H1041&lt;=6.4,"Prediabetes",'Data set'!$H1041&lt;=7.5,"Diabetes",'Data set'!$H1041&gt;=7.5,"Uncontrolled")</f>
        <v>Uncontrolled</v>
      </c>
      <c r="P1041" s="5" t="str">
        <f>_xlfn.IFS('Data set'!$F1041&lt;120,"Low",'Data set'!$F1041&lt;=200,"Normal",'Data set'!$F1041&lt;=240,"Boarderline",'Data set'!$F1041&gt;=241,"High")</f>
        <v>Boarderline</v>
      </c>
      <c r="Q1041" s="5" t="str">
        <f>_xlfn.IFS('Data set'!$D1041&lt;=18.5,"Low",'Data set'!$D1041&lt;=24.9,"Normal",'Data set'!$D1041&lt;=29.9,"High",'Data set'!$D1041&gt;29.9,"Very High")</f>
        <v>Normal</v>
      </c>
    </row>
    <row r="1042" spans="1:17" x14ac:dyDescent="0.25">
      <c r="A1042" s="3">
        <v>25</v>
      </c>
      <c r="B1042" s="3" t="s">
        <v>9</v>
      </c>
      <c r="C1042" s="4">
        <v>204.55</v>
      </c>
      <c r="D1042" s="4">
        <v>34.700000000000003</v>
      </c>
      <c r="E1042" s="3" t="s">
        <v>6</v>
      </c>
      <c r="F1042" s="3">
        <v>118</v>
      </c>
      <c r="G1042" s="3" t="s">
        <v>71</v>
      </c>
      <c r="H1042" s="4">
        <v>4.08</v>
      </c>
      <c r="I1042" s="3">
        <v>6</v>
      </c>
      <c r="J1042" s="3" t="s">
        <v>4</v>
      </c>
      <c r="K1042" s="3" t="s">
        <v>4</v>
      </c>
      <c r="L1042" s="3">
        <v>129</v>
      </c>
      <c r="M1042" s="3">
        <v>88</v>
      </c>
      <c r="N1042" s="3" t="s">
        <v>17</v>
      </c>
      <c r="O1042" s="3" t="str">
        <f>_xlfn.IFS('Data set'!$H1042&lt;5.7,"Normal",'Data set'!$H1042&lt;=6.4,"Prediabetes",'Data set'!$H1042&lt;=7.5,"Diabetes",'Data set'!$H1042&gt;=7.5,"Uncontrolled")</f>
        <v>Normal</v>
      </c>
      <c r="P1042" s="3" t="str">
        <f>_xlfn.IFS('Data set'!$F1042&lt;120,"Low",'Data set'!$F1042&lt;=200,"Normal",'Data set'!$F1042&lt;=240,"Boarderline",'Data set'!$F1042&gt;=241,"High")</f>
        <v>Low</v>
      </c>
      <c r="Q1042" s="3" t="str">
        <f>_xlfn.IFS('Data set'!$D1042&lt;=18.5,"Low",'Data set'!$D1042&lt;=24.9,"Normal",'Data set'!$D1042&lt;=29.9,"High",'Data set'!$D1042&gt;29.9,"Very High")</f>
        <v>Very High</v>
      </c>
    </row>
    <row r="1043" spans="1:17" x14ac:dyDescent="0.25">
      <c r="A1043" s="5">
        <v>30</v>
      </c>
      <c r="B1043" s="5" t="s">
        <v>0</v>
      </c>
      <c r="C1043" s="6">
        <v>260.45999999999998</v>
      </c>
      <c r="D1043" s="6">
        <v>20.83</v>
      </c>
      <c r="E1043" s="5" t="s">
        <v>6</v>
      </c>
      <c r="F1043" s="5">
        <v>170</v>
      </c>
      <c r="G1043" s="5" t="s">
        <v>772</v>
      </c>
      <c r="H1043" s="6">
        <v>5.26</v>
      </c>
      <c r="I1043" s="5">
        <v>0</v>
      </c>
      <c r="J1043" s="5" t="s">
        <v>4</v>
      </c>
      <c r="K1043" s="5" t="s">
        <v>4</v>
      </c>
      <c r="L1043" s="5">
        <v>94</v>
      </c>
      <c r="M1043" s="5">
        <v>79</v>
      </c>
      <c r="N1043" s="5" t="s">
        <v>17</v>
      </c>
      <c r="O1043" s="5" t="str">
        <f>_xlfn.IFS('Data set'!$H1043&lt;5.7,"Normal",'Data set'!$H1043&lt;=6.4,"Prediabetes",'Data set'!$H1043&lt;=7.5,"Diabetes",'Data set'!$H1043&gt;=7.5,"Uncontrolled")</f>
        <v>Normal</v>
      </c>
      <c r="P1043" s="5" t="str">
        <f>_xlfn.IFS('Data set'!$F1043&lt;120,"Low",'Data set'!$F1043&lt;=200,"Normal",'Data set'!$F1043&lt;=240,"Boarderline",'Data set'!$F1043&gt;=241,"High")</f>
        <v>Normal</v>
      </c>
      <c r="Q1043" s="5" t="str">
        <f>_xlfn.IFS('Data set'!$D1043&lt;=18.5,"Low",'Data set'!$D1043&lt;=24.9,"Normal",'Data set'!$D1043&lt;=29.9,"High",'Data set'!$D1043&gt;29.9,"Very High")</f>
        <v>Normal</v>
      </c>
    </row>
    <row r="1044" spans="1:17" x14ac:dyDescent="0.25">
      <c r="A1044" s="3">
        <v>67</v>
      </c>
      <c r="B1044" s="3" t="s">
        <v>9</v>
      </c>
      <c r="C1044" s="4">
        <v>287.64</v>
      </c>
      <c r="D1044" s="4">
        <v>34.76</v>
      </c>
      <c r="E1044" s="3" t="s">
        <v>6</v>
      </c>
      <c r="F1044" s="3">
        <v>151</v>
      </c>
      <c r="G1044" s="3" t="s">
        <v>773</v>
      </c>
      <c r="H1044" s="4">
        <v>6.59</v>
      </c>
      <c r="I1044" s="3">
        <v>7</v>
      </c>
      <c r="J1044" s="3" t="s">
        <v>3</v>
      </c>
      <c r="K1044" s="3" t="s">
        <v>4</v>
      </c>
      <c r="L1044" s="3">
        <v>95</v>
      </c>
      <c r="M1044" s="3">
        <v>65</v>
      </c>
      <c r="N1044" s="3" t="s">
        <v>21</v>
      </c>
      <c r="O1044" s="3" t="str">
        <f>_xlfn.IFS('Data set'!$H1044&lt;5.7,"Normal",'Data set'!$H1044&lt;=6.4,"Prediabetes",'Data set'!$H1044&lt;=7.5,"Diabetes",'Data set'!$H1044&gt;=7.5,"Uncontrolled")</f>
        <v>Diabetes</v>
      </c>
      <c r="P1044" s="3" t="str">
        <f>_xlfn.IFS('Data set'!$F1044&lt;120,"Low",'Data set'!$F1044&lt;=200,"Normal",'Data set'!$F1044&lt;=240,"Boarderline",'Data set'!$F1044&gt;=241,"High")</f>
        <v>Normal</v>
      </c>
      <c r="Q1044" s="3" t="str">
        <f>_xlfn.IFS('Data set'!$D1044&lt;=18.5,"Low",'Data set'!$D1044&lt;=24.9,"Normal",'Data set'!$D1044&lt;=29.9,"High",'Data set'!$D1044&gt;29.9,"Very High")</f>
        <v>Very High</v>
      </c>
    </row>
    <row r="1045" spans="1:17" x14ac:dyDescent="0.25">
      <c r="A1045" s="5">
        <v>26</v>
      </c>
      <c r="B1045" s="5" t="s">
        <v>9</v>
      </c>
      <c r="C1045" s="6">
        <v>137.37</v>
      </c>
      <c r="D1045" s="6">
        <v>26.59</v>
      </c>
      <c r="E1045" s="5" t="s">
        <v>14</v>
      </c>
      <c r="F1045" s="5">
        <v>225</v>
      </c>
      <c r="G1045" s="5" t="s">
        <v>774</v>
      </c>
      <c r="H1045" s="6">
        <v>6.77</v>
      </c>
      <c r="I1045" s="5">
        <v>2</v>
      </c>
      <c r="J1045" s="5" t="s">
        <v>3</v>
      </c>
      <c r="K1045" s="5" t="s">
        <v>4</v>
      </c>
      <c r="L1045" s="5">
        <v>116</v>
      </c>
      <c r="M1045" s="5">
        <v>66</v>
      </c>
      <c r="N1045" s="5" t="s">
        <v>17</v>
      </c>
      <c r="O1045" s="5" t="str">
        <f>_xlfn.IFS('Data set'!$H1045&lt;5.7,"Normal",'Data set'!$H1045&lt;=6.4,"Prediabetes",'Data set'!$H1045&lt;=7.5,"Diabetes",'Data set'!$H1045&gt;=7.5,"Uncontrolled")</f>
        <v>Diabetes</v>
      </c>
      <c r="P1045" s="5" t="str">
        <f>_xlfn.IFS('Data set'!$F1045&lt;120,"Low",'Data set'!$F1045&lt;=200,"Normal",'Data set'!$F1045&lt;=240,"Boarderline",'Data set'!$F1045&gt;=241,"High")</f>
        <v>Boarderline</v>
      </c>
      <c r="Q1045" s="5" t="str">
        <f>_xlfn.IFS('Data set'!$D1045&lt;=18.5,"Low",'Data set'!$D1045&lt;=24.9,"Normal",'Data set'!$D1045&lt;=29.9,"High",'Data set'!$D1045&gt;29.9,"Very High")</f>
        <v>High</v>
      </c>
    </row>
    <row r="1046" spans="1:17" x14ac:dyDescent="0.25">
      <c r="A1046" s="3">
        <v>28</v>
      </c>
      <c r="B1046" s="3" t="s">
        <v>0</v>
      </c>
      <c r="C1046" s="4">
        <v>246.98</v>
      </c>
      <c r="D1046" s="4">
        <v>21.71</v>
      </c>
      <c r="E1046" s="3" t="s">
        <v>10</v>
      </c>
      <c r="F1046" s="3">
        <v>213</v>
      </c>
      <c r="G1046" s="3" t="s">
        <v>243</v>
      </c>
      <c r="H1046" s="4">
        <v>5.96</v>
      </c>
      <c r="I1046" s="3">
        <v>2</v>
      </c>
      <c r="J1046" s="3" t="s">
        <v>4</v>
      </c>
      <c r="K1046" s="3" t="s">
        <v>4</v>
      </c>
      <c r="L1046" s="3">
        <v>110</v>
      </c>
      <c r="M1046" s="3">
        <v>86</v>
      </c>
      <c r="N1046" s="3" t="s">
        <v>17</v>
      </c>
      <c r="O1046" s="3" t="str">
        <f>_xlfn.IFS('Data set'!$H1046&lt;5.7,"Normal",'Data set'!$H1046&lt;=6.4,"Prediabetes",'Data set'!$H1046&lt;=7.5,"Diabetes",'Data set'!$H1046&gt;=7.5,"Uncontrolled")</f>
        <v>Prediabetes</v>
      </c>
      <c r="P1046" s="3" t="str">
        <f>_xlfn.IFS('Data set'!$F1046&lt;120,"Low",'Data set'!$F1046&lt;=200,"Normal",'Data set'!$F1046&lt;=240,"Boarderline",'Data set'!$F1046&gt;=241,"High")</f>
        <v>Boarderline</v>
      </c>
      <c r="Q1046" s="3" t="str">
        <f>_xlfn.IFS('Data set'!$D1046&lt;=18.5,"Low",'Data set'!$D1046&lt;=24.9,"Normal",'Data set'!$D1046&lt;=29.9,"High",'Data set'!$D1046&gt;29.9,"Very High")</f>
        <v>Normal</v>
      </c>
    </row>
    <row r="1047" spans="1:17" x14ac:dyDescent="0.25">
      <c r="A1047" s="5">
        <v>34</v>
      </c>
      <c r="B1047" s="5" t="s">
        <v>0</v>
      </c>
      <c r="C1047" s="6">
        <v>201.31</v>
      </c>
      <c r="D1047" s="6">
        <v>18.57</v>
      </c>
      <c r="E1047" s="5" t="s">
        <v>10</v>
      </c>
      <c r="F1047" s="5">
        <v>170</v>
      </c>
      <c r="G1047" s="5" t="s">
        <v>775</v>
      </c>
      <c r="H1047" s="6">
        <v>8.8699999999999992</v>
      </c>
      <c r="I1047" s="5">
        <v>6</v>
      </c>
      <c r="J1047" s="5" t="s">
        <v>3</v>
      </c>
      <c r="K1047" s="5" t="s">
        <v>4</v>
      </c>
      <c r="L1047" s="5">
        <v>137</v>
      </c>
      <c r="M1047" s="5">
        <v>61</v>
      </c>
      <c r="N1047" s="5" t="s">
        <v>12</v>
      </c>
      <c r="O1047" s="5" t="str">
        <f>_xlfn.IFS('Data set'!$H1047&lt;5.7,"Normal",'Data set'!$H1047&lt;=6.4,"Prediabetes",'Data set'!$H1047&lt;=7.5,"Diabetes",'Data set'!$H1047&gt;=7.5,"Uncontrolled")</f>
        <v>Uncontrolled</v>
      </c>
      <c r="P1047" s="5" t="str">
        <f>_xlfn.IFS('Data set'!$F1047&lt;120,"Low",'Data set'!$F1047&lt;=200,"Normal",'Data set'!$F1047&lt;=240,"Boarderline",'Data set'!$F1047&gt;=241,"High")</f>
        <v>Normal</v>
      </c>
      <c r="Q1047" s="5" t="str">
        <f>_xlfn.IFS('Data set'!$D1047&lt;=18.5,"Low",'Data set'!$D1047&lt;=24.9,"Normal",'Data set'!$D1047&lt;=29.9,"High",'Data set'!$D1047&gt;29.9,"Very High")</f>
        <v>Normal</v>
      </c>
    </row>
    <row r="1048" spans="1:17" x14ac:dyDescent="0.25">
      <c r="A1048" s="3">
        <v>40</v>
      </c>
      <c r="B1048" s="3" t="s">
        <v>9</v>
      </c>
      <c r="C1048" s="4">
        <v>299.3</v>
      </c>
      <c r="D1048" s="4">
        <v>24.04</v>
      </c>
      <c r="E1048" s="3" t="s">
        <v>1</v>
      </c>
      <c r="F1048" s="3">
        <v>201</v>
      </c>
      <c r="G1048" s="3" t="s">
        <v>776</v>
      </c>
      <c r="H1048" s="4">
        <v>7.66</v>
      </c>
      <c r="I1048" s="3">
        <v>3</v>
      </c>
      <c r="J1048" s="3" t="s">
        <v>4</v>
      </c>
      <c r="K1048" s="3" t="s">
        <v>4</v>
      </c>
      <c r="L1048" s="3">
        <v>114</v>
      </c>
      <c r="M1048" s="3">
        <v>81</v>
      </c>
      <c r="N1048" s="3" t="s">
        <v>12</v>
      </c>
      <c r="O1048" s="3" t="str">
        <f>_xlfn.IFS('Data set'!$H1048&lt;5.7,"Normal",'Data set'!$H1048&lt;=6.4,"Prediabetes",'Data set'!$H1048&lt;=7.5,"Diabetes",'Data set'!$H1048&gt;=7.5,"Uncontrolled")</f>
        <v>Uncontrolled</v>
      </c>
      <c r="P1048" s="3" t="str">
        <f>_xlfn.IFS('Data set'!$F1048&lt;120,"Low",'Data set'!$F1048&lt;=200,"Normal",'Data set'!$F1048&lt;=240,"Boarderline",'Data set'!$F1048&gt;=241,"High")</f>
        <v>Boarderline</v>
      </c>
      <c r="Q1048" s="3" t="str">
        <f>_xlfn.IFS('Data set'!$D1048&lt;=18.5,"Low",'Data set'!$D1048&lt;=24.9,"Normal",'Data set'!$D1048&lt;=29.9,"High",'Data set'!$D1048&gt;29.9,"Very High")</f>
        <v>Normal</v>
      </c>
    </row>
    <row r="1049" spans="1:17" x14ac:dyDescent="0.25">
      <c r="A1049" s="5">
        <v>78</v>
      </c>
      <c r="B1049" s="5" t="s">
        <v>0</v>
      </c>
      <c r="C1049" s="6">
        <v>245.97</v>
      </c>
      <c r="D1049" s="6">
        <v>30.56</v>
      </c>
      <c r="E1049" s="5" t="s">
        <v>14</v>
      </c>
      <c r="F1049" s="5">
        <v>271</v>
      </c>
      <c r="G1049" s="5" t="s">
        <v>381</v>
      </c>
      <c r="H1049" s="6">
        <v>7.51</v>
      </c>
      <c r="I1049" s="5">
        <v>7</v>
      </c>
      <c r="J1049" s="5" t="s">
        <v>4</v>
      </c>
      <c r="K1049" s="5" t="s">
        <v>3</v>
      </c>
      <c r="L1049" s="5">
        <v>117</v>
      </c>
      <c r="M1049" s="5">
        <v>73</v>
      </c>
      <c r="N1049" s="5" t="s">
        <v>5</v>
      </c>
      <c r="O1049" s="5" t="str">
        <f>_xlfn.IFS('Data set'!$H1049&lt;5.7,"Normal",'Data set'!$H1049&lt;=6.4,"Prediabetes",'Data set'!$H1049&lt;=7.5,"Diabetes",'Data set'!$H1049&gt;=7.5,"Uncontrolled")</f>
        <v>Uncontrolled</v>
      </c>
      <c r="P1049" s="5" t="str">
        <f>_xlfn.IFS('Data set'!$F1049&lt;120,"Low",'Data set'!$F1049&lt;=200,"Normal",'Data set'!$F1049&lt;=240,"Boarderline",'Data set'!$F1049&gt;=241,"High")</f>
        <v>High</v>
      </c>
      <c r="Q1049" s="5" t="str">
        <f>_xlfn.IFS('Data set'!$D1049&lt;=18.5,"Low",'Data set'!$D1049&lt;=24.9,"Normal",'Data set'!$D1049&lt;=29.9,"High",'Data set'!$D1049&gt;29.9,"Very High")</f>
        <v>Very High</v>
      </c>
    </row>
    <row r="1050" spans="1:17" x14ac:dyDescent="0.25">
      <c r="A1050" s="3">
        <v>65</v>
      </c>
      <c r="B1050" s="3" t="s">
        <v>0</v>
      </c>
      <c r="C1050" s="4">
        <v>113.27</v>
      </c>
      <c r="D1050" s="4">
        <v>21.02</v>
      </c>
      <c r="E1050" s="3" t="s">
        <v>6</v>
      </c>
      <c r="F1050" s="3">
        <v>270</v>
      </c>
      <c r="G1050" s="3" t="s">
        <v>712</v>
      </c>
      <c r="H1050" s="4">
        <v>5.62</v>
      </c>
      <c r="I1050" s="3">
        <v>4</v>
      </c>
      <c r="J1050" s="3" t="s">
        <v>4</v>
      </c>
      <c r="K1050" s="3" t="s">
        <v>4</v>
      </c>
      <c r="L1050" s="3">
        <v>112</v>
      </c>
      <c r="M1050" s="3">
        <v>78</v>
      </c>
      <c r="N1050" s="3" t="s">
        <v>21</v>
      </c>
      <c r="O1050" s="3" t="str">
        <f>_xlfn.IFS('Data set'!$H1050&lt;5.7,"Normal",'Data set'!$H1050&lt;=6.4,"Prediabetes",'Data set'!$H1050&lt;=7.5,"Diabetes",'Data set'!$H1050&gt;=7.5,"Uncontrolled")</f>
        <v>Normal</v>
      </c>
      <c r="P1050" s="3" t="str">
        <f>_xlfn.IFS('Data set'!$F1050&lt;120,"Low",'Data set'!$F1050&lt;=200,"Normal",'Data set'!$F1050&lt;=240,"Boarderline",'Data set'!$F1050&gt;=241,"High")</f>
        <v>High</v>
      </c>
      <c r="Q1050" s="3" t="str">
        <f>_xlfn.IFS('Data set'!$D1050&lt;=18.5,"Low",'Data set'!$D1050&lt;=24.9,"Normal",'Data set'!$D1050&lt;=29.9,"High",'Data set'!$D1050&gt;29.9,"Very High")</f>
        <v>Normal</v>
      </c>
    </row>
    <row r="1051" spans="1:17" x14ac:dyDescent="0.25">
      <c r="A1051" s="5">
        <v>69</v>
      </c>
      <c r="B1051" s="5" t="s">
        <v>0</v>
      </c>
      <c r="C1051" s="6">
        <v>196.93</v>
      </c>
      <c r="D1051" s="6">
        <v>34.700000000000003</v>
      </c>
      <c r="E1051" s="5" t="s">
        <v>10</v>
      </c>
      <c r="F1051" s="5">
        <v>182</v>
      </c>
      <c r="G1051" s="5" t="s">
        <v>361</v>
      </c>
      <c r="H1051" s="6">
        <v>7.57</v>
      </c>
      <c r="I1051" s="5">
        <v>0</v>
      </c>
      <c r="J1051" s="5" t="s">
        <v>3</v>
      </c>
      <c r="K1051" s="5" t="s">
        <v>4</v>
      </c>
      <c r="L1051" s="5">
        <v>115</v>
      </c>
      <c r="M1051" s="5">
        <v>60</v>
      </c>
      <c r="N1051" s="5" t="s">
        <v>21</v>
      </c>
      <c r="O1051" s="5" t="str">
        <f>_xlfn.IFS('Data set'!$H1051&lt;5.7,"Normal",'Data set'!$H1051&lt;=6.4,"Prediabetes",'Data set'!$H1051&lt;=7.5,"Diabetes",'Data set'!$H1051&gt;=7.5,"Uncontrolled")</f>
        <v>Uncontrolled</v>
      </c>
      <c r="P1051" s="5" t="str">
        <f>_xlfn.IFS('Data set'!$F1051&lt;120,"Low",'Data set'!$F1051&lt;=200,"Normal",'Data set'!$F1051&lt;=240,"Boarderline",'Data set'!$F1051&gt;=241,"High")</f>
        <v>Normal</v>
      </c>
      <c r="Q1051" s="5" t="str">
        <f>_xlfn.IFS('Data set'!$D1051&lt;=18.5,"Low",'Data set'!$D1051&lt;=24.9,"Normal",'Data set'!$D1051&lt;=29.9,"High",'Data set'!$D1051&gt;29.9,"Very High")</f>
        <v>Very High</v>
      </c>
    </row>
    <row r="1052" spans="1:17" x14ac:dyDescent="0.25">
      <c r="A1052" s="3">
        <v>78</v>
      </c>
      <c r="B1052" s="3" t="s">
        <v>9</v>
      </c>
      <c r="C1052" s="4">
        <v>185.99</v>
      </c>
      <c r="D1052" s="4">
        <v>33.130000000000003</v>
      </c>
      <c r="E1052" s="3" t="s">
        <v>14</v>
      </c>
      <c r="F1052" s="3">
        <v>253</v>
      </c>
      <c r="G1052" s="3" t="s">
        <v>777</v>
      </c>
      <c r="H1052" s="4">
        <v>6.14</v>
      </c>
      <c r="I1052" s="3">
        <v>6</v>
      </c>
      <c r="J1052" s="3" t="s">
        <v>3</v>
      </c>
      <c r="K1052" s="3" t="s">
        <v>4</v>
      </c>
      <c r="L1052" s="3">
        <v>134</v>
      </c>
      <c r="M1052" s="3">
        <v>84</v>
      </c>
      <c r="N1052" s="3" t="s">
        <v>5</v>
      </c>
      <c r="O1052" s="3" t="str">
        <f>_xlfn.IFS('Data set'!$H1052&lt;5.7,"Normal",'Data set'!$H1052&lt;=6.4,"Prediabetes",'Data set'!$H1052&lt;=7.5,"Diabetes",'Data set'!$H1052&gt;=7.5,"Uncontrolled")</f>
        <v>Prediabetes</v>
      </c>
      <c r="P1052" s="3" t="str">
        <f>_xlfn.IFS('Data set'!$F1052&lt;120,"Low",'Data set'!$F1052&lt;=200,"Normal",'Data set'!$F1052&lt;=240,"Boarderline",'Data set'!$F1052&gt;=241,"High")</f>
        <v>High</v>
      </c>
      <c r="Q1052" s="3" t="str">
        <f>_xlfn.IFS('Data set'!$D1052&lt;=18.5,"Low",'Data set'!$D1052&lt;=24.9,"Normal",'Data set'!$D1052&lt;=29.9,"High",'Data set'!$D1052&gt;29.9,"Very High")</f>
        <v>Very High</v>
      </c>
    </row>
    <row r="1053" spans="1:17" x14ac:dyDescent="0.25">
      <c r="A1053" s="5">
        <v>26</v>
      </c>
      <c r="B1053" s="5" t="s">
        <v>9</v>
      </c>
      <c r="C1053" s="6">
        <v>170.98</v>
      </c>
      <c r="D1053" s="6">
        <v>19.61</v>
      </c>
      <c r="E1053" s="5" t="s">
        <v>6</v>
      </c>
      <c r="F1053" s="5">
        <v>284</v>
      </c>
      <c r="G1053" s="5" t="s">
        <v>778</v>
      </c>
      <c r="H1053" s="6">
        <v>4.8</v>
      </c>
      <c r="I1053" s="5">
        <v>0</v>
      </c>
      <c r="J1053" s="5" t="s">
        <v>3</v>
      </c>
      <c r="K1053" s="5" t="s">
        <v>3</v>
      </c>
      <c r="L1053" s="5">
        <v>124</v>
      </c>
      <c r="M1053" s="5">
        <v>64</v>
      </c>
      <c r="N1053" s="5" t="s">
        <v>17</v>
      </c>
      <c r="O1053" s="5" t="str">
        <f>_xlfn.IFS('Data set'!$H1053&lt;5.7,"Normal",'Data set'!$H1053&lt;=6.4,"Prediabetes",'Data set'!$H1053&lt;=7.5,"Diabetes",'Data set'!$H1053&gt;=7.5,"Uncontrolled")</f>
        <v>Normal</v>
      </c>
      <c r="P1053" s="5" t="str">
        <f>_xlfn.IFS('Data set'!$F1053&lt;120,"Low",'Data set'!$F1053&lt;=200,"Normal",'Data set'!$F1053&lt;=240,"Boarderline",'Data set'!$F1053&gt;=241,"High")</f>
        <v>High</v>
      </c>
      <c r="Q1053" s="5" t="str">
        <f>_xlfn.IFS('Data set'!$D1053&lt;=18.5,"Low",'Data set'!$D1053&lt;=24.9,"Normal",'Data set'!$D1053&lt;=29.9,"High",'Data set'!$D1053&gt;29.9,"Very High")</f>
        <v>Normal</v>
      </c>
    </row>
    <row r="1054" spans="1:17" x14ac:dyDescent="0.25">
      <c r="A1054" s="3">
        <v>75</v>
      </c>
      <c r="B1054" s="3" t="s">
        <v>9</v>
      </c>
      <c r="C1054" s="4">
        <v>177.23</v>
      </c>
      <c r="D1054" s="4">
        <v>35.26</v>
      </c>
      <c r="E1054" s="3" t="s">
        <v>14</v>
      </c>
      <c r="F1054" s="3">
        <v>272</v>
      </c>
      <c r="G1054" s="3" t="s">
        <v>297</v>
      </c>
      <c r="H1054" s="4">
        <v>4.26</v>
      </c>
      <c r="I1054" s="3">
        <v>1</v>
      </c>
      <c r="J1054" s="3" t="s">
        <v>4</v>
      </c>
      <c r="K1054" s="3" t="s">
        <v>4</v>
      </c>
      <c r="L1054" s="3">
        <v>140</v>
      </c>
      <c r="M1054" s="3">
        <v>85</v>
      </c>
      <c r="N1054" s="3" t="s">
        <v>5</v>
      </c>
      <c r="O1054" s="3" t="str">
        <f>_xlfn.IFS('Data set'!$H1054&lt;5.7,"Normal",'Data set'!$H1054&lt;=6.4,"Prediabetes",'Data set'!$H1054&lt;=7.5,"Diabetes",'Data set'!$H1054&gt;=7.5,"Uncontrolled")</f>
        <v>Normal</v>
      </c>
      <c r="P1054" s="3" t="str">
        <f>_xlfn.IFS('Data set'!$F1054&lt;120,"Low",'Data set'!$F1054&lt;=200,"Normal",'Data set'!$F1054&lt;=240,"Boarderline",'Data set'!$F1054&gt;=241,"High")</f>
        <v>High</v>
      </c>
      <c r="Q1054" s="3" t="str">
        <f>_xlfn.IFS('Data set'!$D1054&lt;=18.5,"Low",'Data set'!$D1054&lt;=24.9,"Normal",'Data set'!$D1054&lt;=29.9,"High",'Data set'!$D1054&gt;29.9,"Very High")</f>
        <v>Very High</v>
      </c>
    </row>
    <row r="1055" spans="1:17" x14ac:dyDescent="0.25">
      <c r="A1055" s="5">
        <v>45</v>
      </c>
      <c r="B1055" s="5" t="s">
        <v>0</v>
      </c>
      <c r="C1055" s="6">
        <v>168.69</v>
      </c>
      <c r="D1055" s="6">
        <v>37.299999999999997</v>
      </c>
      <c r="E1055" s="5" t="s">
        <v>6</v>
      </c>
      <c r="F1055" s="5">
        <v>257</v>
      </c>
      <c r="G1055" s="5" t="s">
        <v>779</v>
      </c>
      <c r="H1055" s="6">
        <v>8.08</v>
      </c>
      <c r="I1055" s="5">
        <v>0</v>
      </c>
      <c r="J1055" s="5" t="s">
        <v>3</v>
      </c>
      <c r="K1055" s="5" t="s">
        <v>4</v>
      </c>
      <c r="L1055" s="5">
        <v>107</v>
      </c>
      <c r="M1055" s="5">
        <v>82</v>
      </c>
      <c r="N1055" s="5" t="s">
        <v>23</v>
      </c>
      <c r="O1055" s="5" t="str">
        <f>_xlfn.IFS('Data set'!$H1055&lt;5.7,"Normal",'Data set'!$H1055&lt;=6.4,"Prediabetes",'Data set'!$H1055&lt;=7.5,"Diabetes",'Data set'!$H1055&gt;=7.5,"Uncontrolled")</f>
        <v>Uncontrolled</v>
      </c>
      <c r="P1055" s="5" t="str">
        <f>_xlfn.IFS('Data set'!$F1055&lt;120,"Low",'Data set'!$F1055&lt;=200,"Normal",'Data set'!$F1055&lt;=240,"Boarderline",'Data set'!$F1055&gt;=241,"High")</f>
        <v>High</v>
      </c>
      <c r="Q1055" s="5" t="str">
        <f>_xlfn.IFS('Data set'!$D1055&lt;=18.5,"Low",'Data set'!$D1055&lt;=24.9,"Normal",'Data set'!$D1055&lt;=29.9,"High",'Data set'!$D1055&gt;29.9,"Very High")</f>
        <v>Very High</v>
      </c>
    </row>
    <row r="1056" spans="1:17" x14ac:dyDescent="0.25">
      <c r="A1056" s="3">
        <v>28</v>
      </c>
      <c r="B1056" s="3" t="s">
        <v>9</v>
      </c>
      <c r="C1056" s="4">
        <v>179.92</v>
      </c>
      <c r="D1056" s="4">
        <v>23.46</v>
      </c>
      <c r="E1056" s="3" t="s">
        <v>14</v>
      </c>
      <c r="F1056" s="3">
        <v>105</v>
      </c>
      <c r="G1056" s="3" t="s">
        <v>780</v>
      </c>
      <c r="H1056" s="4">
        <v>7.19</v>
      </c>
      <c r="I1056" s="3">
        <v>6</v>
      </c>
      <c r="J1056" s="3" t="s">
        <v>4</v>
      </c>
      <c r="K1056" s="3" t="s">
        <v>4</v>
      </c>
      <c r="L1056" s="3">
        <v>125</v>
      </c>
      <c r="M1056" s="3">
        <v>60</v>
      </c>
      <c r="N1056" s="3" t="s">
        <v>17</v>
      </c>
      <c r="O1056" s="3" t="str">
        <f>_xlfn.IFS('Data set'!$H1056&lt;5.7,"Normal",'Data set'!$H1056&lt;=6.4,"Prediabetes",'Data set'!$H1056&lt;=7.5,"Diabetes",'Data set'!$H1056&gt;=7.5,"Uncontrolled")</f>
        <v>Diabetes</v>
      </c>
      <c r="P1056" s="3" t="str">
        <f>_xlfn.IFS('Data set'!$F1056&lt;120,"Low",'Data set'!$F1056&lt;=200,"Normal",'Data set'!$F1056&lt;=240,"Boarderline",'Data set'!$F1056&gt;=241,"High")</f>
        <v>Low</v>
      </c>
      <c r="Q1056" s="3" t="str">
        <f>_xlfn.IFS('Data set'!$D1056&lt;=18.5,"Low",'Data set'!$D1056&lt;=24.9,"Normal",'Data set'!$D1056&lt;=29.9,"High",'Data set'!$D1056&gt;29.9,"Very High")</f>
        <v>Normal</v>
      </c>
    </row>
    <row r="1057" spans="1:17" x14ac:dyDescent="0.25">
      <c r="A1057" s="5">
        <v>64</v>
      </c>
      <c r="B1057" s="5" t="s">
        <v>0</v>
      </c>
      <c r="C1057" s="6">
        <v>215.75</v>
      </c>
      <c r="D1057" s="6">
        <v>28.77</v>
      </c>
      <c r="E1057" s="5" t="s">
        <v>14</v>
      </c>
      <c r="F1057" s="5">
        <v>193</v>
      </c>
      <c r="G1057" s="5" t="s">
        <v>781</v>
      </c>
      <c r="H1057" s="6">
        <v>8.17</v>
      </c>
      <c r="I1057" s="5">
        <v>3</v>
      </c>
      <c r="J1057" s="5" t="s">
        <v>4</v>
      </c>
      <c r="K1057" s="5" t="s">
        <v>3</v>
      </c>
      <c r="L1057" s="5">
        <v>90</v>
      </c>
      <c r="M1057" s="5">
        <v>75</v>
      </c>
      <c r="N1057" s="5" t="s">
        <v>21</v>
      </c>
      <c r="O1057" s="5" t="str">
        <f>_xlfn.IFS('Data set'!$H1057&lt;5.7,"Normal",'Data set'!$H1057&lt;=6.4,"Prediabetes",'Data set'!$H1057&lt;=7.5,"Diabetes",'Data set'!$H1057&gt;=7.5,"Uncontrolled")</f>
        <v>Uncontrolled</v>
      </c>
      <c r="P1057" s="5" t="str">
        <f>_xlfn.IFS('Data set'!$F1057&lt;120,"Low",'Data set'!$F1057&lt;=200,"Normal",'Data set'!$F1057&lt;=240,"Boarderline",'Data set'!$F1057&gt;=241,"High")</f>
        <v>Normal</v>
      </c>
      <c r="Q1057" s="5" t="str">
        <f>_xlfn.IFS('Data set'!$D1057&lt;=18.5,"Low",'Data set'!$D1057&lt;=24.9,"Normal",'Data set'!$D1057&lt;=29.9,"High",'Data set'!$D1057&gt;29.9,"Very High")</f>
        <v>High</v>
      </c>
    </row>
    <row r="1058" spans="1:17" x14ac:dyDescent="0.25">
      <c r="A1058" s="3">
        <v>21</v>
      </c>
      <c r="B1058" s="3" t="s">
        <v>9</v>
      </c>
      <c r="C1058" s="4">
        <v>271.13</v>
      </c>
      <c r="D1058" s="4">
        <v>36.81</v>
      </c>
      <c r="E1058" s="3" t="s">
        <v>1</v>
      </c>
      <c r="F1058" s="3">
        <v>124</v>
      </c>
      <c r="G1058" s="3" t="s">
        <v>241</v>
      </c>
      <c r="H1058" s="4">
        <v>4.0199999999999996</v>
      </c>
      <c r="I1058" s="3">
        <v>1</v>
      </c>
      <c r="J1058" s="3" t="s">
        <v>4</v>
      </c>
      <c r="K1058" s="3" t="s">
        <v>3</v>
      </c>
      <c r="L1058" s="3">
        <v>105</v>
      </c>
      <c r="M1058" s="3">
        <v>67</v>
      </c>
      <c r="N1058" s="3" t="s">
        <v>17</v>
      </c>
      <c r="O1058" s="3" t="str">
        <f>_xlfn.IFS('Data set'!$H1058&lt;5.7,"Normal",'Data set'!$H1058&lt;=6.4,"Prediabetes",'Data set'!$H1058&lt;=7.5,"Diabetes",'Data set'!$H1058&gt;=7.5,"Uncontrolled")</f>
        <v>Normal</v>
      </c>
      <c r="P1058" s="3" t="str">
        <f>_xlfn.IFS('Data set'!$F1058&lt;120,"Low",'Data set'!$F1058&lt;=200,"Normal",'Data set'!$F1058&lt;=240,"Boarderline",'Data set'!$F1058&gt;=241,"High")</f>
        <v>Normal</v>
      </c>
      <c r="Q1058" s="3" t="str">
        <f>_xlfn.IFS('Data set'!$D1058&lt;=18.5,"Low",'Data set'!$D1058&lt;=24.9,"Normal",'Data set'!$D1058&lt;=29.9,"High",'Data set'!$D1058&gt;29.9,"Very High")</f>
        <v>Very High</v>
      </c>
    </row>
    <row r="1059" spans="1:17" x14ac:dyDescent="0.25">
      <c r="A1059" s="5">
        <v>35</v>
      </c>
      <c r="B1059" s="5" t="s">
        <v>0</v>
      </c>
      <c r="C1059" s="6">
        <v>208.52</v>
      </c>
      <c r="D1059" s="6">
        <v>34.51</v>
      </c>
      <c r="E1059" s="5" t="s">
        <v>14</v>
      </c>
      <c r="F1059" s="5">
        <v>138</v>
      </c>
      <c r="G1059" s="5" t="s">
        <v>150</v>
      </c>
      <c r="H1059" s="6">
        <v>4.3499999999999996</v>
      </c>
      <c r="I1059" s="5">
        <v>6</v>
      </c>
      <c r="J1059" s="5" t="s">
        <v>3</v>
      </c>
      <c r="K1059" s="5" t="s">
        <v>4</v>
      </c>
      <c r="L1059" s="5">
        <v>117</v>
      </c>
      <c r="M1059" s="5">
        <v>72</v>
      </c>
      <c r="N1059" s="5" t="s">
        <v>12</v>
      </c>
      <c r="O1059" s="5" t="str">
        <f>_xlfn.IFS('Data set'!$H1059&lt;5.7,"Normal",'Data set'!$H1059&lt;=6.4,"Prediabetes",'Data set'!$H1059&lt;=7.5,"Diabetes",'Data set'!$H1059&gt;=7.5,"Uncontrolled")</f>
        <v>Normal</v>
      </c>
      <c r="P1059" s="5" t="str">
        <f>_xlfn.IFS('Data set'!$F1059&lt;120,"Low",'Data set'!$F1059&lt;=200,"Normal",'Data set'!$F1059&lt;=240,"Boarderline",'Data set'!$F1059&gt;=241,"High")</f>
        <v>Normal</v>
      </c>
      <c r="Q1059" s="5" t="str">
        <f>_xlfn.IFS('Data set'!$D1059&lt;=18.5,"Low",'Data set'!$D1059&lt;=24.9,"Normal",'Data set'!$D1059&lt;=29.9,"High",'Data set'!$D1059&gt;29.9,"Very High")</f>
        <v>Very High</v>
      </c>
    </row>
    <row r="1060" spans="1:17" x14ac:dyDescent="0.25">
      <c r="A1060" s="3">
        <v>58</v>
      </c>
      <c r="B1060" s="3" t="s">
        <v>0</v>
      </c>
      <c r="C1060" s="4">
        <v>163</v>
      </c>
      <c r="D1060" s="4">
        <v>26.09</v>
      </c>
      <c r="E1060" s="3" t="s">
        <v>1</v>
      </c>
      <c r="F1060" s="3">
        <v>290</v>
      </c>
      <c r="G1060" s="3" t="s">
        <v>737</v>
      </c>
      <c r="H1060" s="4">
        <v>6.33</v>
      </c>
      <c r="I1060" s="3">
        <v>5</v>
      </c>
      <c r="J1060" s="3" t="s">
        <v>4</v>
      </c>
      <c r="K1060" s="3" t="s">
        <v>3</v>
      </c>
      <c r="L1060" s="3">
        <v>101</v>
      </c>
      <c r="M1060" s="3">
        <v>88</v>
      </c>
      <c r="N1060" s="3" t="s">
        <v>8</v>
      </c>
      <c r="O1060" s="3" t="str">
        <f>_xlfn.IFS('Data set'!$H1060&lt;5.7,"Normal",'Data set'!$H1060&lt;=6.4,"Prediabetes",'Data set'!$H1060&lt;=7.5,"Diabetes",'Data set'!$H1060&gt;=7.5,"Uncontrolled")</f>
        <v>Prediabetes</v>
      </c>
      <c r="P1060" s="3" t="str">
        <f>_xlfn.IFS('Data set'!$F1060&lt;120,"Low",'Data set'!$F1060&lt;=200,"Normal",'Data set'!$F1060&lt;=240,"Boarderline",'Data set'!$F1060&gt;=241,"High")</f>
        <v>High</v>
      </c>
      <c r="Q1060" s="3" t="str">
        <f>_xlfn.IFS('Data set'!$D1060&lt;=18.5,"Low",'Data set'!$D1060&lt;=24.9,"Normal",'Data set'!$D1060&lt;=29.9,"High",'Data set'!$D1060&gt;29.9,"Very High")</f>
        <v>High</v>
      </c>
    </row>
    <row r="1061" spans="1:17" x14ac:dyDescent="0.25">
      <c r="A1061" s="5">
        <v>57</v>
      </c>
      <c r="B1061" s="5" t="s">
        <v>9</v>
      </c>
      <c r="C1061" s="6">
        <v>154.88</v>
      </c>
      <c r="D1061" s="6">
        <v>27.13</v>
      </c>
      <c r="E1061" s="5" t="s">
        <v>10</v>
      </c>
      <c r="F1061" s="5">
        <v>178</v>
      </c>
      <c r="G1061" s="5" t="s">
        <v>782</v>
      </c>
      <c r="H1061" s="6">
        <v>8.51</v>
      </c>
      <c r="I1061" s="5">
        <v>3</v>
      </c>
      <c r="J1061" s="5" t="s">
        <v>4</v>
      </c>
      <c r="K1061" s="5" t="s">
        <v>3</v>
      </c>
      <c r="L1061" s="5">
        <v>100</v>
      </c>
      <c r="M1061" s="5">
        <v>69</v>
      </c>
      <c r="N1061" s="5" t="s">
        <v>8</v>
      </c>
      <c r="O1061" s="5" t="str">
        <f>_xlfn.IFS('Data set'!$H1061&lt;5.7,"Normal",'Data set'!$H1061&lt;=6.4,"Prediabetes",'Data set'!$H1061&lt;=7.5,"Diabetes",'Data set'!$H1061&gt;=7.5,"Uncontrolled")</f>
        <v>Uncontrolled</v>
      </c>
      <c r="P1061" s="5" t="str">
        <f>_xlfn.IFS('Data set'!$F1061&lt;120,"Low",'Data set'!$F1061&lt;=200,"Normal",'Data set'!$F1061&lt;=240,"Boarderline",'Data set'!$F1061&gt;=241,"High")</f>
        <v>Normal</v>
      </c>
      <c r="Q1061" s="5" t="str">
        <f>_xlfn.IFS('Data set'!$D1061&lt;=18.5,"Low",'Data set'!$D1061&lt;=24.9,"Normal",'Data set'!$D1061&lt;=29.9,"High",'Data set'!$D1061&gt;29.9,"Very High")</f>
        <v>High</v>
      </c>
    </row>
    <row r="1062" spans="1:17" x14ac:dyDescent="0.25">
      <c r="A1062" s="3">
        <v>69</v>
      </c>
      <c r="B1062" s="3" t="s">
        <v>9</v>
      </c>
      <c r="C1062" s="4">
        <v>136.19</v>
      </c>
      <c r="D1062" s="4">
        <v>20.48</v>
      </c>
      <c r="E1062" s="3" t="s">
        <v>10</v>
      </c>
      <c r="F1062" s="3">
        <v>198</v>
      </c>
      <c r="G1062" s="3" t="s">
        <v>187</v>
      </c>
      <c r="H1062" s="4">
        <v>6.13</v>
      </c>
      <c r="I1062" s="3">
        <v>1</v>
      </c>
      <c r="J1062" s="3" t="s">
        <v>4</v>
      </c>
      <c r="K1062" s="3" t="s">
        <v>3</v>
      </c>
      <c r="L1062" s="3">
        <v>104</v>
      </c>
      <c r="M1062" s="3">
        <v>75</v>
      </c>
      <c r="N1062" s="3" t="s">
        <v>21</v>
      </c>
      <c r="O1062" s="3" t="str">
        <f>_xlfn.IFS('Data set'!$H1062&lt;5.7,"Normal",'Data set'!$H1062&lt;=6.4,"Prediabetes",'Data set'!$H1062&lt;=7.5,"Diabetes",'Data set'!$H1062&gt;=7.5,"Uncontrolled")</f>
        <v>Prediabetes</v>
      </c>
      <c r="P1062" s="3" t="str">
        <f>_xlfn.IFS('Data set'!$F1062&lt;120,"Low",'Data set'!$F1062&lt;=200,"Normal",'Data set'!$F1062&lt;=240,"Boarderline",'Data set'!$F1062&gt;=241,"High")</f>
        <v>Normal</v>
      </c>
      <c r="Q1062" s="3" t="str">
        <f>_xlfn.IFS('Data set'!$D1062&lt;=18.5,"Low",'Data set'!$D1062&lt;=24.9,"Normal",'Data set'!$D1062&lt;=29.9,"High",'Data set'!$D1062&gt;29.9,"Very High")</f>
        <v>Normal</v>
      </c>
    </row>
    <row r="1063" spans="1:17" x14ac:dyDescent="0.25">
      <c r="A1063" s="5">
        <v>77</v>
      </c>
      <c r="B1063" s="5" t="s">
        <v>0</v>
      </c>
      <c r="C1063" s="6">
        <v>122.21</v>
      </c>
      <c r="D1063" s="6">
        <v>37.92</v>
      </c>
      <c r="E1063" s="5" t="s">
        <v>1</v>
      </c>
      <c r="F1063" s="5">
        <v>155</v>
      </c>
      <c r="G1063" s="5" t="s">
        <v>783</v>
      </c>
      <c r="H1063" s="6">
        <v>5.05</v>
      </c>
      <c r="I1063" s="5">
        <v>4</v>
      </c>
      <c r="J1063" s="5" t="s">
        <v>4</v>
      </c>
      <c r="K1063" s="5" t="s">
        <v>3</v>
      </c>
      <c r="L1063" s="5">
        <v>100</v>
      </c>
      <c r="M1063" s="5">
        <v>73</v>
      </c>
      <c r="N1063" s="5" t="s">
        <v>5</v>
      </c>
      <c r="O1063" s="5" t="str">
        <f>_xlfn.IFS('Data set'!$H1063&lt;5.7,"Normal",'Data set'!$H1063&lt;=6.4,"Prediabetes",'Data set'!$H1063&lt;=7.5,"Diabetes",'Data set'!$H1063&gt;=7.5,"Uncontrolled")</f>
        <v>Normal</v>
      </c>
      <c r="P1063" s="5" t="str">
        <f>_xlfn.IFS('Data set'!$F1063&lt;120,"Low",'Data set'!$F1063&lt;=200,"Normal",'Data set'!$F1063&lt;=240,"Boarderline",'Data set'!$F1063&gt;=241,"High")</f>
        <v>Normal</v>
      </c>
      <c r="Q1063" s="5" t="str">
        <f>_xlfn.IFS('Data set'!$D1063&lt;=18.5,"Low",'Data set'!$D1063&lt;=24.9,"Normal",'Data set'!$D1063&lt;=29.9,"High",'Data set'!$D1063&gt;29.9,"Very High")</f>
        <v>Very High</v>
      </c>
    </row>
    <row r="1064" spans="1:17" x14ac:dyDescent="0.25">
      <c r="A1064" s="3">
        <v>53</v>
      </c>
      <c r="B1064" s="3" t="s">
        <v>9</v>
      </c>
      <c r="C1064" s="4">
        <v>244.51</v>
      </c>
      <c r="D1064" s="4">
        <v>36.51</v>
      </c>
      <c r="E1064" s="3" t="s">
        <v>6</v>
      </c>
      <c r="F1064" s="3">
        <v>158</v>
      </c>
      <c r="G1064" s="3" t="s">
        <v>784</v>
      </c>
      <c r="H1064" s="4">
        <v>4.76</v>
      </c>
      <c r="I1064" s="3">
        <v>6</v>
      </c>
      <c r="J1064" s="3" t="s">
        <v>3</v>
      </c>
      <c r="K1064" s="3" t="s">
        <v>3</v>
      </c>
      <c r="L1064" s="3">
        <v>113</v>
      </c>
      <c r="M1064" s="3">
        <v>84</v>
      </c>
      <c r="N1064" s="3" t="s">
        <v>8</v>
      </c>
      <c r="O1064" s="3" t="str">
        <f>_xlfn.IFS('Data set'!$H1064&lt;5.7,"Normal",'Data set'!$H1064&lt;=6.4,"Prediabetes",'Data set'!$H1064&lt;=7.5,"Diabetes",'Data set'!$H1064&gt;=7.5,"Uncontrolled")</f>
        <v>Normal</v>
      </c>
      <c r="P1064" s="3" t="str">
        <f>_xlfn.IFS('Data set'!$F1064&lt;120,"Low",'Data set'!$F1064&lt;=200,"Normal",'Data set'!$F1064&lt;=240,"Boarderline",'Data set'!$F1064&gt;=241,"High")</f>
        <v>Normal</v>
      </c>
      <c r="Q1064" s="3" t="str">
        <f>_xlfn.IFS('Data set'!$D1064&lt;=18.5,"Low",'Data set'!$D1064&lt;=24.9,"Normal",'Data set'!$D1064&lt;=29.9,"High",'Data set'!$D1064&gt;29.9,"Very High")</f>
        <v>Very High</v>
      </c>
    </row>
    <row r="1065" spans="1:17" x14ac:dyDescent="0.25">
      <c r="A1065" s="5">
        <v>62</v>
      </c>
      <c r="B1065" s="5" t="s">
        <v>9</v>
      </c>
      <c r="C1065" s="6">
        <v>144.47999999999999</v>
      </c>
      <c r="D1065" s="6">
        <v>29.35</v>
      </c>
      <c r="E1065" s="5" t="s">
        <v>14</v>
      </c>
      <c r="F1065" s="5">
        <v>191</v>
      </c>
      <c r="G1065" s="5" t="s">
        <v>169</v>
      </c>
      <c r="H1065" s="6">
        <v>5.32</v>
      </c>
      <c r="I1065" s="5">
        <v>7</v>
      </c>
      <c r="J1065" s="5" t="s">
        <v>3</v>
      </c>
      <c r="K1065" s="5" t="s">
        <v>3</v>
      </c>
      <c r="L1065" s="5">
        <v>116</v>
      </c>
      <c r="M1065" s="5">
        <v>61</v>
      </c>
      <c r="N1065" s="5" t="s">
        <v>21</v>
      </c>
      <c r="O1065" s="5" t="str">
        <f>_xlfn.IFS('Data set'!$H1065&lt;5.7,"Normal",'Data set'!$H1065&lt;=6.4,"Prediabetes",'Data set'!$H1065&lt;=7.5,"Diabetes",'Data set'!$H1065&gt;=7.5,"Uncontrolled")</f>
        <v>Normal</v>
      </c>
      <c r="P1065" s="5" t="str">
        <f>_xlfn.IFS('Data set'!$F1065&lt;120,"Low",'Data set'!$F1065&lt;=200,"Normal",'Data set'!$F1065&lt;=240,"Boarderline",'Data set'!$F1065&gt;=241,"High")</f>
        <v>Normal</v>
      </c>
      <c r="Q1065" s="5" t="str">
        <f>_xlfn.IFS('Data set'!$D1065&lt;=18.5,"Low",'Data set'!$D1065&lt;=24.9,"Normal",'Data set'!$D1065&lt;=29.9,"High",'Data set'!$D1065&gt;29.9,"Very High")</f>
        <v>High</v>
      </c>
    </row>
    <row r="1066" spans="1:17" x14ac:dyDescent="0.25">
      <c r="A1066" s="3">
        <v>74</v>
      </c>
      <c r="B1066" s="3" t="s">
        <v>0</v>
      </c>
      <c r="C1066" s="4">
        <v>290.99</v>
      </c>
      <c r="D1066" s="4">
        <v>39.950000000000003</v>
      </c>
      <c r="E1066" s="3" t="s">
        <v>10</v>
      </c>
      <c r="F1066" s="3">
        <v>266</v>
      </c>
      <c r="G1066" s="3" t="s">
        <v>252</v>
      </c>
      <c r="H1066" s="4">
        <v>4.24</v>
      </c>
      <c r="I1066" s="3">
        <v>1</v>
      </c>
      <c r="J1066" s="3" t="s">
        <v>4</v>
      </c>
      <c r="K1066" s="3" t="s">
        <v>4</v>
      </c>
      <c r="L1066" s="3">
        <v>137</v>
      </c>
      <c r="M1066" s="3">
        <v>62</v>
      </c>
      <c r="N1066" s="3" t="s">
        <v>5</v>
      </c>
      <c r="O1066" s="3" t="str">
        <f>_xlfn.IFS('Data set'!$H1066&lt;5.7,"Normal",'Data set'!$H1066&lt;=6.4,"Prediabetes",'Data set'!$H1066&lt;=7.5,"Diabetes",'Data set'!$H1066&gt;=7.5,"Uncontrolled")</f>
        <v>Normal</v>
      </c>
      <c r="P1066" s="3" t="str">
        <f>_xlfn.IFS('Data set'!$F1066&lt;120,"Low",'Data set'!$F1066&lt;=200,"Normal",'Data set'!$F1066&lt;=240,"Boarderline",'Data set'!$F1066&gt;=241,"High")</f>
        <v>High</v>
      </c>
      <c r="Q1066" s="3" t="str">
        <f>_xlfn.IFS('Data set'!$D1066&lt;=18.5,"Low",'Data set'!$D1066&lt;=24.9,"Normal",'Data set'!$D1066&lt;=29.9,"High",'Data set'!$D1066&gt;29.9,"Very High")</f>
        <v>Very High</v>
      </c>
    </row>
    <row r="1067" spans="1:17" x14ac:dyDescent="0.25">
      <c r="A1067" s="5">
        <v>44</v>
      </c>
      <c r="B1067" s="5" t="s">
        <v>0</v>
      </c>
      <c r="C1067" s="6">
        <v>192.72</v>
      </c>
      <c r="D1067" s="6">
        <v>36.21</v>
      </c>
      <c r="E1067" s="5" t="s">
        <v>10</v>
      </c>
      <c r="F1067" s="5">
        <v>294</v>
      </c>
      <c r="G1067" s="5" t="s">
        <v>550</v>
      </c>
      <c r="H1067" s="6">
        <v>6.87</v>
      </c>
      <c r="I1067" s="5">
        <v>0</v>
      </c>
      <c r="J1067" s="5" t="s">
        <v>4</v>
      </c>
      <c r="K1067" s="5" t="s">
        <v>3</v>
      </c>
      <c r="L1067" s="5">
        <v>95</v>
      </c>
      <c r="M1067" s="5">
        <v>62</v>
      </c>
      <c r="N1067" s="5" t="s">
        <v>23</v>
      </c>
      <c r="O1067" s="5" t="str">
        <f>_xlfn.IFS('Data set'!$H1067&lt;5.7,"Normal",'Data set'!$H1067&lt;=6.4,"Prediabetes",'Data set'!$H1067&lt;=7.5,"Diabetes",'Data set'!$H1067&gt;=7.5,"Uncontrolled")</f>
        <v>Diabetes</v>
      </c>
      <c r="P1067" s="5" t="str">
        <f>_xlfn.IFS('Data set'!$F1067&lt;120,"Low",'Data set'!$F1067&lt;=200,"Normal",'Data set'!$F1067&lt;=240,"Boarderline",'Data set'!$F1067&gt;=241,"High")</f>
        <v>High</v>
      </c>
      <c r="Q1067" s="5" t="str">
        <f>_xlfn.IFS('Data set'!$D1067&lt;=18.5,"Low",'Data set'!$D1067&lt;=24.9,"Normal",'Data set'!$D1067&lt;=29.9,"High",'Data set'!$D1067&gt;29.9,"Very High")</f>
        <v>Very High</v>
      </c>
    </row>
    <row r="1068" spans="1:17" x14ac:dyDescent="0.25">
      <c r="A1068" s="3">
        <v>29</v>
      </c>
      <c r="B1068" s="3" t="s">
        <v>9</v>
      </c>
      <c r="C1068" s="4">
        <v>188.42</v>
      </c>
      <c r="D1068" s="4">
        <v>29.6</v>
      </c>
      <c r="E1068" s="3" t="s">
        <v>1</v>
      </c>
      <c r="F1068" s="3">
        <v>196</v>
      </c>
      <c r="G1068" s="3" t="s">
        <v>785</v>
      </c>
      <c r="H1068" s="4">
        <v>6.44</v>
      </c>
      <c r="I1068" s="3">
        <v>3</v>
      </c>
      <c r="J1068" s="3" t="s">
        <v>3</v>
      </c>
      <c r="K1068" s="3" t="s">
        <v>4</v>
      </c>
      <c r="L1068" s="3">
        <v>128</v>
      </c>
      <c r="M1068" s="3">
        <v>73</v>
      </c>
      <c r="N1068" s="3" t="s">
        <v>17</v>
      </c>
      <c r="O1068" s="3" t="str">
        <f>_xlfn.IFS('Data set'!$H1068&lt;5.7,"Normal",'Data set'!$H1068&lt;=6.4,"Prediabetes",'Data set'!$H1068&lt;=7.5,"Diabetes",'Data set'!$H1068&gt;=7.5,"Uncontrolled")</f>
        <v>Diabetes</v>
      </c>
      <c r="P1068" s="3" t="str">
        <f>_xlfn.IFS('Data set'!$F1068&lt;120,"Low",'Data set'!$F1068&lt;=200,"Normal",'Data set'!$F1068&lt;=240,"Boarderline",'Data set'!$F1068&gt;=241,"High")</f>
        <v>Normal</v>
      </c>
      <c r="Q1068" s="3" t="str">
        <f>_xlfn.IFS('Data set'!$D1068&lt;=18.5,"Low",'Data set'!$D1068&lt;=24.9,"Normal",'Data set'!$D1068&lt;=29.9,"High",'Data set'!$D1068&gt;29.9,"Very High")</f>
        <v>High</v>
      </c>
    </row>
    <row r="1069" spans="1:17" x14ac:dyDescent="0.25">
      <c r="A1069" s="5">
        <v>25</v>
      </c>
      <c r="B1069" s="5" t="s">
        <v>0</v>
      </c>
      <c r="C1069" s="6">
        <v>286.94</v>
      </c>
      <c r="D1069" s="6">
        <v>25.03</v>
      </c>
      <c r="E1069" s="5" t="s">
        <v>10</v>
      </c>
      <c r="F1069" s="5">
        <v>177</v>
      </c>
      <c r="G1069" s="5" t="s">
        <v>786</v>
      </c>
      <c r="H1069" s="6">
        <v>9.77</v>
      </c>
      <c r="I1069" s="5">
        <v>3</v>
      </c>
      <c r="J1069" s="5" t="s">
        <v>3</v>
      </c>
      <c r="K1069" s="5" t="s">
        <v>4</v>
      </c>
      <c r="L1069" s="5">
        <v>114</v>
      </c>
      <c r="M1069" s="5">
        <v>82</v>
      </c>
      <c r="N1069" s="5" t="s">
        <v>17</v>
      </c>
      <c r="O1069" s="5" t="str">
        <f>_xlfn.IFS('Data set'!$H1069&lt;5.7,"Normal",'Data set'!$H1069&lt;=6.4,"Prediabetes",'Data set'!$H1069&lt;=7.5,"Diabetes",'Data set'!$H1069&gt;=7.5,"Uncontrolled")</f>
        <v>Uncontrolled</v>
      </c>
      <c r="P1069" s="5" t="str">
        <f>_xlfn.IFS('Data set'!$F1069&lt;120,"Low",'Data set'!$F1069&lt;=200,"Normal",'Data set'!$F1069&lt;=240,"Boarderline",'Data set'!$F1069&gt;=241,"High")</f>
        <v>Normal</v>
      </c>
      <c r="Q1069" s="5" t="str">
        <f>_xlfn.IFS('Data set'!$D1069&lt;=18.5,"Low",'Data set'!$D1069&lt;=24.9,"Normal",'Data set'!$D1069&lt;=29.9,"High",'Data set'!$D1069&gt;29.9,"Very High")</f>
        <v>High</v>
      </c>
    </row>
    <row r="1070" spans="1:17" x14ac:dyDescent="0.25">
      <c r="A1070" s="3">
        <v>56</v>
      </c>
      <c r="B1070" s="3" t="s">
        <v>0</v>
      </c>
      <c r="C1070" s="4">
        <v>281.37</v>
      </c>
      <c r="D1070" s="4">
        <v>39.200000000000003</v>
      </c>
      <c r="E1070" s="3" t="s">
        <v>6</v>
      </c>
      <c r="F1070" s="3">
        <v>264</v>
      </c>
      <c r="G1070" s="3" t="s">
        <v>787</v>
      </c>
      <c r="H1070" s="4">
        <v>7.84</v>
      </c>
      <c r="I1070" s="3">
        <v>3</v>
      </c>
      <c r="J1070" s="3" t="s">
        <v>4</v>
      </c>
      <c r="K1070" s="3" t="s">
        <v>3</v>
      </c>
      <c r="L1070" s="3">
        <v>129</v>
      </c>
      <c r="M1070" s="3">
        <v>72</v>
      </c>
      <c r="N1070" s="3" t="s">
        <v>8</v>
      </c>
      <c r="O1070" s="3" t="str">
        <f>_xlfn.IFS('Data set'!$H1070&lt;5.7,"Normal",'Data set'!$H1070&lt;=6.4,"Prediabetes",'Data set'!$H1070&lt;=7.5,"Diabetes",'Data set'!$H1070&gt;=7.5,"Uncontrolled")</f>
        <v>Uncontrolled</v>
      </c>
      <c r="P1070" s="3" t="str">
        <f>_xlfn.IFS('Data set'!$F1070&lt;120,"Low",'Data set'!$F1070&lt;=200,"Normal",'Data set'!$F1070&lt;=240,"Boarderline",'Data set'!$F1070&gt;=241,"High")</f>
        <v>High</v>
      </c>
      <c r="Q1070" s="3" t="str">
        <f>_xlfn.IFS('Data set'!$D1070&lt;=18.5,"Low",'Data set'!$D1070&lt;=24.9,"Normal",'Data set'!$D1070&lt;=29.9,"High",'Data set'!$D1070&gt;29.9,"Very High")</f>
        <v>Very High</v>
      </c>
    </row>
    <row r="1071" spans="1:17" x14ac:dyDescent="0.25">
      <c r="A1071" s="5">
        <v>24</v>
      </c>
      <c r="B1071" s="5" t="s">
        <v>9</v>
      </c>
      <c r="C1071" s="6">
        <v>219.05</v>
      </c>
      <c r="D1071" s="6">
        <v>32.119999999999997</v>
      </c>
      <c r="E1071" s="5" t="s">
        <v>1</v>
      </c>
      <c r="F1071" s="5">
        <v>155</v>
      </c>
      <c r="G1071" s="5" t="s">
        <v>788</v>
      </c>
      <c r="H1071" s="6">
        <v>9.0500000000000007</v>
      </c>
      <c r="I1071" s="5">
        <v>0</v>
      </c>
      <c r="J1071" s="5" t="s">
        <v>4</v>
      </c>
      <c r="K1071" s="5" t="s">
        <v>4</v>
      </c>
      <c r="L1071" s="5">
        <v>103</v>
      </c>
      <c r="M1071" s="5">
        <v>70</v>
      </c>
      <c r="N1071" s="5" t="s">
        <v>17</v>
      </c>
      <c r="O1071" s="5" t="str">
        <f>_xlfn.IFS('Data set'!$H1071&lt;5.7,"Normal",'Data set'!$H1071&lt;=6.4,"Prediabetes",'Data set'!$H1071&lt;=7.5,"Diabetes",'Data set'!$H1071&gt;=7.5,"Uncontrolled")</f>
        <v>Uncontrolled</v>
      </c>
      <c r="P1071" s="5" t="str">
        <f>_xlfn.IFS('Data set'!$F1071&lt;120,"Low",'Data set'!$F1071&lt;=200,"Normal",'Data set'!$F1071&lt;=240,"Boarderline",'Data set'!$F1071&gt;=241,"High")</f>
        <v>Normal</v>
      </c>
      <c r="Q1071" s="5" t="str">
        <f>_xlfn.IFS('Data set'!$D1071&lt;=18.5,"Low",'Data set'!$D1071&lt;=24.9,"Normal",'Data set'!$D1071&lt;=29.9,"High",'Data set'!$D1071&gt;29.9,"Very High")</f>
        <v>Very High</v>
      </c>
    </row>
    <row r="1072" spans="1:17" x14ac:dyDescent="0.25">
      <c r="A1072" s="3">
        <v>58</v>
      </c>
      <c r="B1072" s="3" t="s">
        <v>0</v>
      </c>
      <c r="C1072" s="4">
        <v>213.9</v>
      </c>
      <c r="D1072" s="4">
        <v>36.75</v>
      </c>
      <c r="E1072" s="3" t="s">
        <v>1</v>
      </c>
      <c r="F1072" s="3">
        <v>136</v>
      </c>
      <c r="G1072" s="3" t="s">
        <v>789</v>
      </c>
      <c r="H1072" s="4">
        <v>7.73</v>
      </c>
      <c r="I1072" s="3">
        <v>4</v>
      </c>
      <c r="J1072" s="3" t="s">
        <v>3</v>
      </c>
      <c r="K1072" s="3" t="s">
        <v>4</v>
      </c>
      <c r="L1072" s="3">
        <v>96</v>
      </c>
      <c r="M1072" s="3">
        <v>84</v>
      </c>
      <c r="N1072" s="3" t="s">
        <v>8</v>
      </c>
      <c r="O1072" s="3" t="str">
        <f>_xlfn.IFS('Data set'!$H1072&lt;5.7,"Normal",'Data set'!$H1072&lt;=6.4,"Prediabetes",'Data set'!$H1072&lt;=7.5,"Diabetes",'Data set'!$H1072&gt;=7.5,"Uncontrolled")</f>
        <v>Uncontrolled</v>
      </c>
      <c r="P1072" s="3" t="str">
        <f>_xlfn.IFS('Data set'!$F1072&lt;120,"Low",'Data set'!$F1072&lt;=200,"Normal",'Data set'!$F1072&lt;=240,"Boarderline",'Data set'!$F1072&gt;=241,"High")</f>
        <v>Normal</v>
      </c>
      <c r="Q1072" s="3" t="str">
        <f>_xlfn.IFS('Data set'!$D1072&lt;=18.5,"Low",'Data set'!$D1072&lt;=24.9,"Normal",'Data set'!$D1072&lt;=29.9,"High",'Data set'!$D1072&gt;29.9,"Very High")</f>
        <v>Very High</v>
      </c>
    </row>
    <row r="1073" spans="1:17" x14ac:dyDescent="0.25">
      <c r="A1073" s="5">
        <v>35</v>
      </c>
      <c r="B1073" s="5" t="s">
        <v>0</v>
      </c>
      <c r="C1073" s="6">
        <v>258.68</v>
      </c>
      <c r="D1073" s="6">
        <v>31.48</v>
      </c>
      <c r="E1073" s="5" t="s">
        <v>1</v>
      </c>
      <c r="F1073" s="5">
        <v>115</v>
      </c>
      <c r="G1073" s="5" t="s">
        <v>790</v>
      </c>
      <c r="H1073" s="6">
        <v>4.88</v>
      </c>
      <c r="I1073" s="5">
        <v>2</v>
      </c>
      <c r="J1073" s="5" t="s">
        <v>4</v>
      </c>
      <c r="K1073" s="5" t="s">
        <v>3</v>
      </c>
      <c r="L1073" s="5">
        <v>124</v>
      </c>
      <c r="M1073" s="5">
        <v>60</v>
      </c>
      <c r="N1073" s="5" t="s">
        <v>12</v>
      </c>
      <c r="O1073" s="5" t="str">
        <f>_xlfn.IFS('Data set'!$H1073&lt;5.7,"Normal",'Data set'!$H1073&lt;=6.4,"Prediabetes",'Data set'!$H1073&lt;=7.5,"Diabetes",'Data set'!$H1073&gt;=7.5,"Uncontrolled")</f>
        <v>Normal</v>
      </c>
      <c r="P1073" s="5" t="str">
        <f>_xlfn.IFS('Data set'!$F1073&lt;120,"Low",'Data set'!$F1073&lt;=200,"Normal",'Data set'!$F1073&lt;=240,"Boarderline",'Data set'!$F1073&gt;=241,"High")</f>
        <v>Low</v>
      </c>
      <c r="Q1073" s="5" t="str">
        <f>_xlfn.IFS('Data set'!$D1073&lt;=18.5,"Low",'Data set'!$D1073&lt;=24.9,"Normal",'Data set'!$D1073&lt;=29.9,"High",'Data set'!$D1073&gt;29.9,"Very High")</f>
        <v>Very High</v>
      </c>
    </row>
    <row r="1074" spans="1:17" x14ac:dyDescent="0.25">
      <c r="A1074" s="3">
        <v>40</v>
      </c>
      <c r="B1074" s="3" t="s">
        <v>9</v>
      </c>
      <c r="C1074" s="4">
        <v>293.98</v>
      </c>
      <c r="D1074" s="4">
        <v>37.89</v>
      </c>
      <c r="E1074" s="3" t="s">
        <v>14</v>
      </c>
      <c r="F1074" s="3">
        <v>143</v>
      </c>
      <c r="G1074" s="3" t="s">
        <v>220</v>
      </c>
      <c r="H1074" s="4">
        <v>6.15</v>
      </c>
      <c r="I1074" s="3">
        <v>1</v>
      </c>
      <c r="J1074" s="3" t="s">
        <v>3</v>
      </c>
      <c r="K1074" s="3" t="s">
        <v>3</v>
      </c>
      <c r="L1074" s="3">
        <v>124</v>
      </c>
      <c r="M1074" s="3">
        <v>71</v>
      </c>
      <c r="N1074" s="3" t="s">
        <v>12</v>
      </c>
      <c r="O1074" s="3" t="str">
        <f>_xlfn.IFS('Data set'!$H1074&lt;5.7,"Normal",'Data set'!$H1074&lt;=6.4,"Prediabetes",'Data set'!$H1074&lt;=7.5,"Diabetes",'Data set'!$H1074&gt;=7.5,"Uncontrolled")</f>
        <v>Prediabetes</v>
      </c>
      <c r="P1074" s="3" t="str">
        <f>_xlfn.IFS('Data set'!$F1074&lt;120,"Low",'Data set'!$F1074&lt;=200,"Normal",'Data set'!$F1074&lt;=240,"Boarderline",'Data set'!$F1074&gt;=241,"High")</f>
        <v>Normal</v>
      </c>
      <c r="Q1074" s="3" t="str">
        <f>_xlfn.IFS('Data set'!$D1074&lt;=18.5,"Low",'Data set'!$D1074&lt;=24.9,"Normal",'Data set'!$D1074&lt;=29.9,"High",'Data set'!$D1074&gt;29.9,"Very High")</f>
        <v>Very High</v>
      </c>
    </row>
    <row r="1075" spans="1:17" x14ac:dyDescent="0.25">
      <c r="A1075" s="5">
        <v>27</v>
      </c>
      <c r="B1075" s="5" t="s">
        <v>0</v>
      </c>
      <c r="C1075" s="6">
        <v>164.07</v>
      </c>
      <c r="D1075" s="6">
        <v>34.46</v>
      </c>
      <c r="E1075" s="5" t="s">
        <v>6</v>
      </c>
      <c r="F1075" s="5">
        <v>244</v>
      </c>
      <c r="G1075" s="5" t="s">
        <v>791</v>
      </c>
      <c r="H1075" s="6">
        <v>4.92</v>
      </c>
      <c r="I1075" s="5">
        <v>1</v>
      </c>
      <c r="J1075" s="5" t="s">
        <v>4</v>
      </c>
      <c r="K1075" s="5" t="s">
        <v>4</v>
      </c>
      <c r="L1075" s="5">
        <v>106</v>
      </c>
      <c r="M1075" s="5">
        <v>86</v>
      </c>
      <c r="N1075" s="5" t="s">
        <v>17</v>
      </c>
      <c r="O1075" s="5" t="str">
        <f>_xlfn.IFS('Data set'!$H1075&lt;5.7,"Normal",'Data set'!$H1075&lt;=6.4,"Prediabetes",'Data set'!$H1075&lt;=7.5,"Diabetes",'Data set'!$H1075&gt;=7.5,"Uncontrolled")</f>
        <v>Normal</v>
      </c>
      <c r="P1075" s="5" t="str">
        <f>_xlfn.IFS('Data set'!$F1075&lt;120,"Low",'Data set'!$F1075&lt;=200,"Normal",'Data set'!$F1075&lt;=240,"Boarderline",'Data set'!$F1075&gt;=241,"High")</f>
        <v>High</v>
      </c>
      <c r="Q1075" s="5" t="str">
        <f>_xlfn.IFS('Data set'!$D1075&lt;=18.5,"Low",'Data set'!$D1075&lt;=24.9,"Normal",'Data set'!$D1075&lt;=29.9,"High",'Data set'!$D1075&gt;29.9,"Very High")</f>
        <v>Very High</v>
      </c>
    </row>
    <row r="1076" spans="1:17" x14ac:dyDescent="0.25">
      <c r="A1076" s="3">
        <v>39</v>
      </c>
      <c r="B1076" s="3" t="s">
        <v>9</v>
      </c>
      <c r="C1076" s="4">
        <v>218.71</v>
      </c>
      <c r="D1076" s="4">
        <v>28.02</v>
      </c>
      <c r="E1076" s="3" t="s">
        <v>14</v>
      </c>
      <c r="F1076" s="3">
        <v>237</v>
      </c>
      <c r="G1076" s="3" t="s">
        <v>47</v>
      </c>
      <c r="H1076" s="4">
        <v>8.6300000000000008</v>
      </c>
      <c r="I1076" s="3">
        <v>2</v>
      </c>
      <c r="J1076" s="3" t="s">
        <v>3</v>
      </c>
      <c r="K1076" s="3" t="s">
        <v>4</v>
      </c>
      <c r="L1076" s="3">
        <v>91</v>
      </c>
      <c r="M1076" s="3">
        <v>67</v>
      </c>
      <c r="N1076" s="3" t="s">
        <v>12</v>
      </c>
      <c r="O1076" s="3" t="str">
        <f>_xlfn.IFS('Data set'!$H1076&lt;5.7,"Normal",'Data set'!$H1076&lt;=6.4,"Prediabetes",'Data set'!$H1076&lt;=7.5,"Diabetes",'Data set'!$H1076&gt;=7.5,"Uncontrolled")</f>
        <v>Uncontrolled</v>
      </c>
      <c r="P1076" s="3" t="str">
        <f>_xlfn.IFS('Data set'!$F1076&lt;120,"Low",'Data set'!$F1076&lt;=200,"Normal",'Data set'!$F1076&lt;=240,"Boarderline",'Data set'!$F1076&gt;=241,"High")</f>
        <v>Boarderline</v>
      </c>
      <c r="Q1076" s="3" t="str">
        <f>_xlfn.IFS('Data set'!$D1076&lt;=18.5,"Low",'Data set'!$D1076&lt;=24.9,"Normal",'Data set'!$D1076&lt;=29.9,"High",'Data set'!$D1076&gt;29.9,"Very High")</f>
        <v>High</v>
      </c>
    </row>
    <row r="1077" spans="1:17" x14ac:dyDescent="0.25">
      <c r="A1077" s="5">
        <v>67</v>
      </c>
      <c r="B1077" s="5" t="s">
        <v>9</v>
      </c>
      <c r="C1077" s="6">
        <v>255.53</v>
      </c>
      <c r="D1077" s="6">
        <v>27.72</v>
      </c>
      <c r="E1077" s="5" t="s">
        <v>6</v>
      </c>
      <c r="F1077" s="5">
        <v>181</v>
      </c>
      <c r="G1077" s="5" t="s">
        <v>792</v>
      </c>
      <c r="H1077" s="6">
        <v>4.12</v>
      </c>
      <c r="I1077" s="5">
        <v>5</v>
      </c>
      <c r="J1077" s="5" t="s">
        <v>4</v>
      </c>
      <c r="K1077" s="5" t="s">
        <v>3</v>
      </c>
      <c r="L1077" s="5">
        <v>131</v>
      </c>
      <c r="M1077" s="5">
        <v>75</v>
      </c>
      <c r="N1077" s="5" t="s">
        <v>21</v>
      </c>
      <c r="O1077" s="5" t="str">
        <f>_xlfn.IFS('Data set'!$H1077&lt;5.7,"Normal",'Data set'!$H1077&lt;=6.4,"Prediabetes",'Data set'!$H1077&lt;=7.5,"Diabetes",'Data set'!$H1077&gt;=7.5,"Uncontrolled")</f>
        <v>Normal</v>
      </c>
      <c r="P1077" s="5" t="str">
        <f>_xlfn.IFS('Data set'!$F1077&lt;120,"Low",'Data set'!$F1077&lt;=200,"Normal",'Data set'!$F1077&lt;=240,"Boarderline",'Data set'!$F1077&gt;=241,"High")</f>
        <v>Normal</v>
      </c>
      <c r="Q1077" s="5" t="str">
        <f>_xlfn.IFS('Data set'!$D1077&lt;=18.5,"Low",'Data set'!$D1077&lt;=24.9,"Normal",'Data set'!$D1077&lt;=29.9,"High",'Data set'!$D1077&gt;29.9,"Very High")</f>
        <v>High</v>
      </c>
    </row>
    <row r="1078" spans="1:17" x14ac:dyDescent="0.25">
      <c r="A1078" s="3">
        <v>30</v>
      </c>
      <c r="B1078" s="3" t="s">
        <v>9</v>
      </c>
      <c r="C1078" s="4">
        <v>100.53</v>
      </c>
      <c r="D1078" s="4">
        <v>24.86</v>
      </c>
      <c r="E1078" s="3" t="s">
        <v>10</v>
      </c>
      <c r="F1078" s="3">
        <v>237</v>
      </c>
      <c r="G1078" s="3" t="s">
        <v>793</v>
      </c>
      <c r="H1078" s="4">
        <v>4.2</v>
      </c>
      <c r="I1078" s="3">
        <v>3</v>
      </c>
      <c r="J1078" s="3" t="s">
        <v>4</v>
      </c>
      <c r="K1078" s="3" t="s">
        <v>3</v>
      </c>
      <c r="L1078" s="3">
        <v>136</v>
      </c>
      <c r="M1078" s="3">
        <v>62</v>
      </c>
      <c r="N1078" s="3" t="s">
        <v>17</v>
      </c>
      <c r="O1078" s="3" t="str">
        <f>_xlfn.IFS('Data set'!$H1078&lt;5.7,"Normal",'Data set'!$H1078&lt;=6.4,"Prediabetes",'Data set'!$H1078&lt;=7.5,"Diabetes",'Data set'!$H1078&gt;=7.5,"Uncontrolled")</f>
        <v>Normal</v>
      </c>
      <c r="P1078" s="3" t="str">
        <f>_xlfn.IFS('Data set'!$F1078&lt;120,"Low",'Data set'!$F1078&lt;=200,"Normal",'Data set'!$F1078&lt;=240,"Boarderline",'Data set'!$F1078&gt;=241,"High")</f>
        <v>Boarderline</v>
      </c>
      <c r="Q1078" s="3" t="str">
        <f>_xlfn.IFS('Data set'!$D1078&lt;=18.5,"Low",'Data set'!$D1078&lt;=24.9,"Normal",'Data set'!$D1078&lt;=29.9,"High",'Data set'!$D1078&gt;29.9,"Very High")</f>
        <v>Normal</v>
      </c>
    </row>
    <row r="1079" spans="1:17" x14ac:dyDescent="0.25">
      <c r="A1079" s="5">
        <v>46</v>
      </c>
      <c r="B1079" s="5" t="s">
        <v>0</v>
      </c>
      <c r="C1079" s="6">
        <v>89.22</v>
      </c>
      <c r="D1079" s="6">
        <v>30.92</v>
      </c>
      <c r="E1079" s="5" t="s">
        <v>1</v>
      </c>
      <c r="F1079" s="5">
        <v>246</v>
      </c>
      <c r="G1079" s="5" t="s">
        <v>794</v>
      </c>
      <c r="H1079" s="6">
        <v>5.18</v>
      </c>
      <c r="I1079" s="5">
        <v>0</v>
      </c>
      <c r="J1079" s="5" t="s">
        <v>3</v>
      </c>
      <c r="K1079" s="5" t="s">
        <v>3</v>
      </c>
      <c r="L1079" s="5">
        <v>120</v>
      </c>
      <c r="M1079" s="5">
        <v>88</v>
      </c>
      <c r="N1079" s="5" t="s">
        <v>23</v>
      </c>
      <c r="O1079" s="5" t="str">
        <f>_xlfn.IFS('Data set'!$H1079&lt;5.7,"Normal",'Data set'!$H1079&lt;=6.4,"Prediabetes",'Data set'!$H1079&lt;=7.5,"Diabetes",'Data set'!$H1079&gt;=7.5,"Uncontrolled")</f>
        <v>Normal</v>
      </c>
      <c r="P1079" s="5" t="str">
        <f>_xlfn.IFS('Data set'!$F1079&lt;120,"Low",'Data set'!$F1079&lt;=200,"Normal",'Data set'!$F1079&lt;=240,"Boarderline",'Data set'!$F1079&gt;=241,"High")</f>
        <v>High</v>
      </c>
      <c r="Q1079" s="5" t="str">
        <f>_xlfn.IFS('Data set'!$D1079&lt;=18.5,"Low",'Data set'!$D1079&lt;=24.9,"Normal",'Data set'!$D1079&lt;=29.9,"High",'Data set'!$D1079&gt;29.9,"Very High")</f>
        <v>Very High</v>
      </c>
    </row>
    <row r="1080" spans="1:17" x14ac:dyDescent="0.25">
      <c r="A1080" s="3">
        <v>41</v>
      </c>
      <c r="B1080" s="3" t="s">
        <v>9</v>
      </c>
      <c r="C1080" s="4">
        <v>91.52</v>
      </c>
      <c r="D1080" s="4">
        <v>21.82</v>
      </c>
      <c r="E1080" s="3" t="s">
        <v>14</v>
      </c>
      <c r="F1080" s="3">
        <v>126</v>
      </c>
      <c r="G1080" s="3" t="s">
        <v>795</v>
      </c>
      <c r="H1080" s="4">
        <v>8.01</v>
      </c>
      <c r="I1080" s="3">
        <v>0</v>
      </c>
      <c r="J1080" s="3" t="s">
        <v>3</v>
      </c>
      <c r="K1080" s="3" t="s">
        <v>4</v>
      </c>
      <c r="L1080" s="3">
        <v>117</v>
      </c>
      <c r="M1080" s="3">
        <v>69</v>
      </c>
      <c r="N1080" s="3" t="s">
        <v>23</v>
      </c>
      <c r="O1080" s="3" t="str">
        <f>_xlfn.IFS('Data set'!$H1080&lt;5.7,"Normal",'Data set'!$H1080&lt;=6.4,"Prediabetes",'Data set'!$H1080&lt;=7.5,"Diabetes",'Data set'!$H1080&gt;=7.5,"Uncontrolled")</f>
        <v>Uncontrolled</v>
      </c>
      <c r="P1080" s="3" t="str">
        <f>_xlfn.IFS('Data set'!$F1080&lt;120,"Low",'Data set'!$F1080&lt;=200,"Normal",'Data set'!$F1080&lt;=240,"Boarderline",'Data set'!$F1080&gt;=241,"High")</f>
        <v>Normal</v>
      </c>
      <c r="Q1080" s="3" t="str">
        <f>_xlfn.IFS('Data set'!$D1080&lt;=18.5,"Low",'Data set'!$D1080&lt;=24.9,"Normal",'Data set'!$D1080&lt;=29.9,"High",'Data set'!$D1080&gt;29.9,"Very High")</f>
        <v>Normal</v>
      </c>
    </row>
    <row r="1081" spans="1:17" x14ac:dyDescent="0.25">
      <c r="A1081" s="5">
        <v>28</v>
      </c>
      <c r="B1081" s="5" t="s">
        <v>0</v>
      </c>
      <c r="C1081" s="6">
        <v>268.77999999999997</v>
      </c>
      <c r="D1081" s="6">
        <v>29.31</v>
      </c>
      <c r="E1081" s="5" t="s">
        <v>6</v>
      </c>
      <c r="F1081" s="5">
        <v>279</v>
      </c>
      <c r="G1081" s="5" t="s">
        <v>796</v>
      </c>
      <c r="H1081" s="6">
        <v>6.17</v>
      </c>
      <c r="I1081" s="5">
        <v>5</v>
      </c>
      <c r="J1081" s="5" t="s">
        <v>3</v>
      </c>
      <c r="K1081" s="5" t="s">
        <v>4</v>
      </c>
      <c r="L1081" s="5">
        <v>125</v>
      </c>
      <c r="M1081" s="5">
        <v>84</v>
      </c>
      <c r="N1081" s="5" t="s">
        <v>17</v>
      </c>
      <c r="O1081" s="5" t="str">
        <f>_xlfn.IFS('Data set'!$H1081&lt;5.7,"Normal",'Data set'!$H1081&lt;=6.4,"Prediabetes",'Data set'!$H1081&lt;=7.5,"Diabetes",'Data set'!$H1081&gt;=7.5,"Uncontrolled")</f>
        <v>Prediabetes</v>
      </c>
      <c r="P1081" s="5" t="str">
        <f>_xlfn.IFS('Data set'!$F1081&lt;120,"Low",'Data set'!$F1081&lt;=200,"Normal",'Data set'!$F1081&lt;=240,"Boarderline",'Data set'!$F1081&gt;=241,"High")</f>
        <v>High</v>
      </c>
      <c r="Q1081" s="5" t="str">
        <f>_xlfn.IFS('Data set'!$D1081&lt;=18.5,"Low",'Data set'!$D1081&lt;=24.9,"Normal",'Data set'!$D1081&lt;=29.9,"High",'Data set'!$D1081&gt;29.9,"Very High")</f>
        <v>High</v>
      </c>
    </row>
    <row r="1082" spans="1:17" x14ac:dyDescent="0.25">
      <c r="A1082" s="3">
        <v>69</v>
      </c>
      <c r="B1082" s="3" t="s">
        <v>0</v>
      </c>
      <c r="C1082" s="4">
        <v>245.33</v>
      </c>
      <c r="D1082" s="4">
        <v>34.369999999999997</v>
      </c>
      <c r="E1082" s="3" t="s">
        <v>6</v>
      </c>
      <c r="F1082" s="3">
        <v>234</v>
      </c>
      <c r="G1082" s="3" t="s">
        <v>310</v>
      </c>
      <c r="H1082" s="4">
        <v>8.4</v>
      </c>
      <c r="I1082" s="3">
        <v>0</v>
      </c>
      <c r="J1082" s="3" t="s">
        <v>3</v>
      </c>
      <c r="K1082" s="3" t="s">
        <v>3</v>
      </c>
      <c r="L1082" s="3">
        <v>106</v>
      </c>
      <c r="M1082" s="3">
        <v>83</v>
      </c>
      <c r="N1082" s="3" t="s">
        <v>21</v>
      </c>
      <c r="O1082" s="3" t="str">
        <f>_xlfn.IFS('Data set'!$H1082&lt;5.7,"Normal",'Data set'!$H1082&lt;=6.4,"Prediabetes",'Data set'!$H1082&lt;=7.5,"Diabetes",'Data set'!$H1082&gt;=7.5,"Uncontrolled")</f>
        <v>Uncontrolled</v>
      </c>
      <c r="P1082" s="3" t="str">
        <f>_xlfn.IFS('Data set'!$F1082&lt;120,"Low",'Data set'!$F1082&lt;=200,"Normal",'Data set'!$F1082&lt;=240,"Boarderline",'Data set'!$F1082&gt;=241,"High")</f>
        <v>Boarderline</v>
      </c>
      <c r="Q1082" s="3" t="str">
        <f>_xlfn.IFS('Data set'!$D1082&lt;=18.5,"Low",'Data set'!$D1082&lt;=24.9,"Normal",'Data set'!$D1082&lt;=29.9,"High",'Data set'!$D1082&gt;29.9,"Very High")</f>
        <v>Very High</v>
      </c>
    </row>
    <row r="1083" spans="1:17" x14ac:dyDescent="0.25">
      <c r="A1083" s="5">
        <v>49</v>
      </c>
      <c r="B1083" s="5" t="s">
        <v>9</v>
      </c>
      <c r="C1083" s="6">
        <v>184.78</v>
      </c>
      <c r="D1083" s="6">
        <v>27.8</v>
      </c>
      <c r="E1083" s="5" t="s">
        <v>10</v>
      </c>
      <c r="F1083" s="5">
        <v>264</v>
      </c>
      <c r="G1083" s="5" t="s">
        <v>797</v>
      </c>
      <c r="H1083" s="6">
        <v>9.33</v>
      </c>
      <c r="I1083" s="5">
        <v>2</v>
      </c>
      <c r="J1083" s="5" t="s">
        <v>4</v>
      </c>
      <c r="K1083" s="5" t="s">
        <v>3</v>
      </c>
      <c r="L1083" s="5">
        <v>127</v>
      </c>
      <c r="M1083" s="5">
        <v>73</v>
      </c>
      <c r="N1083" s="5" t="s">
        <v>23</v>
      </c>
      <c r="O1083" s="5" t="str">
        <f>_xlfn.IFS('Data set'!$H1083&lt;5.7,"Normal",'Data set'!$H1083&lt;=6.4,"Prediabetes",'Data set'!$H1083&lt;=7.5,"Diabetes",'Data set'!$H1083&gt;=7.5,"Uncontrolled")</f>
        <v>Uncontrolled</v>
      </c>
      <c r="P1083" s="5" t="str">
        <f>_xlfn.IFS('Data set'!$F1083&lt;120,"Low",'Data set'!$F1083&lt;=200,"Normal",'Data set'!$F1083&lt;=240,"Boarderline",'Data set'!$F1083&gt;=241,"High")</f>
        <v>High</v>
      </c>
      <c r="Q1083" s="5" t="str">
        <f>_xlfn.IFS('Data set'!$D1083&lt;=18.5,"Low",'Data set'!$D1083&lt;=24.9,"Normal",'Data set'!$D1083&lt;=29.9,"High",'Data set'!$D1083&gt;29.9,"Very High")</f>
        <v>High</v>
      </c>
    </row>
    <row r="1084" spans="1:17" x14ac:dyDescent="0.25">
      <c r="A1084" s="3">
        <v>49</v>
      </c>
      <c r="B1084" s="3" t="s">
        <v>9</v>
      </c>
      <c r="C1084" s="4">
        <v>177.34</v>
      </c>
      <c r="D1084" s="4">
        <v>26.24</v>
      </c>
      <c r="E1084" s="3" t="s">
        <v>14</v>
      </c>
      <c r="F1084" s="3">
        <v>164</v>
      </c>
      <c r="G1084" s="3" t="s">
        <v>532</v>
      </c>
      <c r="H1084" s="4">
        <v>5.73</v>
      </c>
      <c r="I1084" s="3">
        <v>5</v>
      </c>
      <c r="J1084" s="3" t="s">
        <v>3</v>
      </c>
      <c r="K1084" s="3" t="s">
        <v>3</v>
      </c>
      <c r="L1084" s="3">
        <v>126</v>
      </c>
      <c r="M1084" s="3">
        <v>67</v>
      </c>
      <c r="N1084" s="3" t="s">
        <v>23</v>
      </c>
      <c r="O1084" s="3" t="str">
        <f>_xlfn.IFS('Data set'!$H1084&lt;5.7,"Normal",'Data set'!$H1084&lt;=6.4,"Prediabetes",'Data set'!$H1084&lt;=7.5,"Diabetes",'Data set'!$H1084&gt;=7.5,"Uncontrolled")</f>
        <v>Prediabetes</v>
      </c>
      <c r="P1084" s="3" t="str">
        <f>_xlfn.IFS('Data set'!$F1084&lt;120,"Low",'Data set'!$F1084&lt;=200,"Normal",'Data set'!$F1084&lt;=240,"Boarderline",'Data set'!$F1084&gt;=241,"High")</f>
        <v>Normal</v>
      </c>
      <c r="Q1084" s="3" t="str">
        <f>_xlfn.IFS('Data set'!$D1084&lt;=18.5,"Low",'Data set'!$D1084&lt;=24.9,"Normal",'Data set'!$D1084&lt;=29.9,"High",'Data set'!$D1084&gt;29.9,"Very High")</f>
        <v>High</v>
      </c>
    </row>
    <row r="1085" spans="1:17" x14ac:dyDescent="0.25">
      <c r="A1085" s="5">
        <v>26</v>
      </c>
      <c r="B1085" s="5" t="s">
        <v>0</v>
      </c>
      <c r="C1085" s="6">
        <v>227.32</v>
      </c>
      <c r="D1085" s="6">
        <v>21.2</v>
      </c>
      <c r="E1085" s="5" t="s">
        <v>6</v>
      </c>
      <c r="F1085" s="5">
        <v>226</v>
      </c>
      <c r="G1085" s="5" t="s">
        <v>798</v>
      </c>
      <c r="H1085" s="6">
        <v>5.08</v>
      </c>
      <c r="I1085" s="5">
        <v>4</v>
      </c>
      <c r="J1085" s="5" t="s">
        <v>4</v>
      </c>
      <c r="K1085" s="5" t="s">
        <v>3</v>
      </c>
      <c r="L1085" s="5">
        <v>128</v>
      </c>
      <c r="M1085" s="5">
        <v>67</v>
      </c>
      <c r="N1085" s="5" t="s">
        <v>17</v>
      </c>
      <c r="O1085" s="5" t="str">
        <f>_xlfn.IFS('Data set'!$H1085&lt;5.7,"Normal",'Data set'!$H1085&lt;=6.4,"Prediabetes",'Data set'!$H1085&lt;=7.5,"Diabetes",'Data set'!$H1085&gt;=7.5,"Uncontrolled")</f>
        <v>Normal</v>
      </c>
      <c r="P1085" s="5" t="str">
        <f>_xlfn.IFS('Data set'!$F1085&lt;120,"Low",'Data set'!$F1085&lt;=200,"Normal",'Data set'!$F1085&lt;=240,"Boarderline",'Data set'!$F1085&gt;=241,"High")</f>
        <v>Boarderline</v>
      </c>
      <c r="Q1085" s="5" t="str">
        <f>_xlfn.IFS('Data set'!$D1085&lt;=18.5,"Low",'Data set'!$D1085&lt;=24.9,"Normal",'Data set'!$D1085&lt;=29.9,"High",'Data set'!$D1085&gt;29.9,"Very High")</f>
        <v>Normal</v>
      </c>
    </row>
    <row r="1086" spans="1:17" x14ac:dyDescent="0.25">
      <c r="A1086" s="3">
        <v>34</v>
      </c>
      <c r="B1086" s="3" t="s">
        <v>0</v>
      </c>
      <c r="C1086" s="4">
        <v>188.59</v>
      </c>
      <c r="D1086" s="4">
        <v>24.25</v>
      </c>
      <c r="E1086" s="3" t="s">
        <v>1</v>
      </c>
      <c r="F1086" s="3">
        <v>166</v>
      </c>
      <c r="G1086" s="3" t="s">
        <v>799</v>
      </c>
      <c r="H1086" s="4">
        <v>7.3</v>
      </c>
      <c r="I1086" s="3">
        <v>0</v>
      </c>
      <c r="J1086" s="3" t="s">
        <v>4</v>
      </c>
      <c r="K1086" s="3" t="s">
        <v>4</v>
      </c>
      <c r="L1086" s="3">
        <v>129</v>
      </c>
      <c r="M1086" s="3">
        <v>81</v>
      </c>
      <c r="N1086" s="3" t="s">
        <v>12</v>
      </c>
      <c r="O1086" s="3" t="str">
        <f>_xlfn.IFS('Data set'!$H1086&lt;5.7,"Normal",'Data set'!$H1086&lt;=6.4,"Prediabetes",'Data set'!$H1086&lt;=7.5,"Diabetes",'Data set'!$H1086&gt;=7.5,"Uncontrolled")</f>
        <v>Diabetes</v>
      </c>
      <c r="P1086" s="3" t="str">
        <f>_xlfn.IFS('Data set'!$F1086&lt;120,"Low",'Data set'!$F1086&lt;=200,"Normal",'Data set'!$F1086&lt;=240,"Boarderline",'Data set'!$F1086&gt;=241,"High")</f>
        <v>Normal</v>
      </c>
      <c r="Q1086" s="3" t="str">
        <f>_xlfn.IFS('Data set'!$D1086&lt;=18.5,"Low",'Data set'!$D1086&lt;=24.9,"Normal",'Data set'!$D1086&lt;=29.9,"High",'Data set'!$D1086&gt;29.9,"Very High")</f>
        <v>Normal</v>
      </c>
    </row>
    <row r="1087" spans="1:17" x14ac:dyDescent="0.25">
      <c r="A1087" s="5">
        <v>34</v>
      </c>
      <c r="B1087" s="5" t="s">
        <v>0</v>
      </c>
      <c r="C1087" s="6">
        <v>108.29</v>
      </c>
      <c r="D1087" s="6">
        <v>27.19</v>
      </c>
      <c r="E1087" s="5" t="s">
        <v>14</v>
      </c>
      <c r="F1087" s="5">
        <v>175</v>
      </c>
      <c r="G1087" s="5" t="s">
        <v>559</v>
      </c>
      <c r="H1087" s="6">
        <v>6.3</v>
      </c>
      <c r="I1087" s="5">
        <v>1</v>
      </c>
      <c r="J1087" s="5" t="s">
        <v>4</v>
      </c>
      <c r="K1087" s="5" t="s">
        <v>3</v>
      </c>
      <c r="L1087" s="5">
        <v>105</v>
      </c>
      <c r="M1087" s="5">
        <v>73</v>
      </c>
      <c r="N1087" s="5" t="s">
        <v>12</v>
      </c>
      <c r="O1087" s="5" t="str">
        <f>_xlfn.IFS('Data set'!$H1087&lt;5.7,"Normal",'Data set'!$H1087&lt;=6.4,"Prediabetes",'Data set'!$H1087&lt;=7.5,"Diabetes",'Data set'!$H1087&gt;=7.5,"Uncontrolled")</f>
        <v>Prediabetes</v>
      </c>
      <c r="P1087" s="5" t="str">
        <f>_xlfn.IFS('Data set'!$F1087&lt;120,"Low",'Data set'!$F1087&lt;=200,"Normal",'Data set'!$F1087&lt;=240,"Boarderline",'Data set'!$F1087&gt;=241,"High")</f>
        <v>Normal</v>
      </c>
      <c r="Q1087" s="5" t="str">
        <f>_xlfn.IFS('Data set'!$D1087&lt;=18.5,"Low",'Data set'!$D1087&lt;=24.9,"Normal",'Data set'!$D1087&lt;=29.9,"High",'Data set'!$D1087&gt;29.9,"Very High")</f>
        <v>High</v>
      </c>
    </row>
    <row r="1088" spans="1:17" x14ac:dyDescent="0.25">
      <c r="A1088" s="3">
        <v>30</v>
      </c>
      <c r="B1088" s="3" t="s">
        <v>0</v>
      </c>
      <c r="C1088" s="4">
        <v>216.2</v>
      </c>
      <c r="D1088" s="4">
        <v>18.760000000000002</v>
      </c>
      <c r="E1088" s="3" t="s">
        <v>14</v>
      </c>
      <c r="F1088" s="3">
        <v>145</v>
      </c>
      <c r="G1088" s="3" t="s">
        <v>800</v>
      </c>
      <c r="H1088" s="4">
        <v>6.91</v>
      </c>
      <c r="I1088" s="3">
        <v>5</v>
      </c>
      <c r="J1088" s="3" t="s">
        <v>4</v>
      </c>
      <c r="K1088" s="3" t="s">
        <v>3</v>
      </c>
      <c r="L1088" s="3">
        <v>98</v>
      </c>
      <c r="M1088" s="3">
        <v>86</v>
      </c>
      <c r="N1088" s="3" t="s">
        <v>17</v>
      </c>
      <c r="O1088" s="3" t="str">
        <f>_xlfn.IFS('Data set'!$H1088&lt;5.7,"Normal",'Data set'!$H1088&lt;=6.4,"Prediabetes",'Data set'!$H1088&lt;=7.5,"Diabetes",'Data set'!$H1088&gt;=7.5,"Uncontrolled")</f>
        <v>Diabetes</v>
      </c>
      <c r="P1088" s="3" t="str">
        <f>_xlfn.IFS('Data set'!$F1088&lt;120,"Low",'Data set'!$F1088&lt;=200,"Normal",'Data set'!$F1088&lt;=240,"Boarderline",'Data set'!$F1088&gt;=241,"High")</f>
        <v>Normal</v>
      </c>
      <c r="Q1088" s="3" t="str">
        <f>_xlfn.IFS('Data set'!$D1088&lt;=18.5,"Low",'Data set'!$D1088&lt;=24.9,"Normal",'Data set'!$D1088&lt;=29.9,"High",'Data set'!$D1088&gt;29.9,"Very High")</f>
        <v>Normal</v>
      </c>
    </row>
    <row r="1089" spans="1:17" x14ac:dyDescent="0.25">
      <c r="A1089" s="5">
        <v>58</v>
      </c>
      <c r="B1089" s="5" t="s">
        <v>9</v>
      </c>
      <c r="C1089" s="6">
        <v>90.33</v>
      </c>
      <c r="D1089" s="6">
        <v>25.18</v>
      </c>
      <c r="E1089" s="5" t="s">
        <v>14</v>
      </c>
      <c r="F1089" s="5">
        <v>232</v>
      </c>
      <c r="G1089" s="5" t="s">
        <v>801</v>
      </c>
      <c r="H1089" s="6">
        <v>8.2799999999999994</v>
      </c>
      <c r="I1089" s="5">
        <v>0</v>
      </c>
      <c r="J1089" s="5" t="s">
        <v>4</v>
      </c>
      <c r="K1089" s="5" t="s">
        <v>4</v>
      </c>
      <c r="L1089" s="5">
        <v>94</v>
      </c>
      <c r="M1089" s="5">
        <v>65</v>
      </c>
      <c r="N1089" s="5" t="s">
        <v>8</v>
      </c>
      <c r="O1089" s="5" t="str">
        <f>_xlfn.IFS('Data set'!$H1089&lt;5.7,"Normal",'Data set'!$H1089&lt;=6.4,"Prediabetes",'Data set'!$H1089&lt;=7.5,"Diabetes",'Data set'!$H1089&gt;=7.5,"Uncontrolled")</f>
        <v>Uncontrolled</v>
      </c>
      <c r="P1089" s="5" t="str">
        <f>_xlfn.IFS('Data set'!$F1089&lt;120,"Low",'Data set'!$F1089&lt;=200,"Normal",'Data set'!$F1089&lt;=240,"Boarderline",'Data set'!$F1089&gt;=241,"High")</f>
        <v>Boarderline</v>
      </c>
      <c r="Q1089" s="5" t="str">
        <f>_xlfn.IFS('Data set'!$D1089&lt;=18.5,"Low",'Data set'!$D1089&lt;=24.9,"Normal",'Data set'!$D1089&lt;=29.9,"High",'Data set'!$D1089&gt;29.9,"Very High")</f>
        <v>High</v>
      </c>
    </row>
    <row r="1090" spans="1:17" x14ac:dyDescent="0.25">
      <c r="A1090" s="3">
        <v>79</v>
      </c>
      <c r="B1090" s="3" t="s">
        <v>0</v>
      </c>
      <c r="C1090" s="4">
        <v>118.4</v>
      </c>
      <c r="D1090" s="4">
        <v>34.61</v>
      </c>
      <c r="E1090" s="3" t="s">
        <v>6</v>
      </c>
      <c r="F1090" s="3">
        <v>231</v>
      </c>
      <c r="G1090" s="3" t="s">
        <v>702</v>
      </c>
      <c r="H1090" s="4">
        <v>5.01</v>
      </c>
      <c r="I1090" s="3">
        <v>3</v>
      </c>
      <c r="J1090" s="3" t="s">
        <v>4</v>
      </c>
      <c r="K1090" s="3" t="s">
        <v>4</v>
      </c>
      <c r="L1090" s="3">
        <v>132</v>
      </c>
      <c r="M1090" s="3">
        <v>61</v>
      </c>
      <c r="N1090" s="3" t="s">
        <v>5</v>
      </c>
      <c r="O1090" s="3" t="str">
        <f>_xlfn.IFS('Data set'!$H1090&lt;5.7,"Normal",'Data set'!$H1090&lt;=6.4,"Prediabetes",'Data set'!$H1090&lt;=7.5,"Diabetes",'Data set'!$H1090&gt;=7.5,"Uncontrolled")</f>
        <v>Normal</v>
      </c>
      <c r="P1090" s="3" t="str">
        <f>_xlfn.IFS('Data set'!$F1090&lt;120,"Low",'Data set'!$F1090&lt;=200,"Normal",'Data set'!$F1090&lt;=240,"Boarderline",'Data set'!$F1090&gt;=241,"High")</f>
        <v>Boarderline</v>
      </c>
      <c r="Q1090" s="3" t="str">
        <f>_xlfn.IFS('Data set'!$D1090&lt;=18.5,"Low",'Data set'!$D1090&lt;=24.9,"Normal",'Data set'!$D1090&lt;=29.9,"High",'Data set'!$D1090&gt;29.9,"Very High")</f>
        <v>Very High</v>
      </c>
    </row>
    <row r="1091" spans="1:17" x14ac:dyDescent="0.25">
      <c r="A1091" s="5">
        <v>72</v>
      </c>
      <c r="B1091" s="5" t="s">
        <v>0</v>
      </c>
      <c r="C1091" s="6">
        <v>147.36000000000001</v>
      </c>
      <c r="D1091" s="6">
        <v>35.020000000000003</v>
      </c>
      <c r="E1091" s="5" t="s">
        <v>14</v>
      </c>
      <c r="F1091" s="5">
        <v>199</v>
      </c>
      <c r="G1091" s="5" t="s">
        <v>398</v>
      </c>
      <c r="H1091" s="6">
        <v>9</v>
      </c>
      <c r="I1091" s="5">
        <v>7</v>
      </c>
      <c r="J1091" s="5" t="s">
        <v>3</v>
      </c>
      <c r="K1091" s="5" t="s">
        <v>4</v>
      </c>
      <c r="L1091" s="5">
        <v>117</v>
      </c>
      <c r="M1091" s="5">
        <v>74</v>
      </c>
      <c r="N1091" s="5" t="s">
        <v>5</v>
      </c>
      <c r="O1091" s="5" t="str">
        <f>_xlfn.IFS('Data set'!$H1091&lt;5.7,"Normal",'Data set'!$H1091&lt;=6.4,"Prediabetes",'Data set'!$H1091&lt;=7.5,"Diabetes",'Data set'!$H1091&gt;=7.5,"Uncontrolled")</f>
        <v>Uncontrolled</v>
      </c>
      <c r="P1091" s="5" t="str">
        <f>_xlfn.IFS('Data set'!$F1091&lt;120,"Low",'Data set'!$F1091&lt;=200,"Normal",'Data set'!$F1091&lt;=240,"Boarderline",'Data set'!$F1091&gt;=241,"High")</f>
        <v>Normal</v>
      </c>
      <c r="Q1091" s="5" t="str">
        <f>_xlfn.IFS('Data set'!$D1091&lt;=18.5,"Low",'Data set'!$D1091&lt;=24.9,"Normal",'Data set'!$D1091&lt;=29.9,"High",'Data set'!$D1091&gt;29.9,"Very High")</f>
        <v>Very High</v>
      </c>
    </row>
    <row r="1092" spans="1:17" x14ac:dyDescent="0.25">
      <c r="A1092" s="3">
        <v>61</v>
      </c>
      <c r="B1092" s="3" t="s">
        <v>9</v>
      </c>
      <c r="C1092" s="4">
        <v>266.20999999999998</v>
      </c>
      <c r="D1092" s="4">
        <v>32.18</v>
      </c>
      <c r="E1092" s="3" t="s">
        <v>10</v>
      </c>
      <c r="F1092" s="3">
        <v>212</v>
      </c>
      <c r="G1092" s="3" t="s">
        <v>802</v>
      </c>
      <c r="H1092" s="4">
        <v>7.79</v>
      </c>
      <c r="I1092" s="3">
        <v>3</v>
      </c>
      <c r="J1092" s="3" t="s">
        <v>3</v>
      </c>
      <c r="K1092" s="3" t="s">
        <v>3</v>
      </c>
      <c r="L1092" s="3">
        <v>134</v>
      </c>
      <c r="M1092" s="3">
        <v>62</v>
      </c>
      <c r="N1092" s="3" t="s">
        <v>21</v>
      </c>
      <c r="O1092" s="3" t="str">
        <f>_xlfn.IFS('Data set'!$H1092&lt;5.7,"Normal",'Data set'!$H1092&lt;=6.4,"Prediabetes",'Data set'!$H1092&lt;=7.5,"Diabetes",'Data set'!$H1092&gt;=7.5,"Uncontrolled")</f>
        <v>Uncontrolled</v>
      </c>
      <c r="P1092" s="3" t="str">
        <f>_xlfn.IFS('Data set'!$F1092&lt;120,"Low",'Data set'!$F1092&lt;=200,"Normal",'Data set'!$F1092&lt;=240,"Boarderline",'Data set'!$F1092&gt;=241,"High")</f>
        <v>Boarderline</v>
      </c>
      <c r="Q1092" s="3" t="str">
        <f>_xlfn.IFS('Data set'!$D1092&lt;=18.5,"Low",'Data set'!$D1092&lt;=24.9,"Normal",'Data set'!$D1092&lt;=29.9,"High",'Data set'!$D1092&gt;29.9,"Very High")</f>
        <v>Very High</v>
      </c>
    </row>
    <row r="1093" spans="1:17" x14ac:dyDescent="0.25">
      <c r="A1093" s="5">
        <v>60</v>
      </c>
      <c r="B1093" s="5" t="s">
        <v>9</v>
      </c>
      <c r="C1093" s="6">
        <v>220.8</v>
      </c>
      <c r="D1093" s="6">
        <v>21.15</v>
      </c>
      <c r="E1093" s="5" t="s">
        <v>1</v>
      </c>
      <c r="F1093" s="5">
        <v>125</v>
      </c>
      <c r="G1093" s="5" t="s">
        <v>48</v>
      </c>
      <c r="H1093" s="6">
        <v>7.36</v>
      </c>
      <c r="I1093" s="5">
        <v>1</v>
      </c>
      <c r="J1093" s="5" t="s">
        <v>3</v>
      </c>
      <c r="K1093" s="5" t="s">
        <v>4</v>
      </c>
      <c r="L1093" s="5">
        <v>102</v>
      </c>
      <c r="M1093" s="5">
        <v>70</v>
      </c>
      <c r="N1093" s="5" t="s">
        <v>8</v>
      </c>
      <c r="O1093" s="5" t="str">
        <f>_xlfn.IFS('Data set'!$H1093&lt;5.7,"Normal",'Data set'!$H1093&lt;=6.4,"Prediabetes",'Data set'!$H1093&lt;=7.5,"Diabetes",'Data set'!$H1093&gt;=7.5,"Uncontrolled")</f>
        <v>Diabetes</v>
      </c>
      <c r="P1093" s="5" t="str">
        <f>_xlfn.IFS('Data set'!$F1093&lt;120,"Low",'Data set'!$F1093&lt;=200,"Normal",'Data set'!$F1093&lt;=240,"Boarderline",'Data set'!$F1093&gt;=241,"High")</f>
        <v>Normal</v>
      </c>
      <c r="Q1093" s="5" t="str">
        <f>_xlfn.IFS('Data set'!$D1093&lt;=18.5,"Low",'Data set'!$D1093&lt;=24.9,"Normal",'Data set'!$D1093&lt;=29.9,"High",'Data set'!$D1093&gt;29.9,"Very High")</f>
        <v>Normal</v>
      </c>
    </row>
    <row r="1094" spans="1:17" x14ac:dyDescent="0.25">
      <c r="A1094" s="3">
        <v>37</v>
      </c>
      <c r="B1094" s="3" t="s">
        <v>0</v>
      </c>
      <c r="C1094" s="4">
        <v>195.3</v>
      </c>
      <c r="D1094" s="4">
        <v>36.03</v>
      </c>
      <c r="E1094" s="3" t="s">
        <v>1</v>
      </c>
      <c r="F1094" s="3">
        <v>266</v>
      </c>
      <c r="G1094" s="3" t="s">
        <v>803</v>
      </c>
      <c r="H1094" s="4">
        <v>6.42</v>
      </c>
      <c r="I1094" s="3">
        <v>6</v>
      </c>
      <c r="J1094" s="3" t="s">
        <v>4</v>
      </c>
      <c r="K1094" s="3" t="s">
        <v>4</v>
      </c>
      <c r="L1094" s="3">
        <v>113</v>
      </c>
      <c r="M1094" s="3">
        <v>64</v>
      </c>
      <c r="N1094" s="3" t="s">
        <v>12</v>
      </c>
      <c r="O1094" s="3" t="str">
        <f>_xlfn.IFS('Data set'!$H1094&lt;5.7,"Normal",'Data set'!$H1094&lt;=6.4,"Prediabetes",'Data set'!$H1094&lt;=7.5,"Diabetes",'Data set'!$H1094&gt;=7.5,"Uncontrolled")</f>
        <v>Diabetes</v>
      </c>
      <c r="P1094" s="3" t="str">
        <f>_xlfn.IFS('Data set'!$F1094&lt;120,"Low",'Data set'!$F1094&lt;=200,"Normal",'Data set'!$F1094&lt;=240,"Boarderline",'Data set'!$F1094&gt;=241,"High")</f>
        <v>High</v>
      </c>
      <c r="Q1094" s="3" t="str">
        <f>_xlfn.IFS('Data set'!$D1094&lt;=18.5,"Low",'Data set'!$D1094&lt;=24.9,"Normal",'Data set'!$D1094&lt;=29.9,"High",'Data set'!$D1094&gt;29.9,"Very High")</f>
        <v>Very High</v>
      </c>
    </row>
    <row r="1095" spans="1:17" x14ac:dyDescent="0.25">
      <c r="A1095" s="5">
        <v>70</v>
      </c>
      <c r="B1095" s="5" t="s">
        <v>0</v>
      </c>
      <c r="C1095" s="6">
        <v>290.33999999999997</v>
      </c>
      <c r="D1095" s="6">
        <v>29.06</v>
      </c>
      <c r="E1095" s="5" t="s">
        <v>10</v>
      </c>
      <c r="F1095" s="5">
        <v>190</v>
      </c>
      <c r="G1095" s="5" t="s">
        <v>804</v>
      </c>
      <c r="H1095" s="6">
        <v>4.53</v>
      </c>
      <c r="I1095" s="5">
        <v>2</v>
      </c>
      <c r="J1095" s="5" t="s">
        <v>4</v>
      </c>
      <c r="K1095" s="5" t="s">
        <v>3</v>
      </c>
      <c r="L1095" s="5">
        <v>125</v>
      </c>
      <c r="M1095" s="5">
        <v>64</v>
      </c>
      <c r="N1095" s="5" t="s">
        <v>21</v>
      </c>
      <c r="O1095" s="5" t="str">
        <f>_xlfn.IFS('Data set'!$H1095&lt;5.7,"Normal",'Data set'!$H1095&lt;=6.4,"Prediabetes",'Data set'!$H1095&lt;=7.5,"Diabetes",'Data set'!$H1095&gt;=7.5,"Uncontrolled")</f>
        <v>Normal</v>
      </c>
      <c r="P1095" s="5" t="str">
        <f>_xlfn.IFS('Data set'!$F1095&lt;120,"Low",'Data set'!$F1095&lt;=200,"Normal",'Data set'!$F1095&lt;=240,"Boarderline",'Data set'!$F1095&gt;=241,"High")</f>
        <v>Normal</v>
      </c>
      <c r="Q1095" s="5" t="str">
        <f>_xlfn.IFS('Data set'!$D1095&lt;=18.5,"Low",'Data set'!$D1095&lt;=24.9,"Normal",'Data set'!$D1095&lt;=29.9,"High",'Data set'!$D1095&gt;29.9,"Very High")</f>
        <v>High</v>
      </c>
    </row>
    <row r="1096" spans="1:17" x14ac:dyDescent="0.25">
      <c r="A1096" s="3">
        <v>47</v>
      </c>
      <c r="B1096" s="3" t="s">
        <v>9</v>
      </c>
      <c r="C1096" s="4">
        <v>125.51</v>
      </c>
      <c r="D1096" s="4">
        <v>28.61</v>
      </c>
      <c r="E1096" s="3" t="s">
        <v>14</v>
      </c>
      <c r="F1096" s="3">
        <v>164</v>
      </c>
      <c r="G1096" s="3" t="s">
        <v>179</v>
      </c>
      <c r="H1096" s="4">
        <v>5.67</v>
      </c>
      <c r="I1096" s="3">
        <v>0</v>
      </c>
      <c r="J1096" s="3" t="s">
        <v>3</v>
      </c>
      <c r="K1096" s="3" t="s">
        <v>3</v>
      </c>
      <c r="L1096" s="3">
        <v>127</v>
      </c>
      <c r="M1096" s="3">
        <v>78</v>
      </c>
      <c r="N1096" s="3" t="s">
        <v>23</v>
      </c>
      <c r="O1096" s="3" t="str">
        <f>_xlfn.IFS('Data set'!$H1096&lt;5.7,"Normal",'Data set'!$H1096&lt;=6.4,"Prediabetes",'Data set'!$H1096&lt;=7.5,"Diabetes",'Data set'!$H1096&gt;=7.5,"Uncontrolled")</f>
        <v>Normal</v>
      </c>
      <c r="P1096" s="3" t="str">
        <f>_xlfn.IFS('Data set'!$F1096&lt;120,"Low",'Data set'!$F1096&lt;=200,"Normal",'Data set'!$F1096&lt;=240,"Boarderline",'Data set'!$F1096&gt;=241,"High")</f>
        <v>Normal</v>
      </c>
      <c r="Q1096" s="3" t="str">
        <f>_xlfn.IFS('Data set'!$D1096&lt;=18.5,"Low",'Data set'!$D1096&lt;=24.9,"Normal",'Data set'!$D1096&lt;=29.9,"High",'Data set'!$D1096&gt;29.9,"Very High")</f>
        <v>High</v>
      </c>
    </row>
    <row r="1097" spans="1:17" x14ac:dyDescent="0.25">
      <c r="A1097" s="5">
        <v>61</v>
      </c>
      <c r="B1097" s="5" t="s">
        <v>9</v>
      </c>
      <c r="C1097" s="6">
        <v>290.31</v>
      </c>
      <c r="D1097" s="6">
        <v>19.48</v>
      </c>
      <c r="E1097" s="5" t="s">
        <v>10</v>
      </c>
      <c r="F1097" s="5">
        <v>258</v>
      </c>
      <c r="G1097" s="5" t="s">
        <v>805</v>
      </c>
      <c r="H1097" s="6">
        <v>9.34</v>
      </c>
      <c r="I1097" s="5">
        <v>6</v>
      </c>
      <c r="J1097" s="5" t="s">
        <v>4</v>
      </c>
      <c r="K1097" s="5" t="s">
        <v>4</v>
      </c>
      <c r="L1097" s="5">
        <v>98</v>
      </c>
      <c r="M1097" s="5">
        <v>68</v>
      </c>
      <c r="N1097" s="5" t="s">
        <v>21</v>
      </c>
      <c r="O1097" s="5" t="str">
        <f>_xlfn.IFS('Data set'!$H1097&lt;5.7,"Normal",'Data set'!$H1097&lt;=6.4,"Prediabetes",'Data set'!$H1097&lt;=7.5,"Diabetes",'Data set'!$H1097&gt;=7.5,"Uncontrolled")</f>
        <v>Uncontrolled</v>
      </c>
      <c r="P1097" s="5" t="str">
        <f>_xlfn.IFS('Data set'!$F1097&lt;120,"Low",'Data set'!$F1097&lt;=200,"Normal",'Data set'!$F1097&lt;=240,"Boarderline",'Data set'!$F1097&gt;=241,"High")</f>
        <v>High</v>
      </c>
      <c r="Q1097" s="5" t="str">
        <f>_xlfn.IFS('Data set'!$D1097&lt;=18.5,"Low",'Data set'!$D1097&lt;=24.9,"Normal",'Data set'!$D1097&lt;=29.9,"High",'Data set'!$D1097&gt;29.9,"Very High")</f>
        <v>Normal</v>
      </c>
    </row>
    <row r="1098" spans="1:17" x14ac:dyDescent="0.25">
      <c r="A1098" s="3">
        <v>31</v>
      </c>
      <c r="B1098" s="3" t="s">
        <v>0</v>
      </c>
      <c r="C1098" s="4">
        <v>282.52999999999997</v>
      </c>
      <c r="D1098" s="4">
        <v>23.74</v>
      </c>
      <c r="E1098" s="3" t="s">
        <v>6</v>
      </c>
      <c r="F1098" s="3">
        <v>219</v>
      </c>
      <c r="G1098" s="3" t="s">
        <v>806</v>
      </c>
      <c r="H1098" s="4">
        <v>7.02</v>
      </c>
      <c r="I1098" s="3">
        <v>0</v>
      </c>
      <c r="J1098" s="3" t="s">
        <v>3</v>
      </c>
      <c r="K1098" s="3" t="s">
        <v>3</v>
      </c>
      <c r="L1098" s="3">
        <v>125</v>
      </c>
      <c r="M1098" s="3">
        <v>69</v>
      </c>
      <c r="N1098" s="3" t="s">
        <v>12</v>
      </c>
      <c r="O1098" s="3" t="str">
        <f>_xlfn.IFS('Data set'!$H1098&lt;5.7,"Normal",'Data set'!$H1098&lt;=6.4,"Prediabetes",'Data set'!$H1098&lt;=7.5,"Diabetes",'Data set'!$H1098&gt;=7.5,"Uncontrolled")</f>
        <v>Diabetes</v>
      </c>
      <c r="P1098" s="3" t="str">
        <f>_xlfn.IFS('Data set'!$F1098&lt;120,"Low",'Data set'!$F1098&lt;=200,"Normal",'Data set'!$F1098&lt;=240,"Boarderline",'Data set'!$F1098&gt;=241,"High")</f>
        <v>Boarderline</v>
      </c>
      <c r="Q1098" s="3" t="str">
        <f>_xlfn.IFS('Data set'!$D1098&lt;=18.5,"Low",'Data set'!$D1098&lt;=24.9,"Normal",'Data set'!$D1098&lt;=29.9,"High",'Data set'!$D1098&gt;29.9,"Very High")</f>
        <v>Normal</v>
      </c>
    </row>
    <row r="1099" spans="1:17" x14ac:dyDescent="0.25">
      <c r="A1099" s="5">
        <v>40</v>
      </c>
      <c r="B1099" s="5" t="s">
        <v>0</v>
      </c>
      <c r="C1099" s="6">
        <v>149.81</v>
      </c>
      <c r="D1099" s="6">
        <v>36.840000000000003</v>
      </c>
      <c r="E1099" s="5" t="s">
        <v>6</v>
      </c>
      <c r="F1099" s="5">
        <v>201</v>
      </c>
      <c r="G1099" s="5" t="s">
        <v>503</v>
      </c>
      <c r="H1099" s="6">
        <v>4.43</v>
      </c>
      <c r="I1099" s="5">
        <v>0</v>
      </c>
      <c r="J1099" s="5" t="s">
        <v>4</v>
      </c>
      <c r="K1099" s="5" t="s">
        <v>4</v>
      </c>
      <c r="L1099" s="5">
        <v>109</v>
      </c>
      <c r="M1099" s="5">
        <v>72</v>
      </c>
      <c r="N1099" s="5" t="s">
        <v>12</v>
      </c>
      <c r="O1099" s="5" t="str">
        <f>_xlfn.IFS('Data set'!$H1099&lt;5.7,"Normal",'Data set'!$H1099&lt;=6.4,"Prediabetes",'Data set'!$H1099&lt;=7.5,"Diabetes",'Data set'!$H1099&gt;=7.5,"Uncontrolled")</f>
        <v>Normal</v>
      </c>
      <c r="P1099" s="5" t="str">
        <f>_xlfn.IFS('Data set'!$F1099&lt;120,"Low",'Data set'!$F1099&lt;=200,"Normal",'Data set'!$F1099&lt;=240,"Boarderline",'Data set'!$F1099&gt;=241,"High")</f>
        <v>Boarderline</v>
      </c>
      <c r="Q1099" s="5" t="str">
        <f>_xlfn.IFS('Data set'!$D1099&lt;=18.5,"Low",'Data set'!$D1099&lt;=24.9,"Normal",'Data set'!$D1099&lt;=29.9,"High",'Data set'!$D1099&gt;29.9,"Very High")</f>
        <v>Very High</v>
      </c>
    </row>
    <row r="1100" spans="1:17" x14ac:dyDescent="0.25">
      <c r="A1100" s="3">
        <v>35</v>
      </c>
      <c r="B1100" s="3" t="s">
        <v>0</v>
      </c>
      <c r="C1100" s="4">
        <v>105.19</v>
      </c>
      <c r="D1100" s="4">
        <v>32.64</v>
      </c>
      <c r="E1100" s="3" t="s">
        <v>14</v>
      </c>
      <c r="F1100" s="3">
        <v>299</v>
      </c>
      <c r="G1100" s="3" t="s">
        <v>807</v>
      </c>
      <c r="H1100" s="4">
        <v>5.57</v>
      </c>
      <c r="I1100" s="3">
        <v>0</v>
      </c>
      <c r="J1100" s="3" t="s">
        <v>3</v>
      </c>
      <c r="K1100" s="3" t="s">
        <v>4</v>
      </c>
      <c r="L1100" s="3">
        <v>104</v>
      </c>
      <c r="M1100" s="3">
        <v>70</v>
      </c>
      <c r="N1100" s="3" t="s">
        <v>12</v>
      </c>
      <c r="O1100" s="3" t="str">
        <f>_xlfn.IFS('Data set'!$H1100&lt;5.7,"Normal",'Data set'!$H1100&lt;=6.4,"Prediabetes",'Data set'!$H1100&lt;=7.5,"Diabetes",'Data set'!$H1100&gt;=7.5,"Uncontrolled")</f>
        <v>Normal</v>
      </c>
      <c r="P1100" s="3" t="str">
        <f>_xlfn.IFS('Data set'!$F1100&lt;120,"Low",'Data set'!$F1100&lt;=200,"Normal",'Data set'!$F1100&lt;=240,"Boarderline",'Data set'!$F1100&gt;=241,"High")</f>
        <v>High</v>
      </c>
      <c r="Q1100" s="3" t="str">
        <f>_xlfn.IFS('Data set'!$D1100&lt;=18.5,"Low",'Data set'!$D1100&lt;=24.9,"Normal",'Data set'!$D1100&lt;=29.9,"High",'Data set'!$D1100&gt;29.9,"Very High")</f>
        <v>Very High</v>
      </c>
    </row>
    <row r="1101" spans="1:17" x14ac:dyDescent="0.25">
      <c r="A1101" s="5">
        <v>46</v>
      </c>
      <c r="B1101" s="5" t="s">
        <v>9</v>
      </c>
      <c r="C1101" s="6">
        <v>149.19999999999999</v>
      </c>
      <c r="D1101" s="6">
        <v>26.07</v>
      </c>
      <c r="E1101" s="5" t="s">
        <v>1</v>
      </c>
      <c r="F1101" s="5">
        <v>101</v>
      </c>
      <c r="G1101" s="5" t="s">
        <v>663</v>
      </c>
      <c r="H1101" s="6">
        <v>9.2799999999999994</v>
      </c>
      <c r="I1101" s="5">
        <v>5</v>
      </c>
      <c r="J1101" s="5" t="s">
        <v>3</v>
      </c>
      <c r="K1101" s="5" t="s">
        <v>4</v>
      </c>
      <c r="L1101" s="5">
        <v>103</v>
      </c>
      <c r="M1101" s="5">
        <v>64</v>
      </c>
      <c r="N1101" s="5" t="s">
        <v>23</v>
      </c>
      <c r="O1101" s="5" t="str">
        <f>_xlfn.IFS('Data set'!$H1101&lt;5.7,"Normal",'Data set'!$H1101&lt;=6.4,"Prediabetes",'Data set'!$H1101&lt;=7.5,"Diabetes",'Data set'!$H1101&gt;=7.5,"Uncontrolled")</f>
        <v>Uncontrolled</v>
      </c>
      <c r="P1101" s="5" t="str">
        <f>_xlfn.IFS('Data set'!$F1101&lt;120,"Low",'Data set'!$F1101&lt;=200,"Normal",'Data set'!$F1101&lt;=240,"Boarderline",'Data set'!$F1101&gt;=241,"High")</f>
        <v>Low</v>
      </c>
      <c r="Q1101" s="5" t="str">
        <f>_xlfn.IFS('Data set'!$D1101&lt;=18.5,"Low",'Data set'!$D1101&lt;=24.9,"Normal",'Data set'!$D1101&lt;=29.9,"High",'Data set'!$D1101&gt;29.9,"Very High")</f>
        <v>High</v>
      </c>
    </row>
    <row r="1102" spans="1:17" x14ac:dyDescent="0.25">
      <c r="A1102" s="3">
        <v>21</v>
      </c>
      <c r="B1102" s="3" t="s">
        <v>0</v>
      </c>
      <c r="C1102" s="4">
        <v>163.43</v>
      </c>
      <c r="D1102" s="4">
        <v>27.41</v>
      </c>
      <c r="E1102" s="3" t="s">
        <v>14</v>
      </c>
      <c r="F1102" s="3">
        <v>201</v>
      </c>
      <c r="G1102" s="3" t="s">
        <v>177</v>
      </c>
      <c r="H1102" s="4">
        <v>5.82</v>
      </c>
      <c r="I1102" s="3">
        <v>1</v>
      </c>
      <c r="J1102" s="3" t="s">
        <v>3</v>
      </c>
      <c r="K1102" s="3" t="s">
        <v>4</v>
      </c>
      <c r="L1102" s="3">
        <v>97</v>
      </c>
      <c r="M1102" s="3">
        <v>80</v>
      </c>
      <c r="N1102" s="3" t="s">
        <v>17</v>
      </c>
      <c r="O1102" s="3" t="str">
        <f>_xlfn.IFS('Data set'!$H1102&lt;5.7,"Normal",'Data set'!$H1102&lt;=6.4,"Prediabetes",'Data set'!$H1102&lt;=7.5,"Diabetes",'Data set'!$H1102&gt;=7.5,"Uncontrolled")</f>
        <v>Prediabetes</v>
      </c>
      <c r="P1102" s="3" t="str">
        <f>_xlfn.IFS('Data set'!$F1102&lt;120,"Low",'Data set'!$F1102&lt;=200,"Normal",'Data set'!$F1102&lt;=240,"Boarderline",'Data set'!$F1102&gt;=241,"High")</f>
        <v>Boarderline</v>
      </c>
      <c r="Q1102" s="3" t="str">
        <f>_xlfn.IFS('Data set'!$D1102&lt;=18.5,"Low",'Data set'!$D1102&lt;=24.9,"Normal",'Data set'!$D1102&lt;=29.9,"High",'Data set'!$D1102&gt;29.9,"Very High")</f>
        <v>High</v>
      </c>
    </row>
    <row r="1103" spans="1:17" x14ac:dyDescent="0.25">
      <c r="A1103" s="5">
        <v>53</v>
      </c>
      <c r="B1103" s="5" t="s">
        <v>0</v>
      </c>
      <c r="C1103" s="6">
        <v>225.61</v>
      </c>
      <c r="D1103" s="6">
        <v>29.33</v>
      </c>
      <c r="E1103" s="5" t="s">
        <v>10</v>
      </c>
      <c r="F1103" s="5">
        <v>198</v>
      </c>
      <c r="G1103" s="5" t="s">
        <v>808</v>
      </c>
      <c r="H1103" s="6">
        <v>7.56</v>
      </c>
      <c r="I1103" s="5">
        <v>5</v>
      </c>
      <c r="J1103" s="5" t="s">
        <v>3</v>
      </c>
      <c r="K1103" s="5" t="s">
        <v>4</v>
      </c>
      <c r="L1103" s="5">
        <v>100</v>
      </c>
      <c r="M1103" s="5">
        <v>61</v>
      </c>
      <c r="N1103" s="5" t="s">
        <v>8</v>
      </c>
      <c r="O1103" s="5" t="str">
        <f>_xlfn.IFS('Data set'!$H1103&lt;5.7,"Normal",'Data set'!$H1103&lt;=6.4,"Prediabetes",'Data set'!$H1103&lt;=7.5,"Diabetes",'Data set'!$H1103&gt;=7.5,"Uncontrolled")</f>
        <v>Uncontrolled</v>
      </c>
      <c r="P1103" s="5" t="str">
        <f>_xlfn.IFS('Data set'!$F1103&lt;120,"Low",'Data set'!$F1103&lt;=200,"Normal",'Data set'!$F1103&lt;=240,"Boarderline",'Data set'!$F1103&gt;=241,"High")</f>
        <v>Normal</v>
      </c>
      <c r="Q1103" s="5" t="str">
        <f>_xlfn.IFS('Data set'!$D1103&lt;=18.5,"Low",'Data set'!$D1103&lt;=24.9,"Normal",'Data set'!$D1103&lt;=29.9,"High",'Data set'!$D1103&gt;29.9,"Very High")</f>
        <v>High</v>
      </c>
    </row>
    <row r="1104" spans="1:17" x14ac:dyDescent="0.25">
      <c r="A1104" s="3">
        <v>36</v>
      </c>
      <c r="B1104" s="3" t="s">
        <v>9</v>
      </c>
      <c r="C1104" s="4">
        <v>195.38</v>
      </c>
      <c r="D1104" s="4">
        <v>30</v>
      </c>
      <c r="E1104" s="3" t="s">
        <v>1</v>
      </c>
      <c r="F1104" s="3">
        <v>182</v>
      </c>
      <c r="G1104" s="3" t="s">
        <v>809</v>
      </c>
      <c r="H1104" s="4">
        <v>5.33</v>
      </c>
      <c r="I1104" s="3">
        <v>3</v>
      </c>
      <c r="J1104" s="3" t="s">
        <v>3</v>
      </c>
      <c r="K1104" s="3" t="s">
        <v>3</v>
      </c>
      <c r="L1104" s="3">
        <v>136</v>
      </c>
      <c r="M1104" s="3">
        <v>66</v>
      </c>
      <c r="N1104" s="3" t="s">
        <v>12</v>
      </c>
      <c r="O1104" s="3" t="str">
        <f>_xlfn.IFS('Data set'!$H1104&lt;5.7,"Normal",'Data set'!$H1104&lt;=6.4,"Prediabetes",'Data set'!$H1104&lt;=7.5,"Diabetes",'Data set'!$H1104&gt;=7.5,"Uncontrolled")</f>
        <v>Normal</v>
      </c>
      <c r="P1104" s="3" t="str">
        <f>_xlfn.IFS('Data set'!$F1104&lt;120,"Low",'Data set'!$F1104&lt;=200,"Normal",'Data set'!$F1104&lt;=240,"Boarderline",'Data set'!$F1104&gt;=241,"High")</f>
        <v>Normal</v>
      </c>
      <c r="Q1104" s="3" t="str">
        <f>_xlfn.IFS('Data set'!$D1104&lt;=18.5,"Low",'Data set'!$D1104&lt;=24.9,"Normal",'Data set'!$D1104&lt;=29.9,"High",'Data set'!$D1104&gt;29.9,"Very High")</f>
        <v>Very High</v>
      </c>
    </row>
    <row r="1105" spans="1:17" x14ac:dyDescent="0.25">
      <c r="A1105" s="5">
        <v>34</v>
      </c>
      <c r="B1105" s="5" t="s">
        <v>0</v>
      </c>
      <c r="C1105" s="6">
        <v>275.04000000000002</v>
      </c>
      <c r="D1105" s="6">
        <v>20.45</v>
      </c>
      <c r="E1105" s="5" t="s">
        <v>14</v>
      </c>
      <c r="F1105" s="5">
        <v>259</v>
      </c>
      <c r="G1105" s="5" t="s">
        <v>252</v>
      </c>
      <c r="H1105" s="6">
        <v>7.78</v>
      </c>
      <c r="I1105" s="5">
        <v>1</v>
      </c>
      <c r="J1105" s="5" t="s">
        <v>3</v>
      </c>
      <c r="K1105" s="5" t="s">
        <v>3</v>
      </c>
      <c r="L1105" s="5">
        <v>137</v>
      </c>
      <c r="M1105" s="5">
        <v>62</v>
      </c>
      <c r="N1105" s="5" t="s">
        <v>12</v>
      </c>
      <c r="O1105" s="5" t="str">
        <f>_xlfn.IFS('Data set'!$H1105&lt;5.7,"Normal",'Data set'!$H1105&lt;=6.4,"Prediabetes",'Data set'!$H1105&lt;=7.5,"Diabetes",'Data set'!$H1105&gt;=7.5,"Uncontrolled")</f>
        <v>Uncontrolled</v>
      </c>
      <c r="P1105" s="5" t="str">
        <f>_xlfn.IFS('Data set'!$F1105&lt;120,"Low",'Data set'!$F1105&lt;=200,"Normal",'Data set'!$F1105&lt;=240,"Boarderline",'Data set'!$F1105&gt;=241,"High")</f>
        <v>High</v>
      </c>
      <c r="Q1105" s="5" t="str">
        <f>_xlfn.IFS('Data set'!$D1105&lt;=18.5,"Low",'Data set'!$D1105&lt;=24.9,"Normal",'Data set'!$D1105&lt;=29.9,"High",'Data set'!$D1105&gt;29.9,"Very High")</f>
        <v>Normal</v>
      </c>
    </row>
    <row r="1106" spans="1:17" x14ac:dyDescent="0.25">
      <c r="A1106" s="3">
        <v>52</v>
      </c>
      <c r="B1106" s="3" t="s">
        <v>9</v>
      </c>
      <c r="C1106" s="4">
        <v>107.64</v>
      </c>
      <c r="D1106" s="4">
        <v>26.96</v>
      </c>
      <c r="E1106" s="3" t="s">
        <v>14</v>
      </c>
      <c r="F1106" s="3">
        <v>223</v>
      </c>
      <c r="G1106" s="3" t="s">
        <v>810</v>
      </c>
      <c r="H1106" s="4">
        <v>6.06</v>
      </c>
      <c r="I1106" s="3">
        <v>7</v>
      </c>
      <c r="J1106" s="3" t="s">
        <v>4</v>
      </c>
      <c r="K1106" s="3" t="s">
        <v>3</v>
      </c>
      <c r="L1106" s="3">
        <v>100</v>
      </c>
      <c r="M1106" s="3">
        <v>86</v>
      </c>
      <c r="N1106" s="3" t="s">
        <v>8</v>
      </c>
      <c r="O1106" s="3" t="str">
        <f>_xlfn.IFS('Data set'!$H1106&lt;5.7,"Normal",'Data set'!$H1106&lt;=6.4,"Prediabetes",'Data set'!$H1106&lt;=7.5,"Diabetes",'Data set'!$H1106&gt;=7.5,"Uncontrolled")</f>
        <v>Prediabetes</v>
      </c>
      <c r="P1106" s="3" t="str">
        <f>_xlfn.IFS('Data set'!$F1106&lt;120,"Low",'Data set'!$F1106&lt;=200,"Normal",'Data set'!$F1106&lt;=240,"Boarderline",'Data set'!$F1106&gt;=241,"High")</f>
        <v>Boarderline</v>
      </c>
      <c r="Q1106" s="3" t="str">
        <f>_xlfn.IFS('Data set'!$D1106&lt;=18.5,"Low",'Data set'!$D1106&lt;=24.9,"Normal",'Data set'!$D1106&lt;=29.9,"High",'Data set'!$D1106&gt;29.9,"Very High")</f>
        <v>High</v>
      </c>
    </row>
    <row r="1107" spans="1:17" x14ac:dyDescent="0.25">
      <c r="A1107" s="5">
        <v>19</v>
      </c>
      <c r="B1107" s="5" t="s">
        <v>9</v>
      </c>
      <c r="C1107" s="6">
        <v>119.43</v>
      </c>
      <c r="D1107" s="6">
        <v>25.35</v>
      </c>
      <c r="E1107" s="5" t="s">
        <v>6</v>
      </c>
      <c r="F1107" s="5">
        <v>186</v>
      </c>
      <c r="G1107" s="5" t="s">
        <v>811</v>
      </c>
      <c r="H1107" s="6">
        <v>6.37</v>
      </c>
      <c r="I1107" s="5">
        <v>5</v>
      </c>
      <c r="J1107" s="5" t="s">
        <v>3</v>
      </c>
      <c r="K1107" s="5" t="s">
        <v>4</v>
      </c>
      <c r="L1107" s="5">
        <v>92</v>
      </c>
      <c r="M1107" s="5">
        <v>87</v>
      </c>
      <c r="N1107" s="5" t="s">
        <v>17</v>
      </c>
      <c r="O1107" s="5" t="str">
        <f>_xlfn.IFS('Data set'!$H1107&lt;5.7,"Normal",'Data set'!$H1107&lt;=6.4,"Prediabetes",'Data set'!$H1107&lt;=7.5,"Diabetes",'Data set'!$H1107&gt;=7.5,"Uncontrolled")</f>
        <v>Prediabetes</v>
      </c>
      <c r="P1107" s="5" t="str">
        <f>_xlfn.IFS('Data set'!$F1107&lt;120,"Low",'Data set'!$F1107&lt;=200,"Normal",'Data set'!$F1107&lt;=240,"Boarderline",'Data set'!$F1107&gt;=241,"High")</f>
        <v>Normal</v>
      </c>
      <c r="Q1107" s="5" t="str">
        <f>_xlfn.IFS('Data set'!$D1107&lt;=18.5,"Low",'Data set'!$D1107&lt;=24.9,"Normal",'Data set'!$D1107&lt;=29.9,"High",'Data set'!$D1107&gt;29.9,"Very High")</f>
        <v>High</v>
      </c>
    </row>
    <row r="1108" spans="1:17" x14ac:dyDescent="0.25">
      <c r="A1108" s="3">
        <v>23</v>
      </c>
      <c r="B1108" s="3" t="s">
        <v>9</v>
      </c>
      <c r="C1108" s="4">
        <v>293.85000000000002</v>
      </c>
      <c r="D1108" s="4">
        <v>28.39</v>
      </c>
      <c r="E1108" s="3" t="s">
        <v>6</v>
      </c>
      <c r="F1108" s="3">
        <v>120</v>
      </c>
      <c r="G1108" s="3" t="s">
        <v>629</v>
      </c>
      <c r="H1108" s="4">
        <v>9.27</v>
      </c>
      <c r="I1108" s="3">
        <v>0</v>
      </c>
      <c r="J1108" s="3" t="s">
        <v>4</v>
      </c>
      <c r="K1108" s="3" t="s">
        <v>4</v>
      </c>
      <c r="L1108" s="3">
        <v>96</v>
      </c>
      <c r="M1108" s="3">
        <v>60</v>
      </c>
      <c r="N1108" s="3" t="s">
        <v>17</v>
      </c>
      <c r="O1108" s="3" t="str">
        <f>_xlfn.IFS('Data set'!$H1108&lt;5.7,"Normal",'Data set'!$H1108&lt;=6.4,"Prediabetes",'Data set'!$H1108&lt;=7.5,"Diabetes",'Data set'!$H1108&gt;=7.5,"Uncontrolled")</f>
        <v>Uncontrolled</v>
      </c>
      <c r="P1108" s="3" t="str">
        <f>_xlfn.IFS('Data set'!$F1108&lt;120,"Low",'Data set'!$F1108&lt;=200,"Normal",'Data set'!$F1108&lt;=240,"Boarderline",'Data set'!$F1108&gt;=241,"High")</f>
        <v>Normal</v>
      </c>
      <c r="Q1108" s="3" t="str">
        <f>_xlfn.IFS('Data set'!$D1108&lt;=18.5,"Low",'Data set'!$D1108&lt;=24.9,"Normal",'Data set'!$D1108&lt;=29.9,"High",'Data set'!$D1108&gt;29.9,"Very High")</f>
        <v>High</v>
      </c>
    </row>
    <row r="1109" spans="1:17" x14ac:dyDescent="0.25">
      <c r="A1109" s="5">
        <v>43</v>
      </c>
      <c r="B1109" s="5" t="s">
        <v>0</v>
      </c>
      <c r="C1109" s="6">
        <v>165.71</v>
      </c>
      <c r="D1109" s="6">
        <v>39.11</v>
      </c>
      <c r="E1109" s="5" t="s">
        <v>14</v>
      </c>
      <c r="F1109" s="5">
        <v>122</v>
      </c>
      <c r="G1109" s="5" t="s">
        <v>812</v>
      </c>
      <c r="H1109" s="6">
        <v>5.55</v>
      </c>
      <c r="I1109" s="5">
        <v>6</v>
      </c>
      <c r="J1109" s="5" t="s">
        <v>3</v>
      </c>
      <c r="K1109" s="5" t="s">
        <v>4</v>
      </c>
      <c r="L1109" s="5">
        <v>138</v>
      </c>
      <c r="M1109" s="5">
        <v>87</v>
      </c>
      <c r="N1109" s="5" t="s">
        <v>23</v>
      </c>
      <c r="O1109" s="5" t="str">
        <f>_xlfn.IFS('Data set'!$H1109&lt;5.7,"Normal",'Data set'!$H1109&lt;=6.4,"Prediabetes",'Data set'!$H1109&lt;=7.5,"Diabetes",'Data set'!$H1109&gt;=7.5,"Uncontrolled")</f>
        <v>Normal</v>
      </c>
      <c r="P1109" s="5" t="str">
        <f>_xlfn.IFS('Data set'!$F1109&lt;120,"Low",'Data set'!$F1109&lt;=200,"Normal",'Data set'!$F1109&lt;=240,"Boarderline",'Data set'!$F1109&gt;=241,"High")</f>
        <v>Normal</v>
      </c>
      <c r="Q1109" s="5" t="str">
        <f>_xlfn.IFS('Data set'!$D1109&lt;=18.5,"Low",'Data set'!$D1109&lt;=24.9,"Normal",'Data set'!$D1109&lt;=29.9,"High",'Data set'!$D1109&gt;29.9,"Very High")</f>
        <v>Very High</v>
      </c>
    </row>
    <row r="1110" spans="1:17" x14ac:dyDescent="0.25">
      <c r="A1110" s="3">
        <v>35</v>
      </c>
      <c r="B1110" s="3" t="s">
        <v>9</v>
      </c>
      <c r="C1110" s="4">
        <v>269.08999999999997</v>
      </c>
      <c r="D1110" s="4">
        <v>28.84</v>
      </c>
      <c r="E1110" s="3" t="s">
        <v>6</v>
      </c>
      <c r="F1110" s="3">
        <v>300</v>
      </c>
      <c r="G1110" s="3" t="s">
        <v>67</v>
      </c>
      <c r="H1110" s="4">
        <v>7.53</v>
      </c>
      <c r="I1110" s="3">
        <v>4</v>
      </c>
      <c r="J1110" s="3" t="s">
        <v>4</v>
      </c>
      <c r="K1110" s="3" t="s">
        <v>4</v>
      </c>
      <c r="L1110" s="3">
        <v>122</v>
      </c>
      <c r="M1110" s="3">
        <v>88</v>
      </c>
      <c r="N1110" s="3" t="s">
        <v>12</v>
      </c>
      <c r="O1110" s="3" t="str">
        <f>_xlfn.IFS('Data set'!$H1110&lt;5.7,"Normal",'Data set'!$H1110&lt;=6.4,"Prediabetes",'Data set'!$H1110&lt;=7.5,"Diabetes",'Data set'!$H1110&gt;=7.5,"Uncontrolled")</f>
        <v>Uncontrolled</v>
      </c>
      <c r="P1110" s="3" t="str">
        <f>_xlfn.IFS('Data set'!$F1110&lt;120,"Low",'Data set'!$F1110&lt;=200,"Normal",'Data set'!$F1110&lt;=240,"Boarderline",'Data set'!$F1110&gt;=241,"High")</f>
        <v>High</v>
      </c>
      <c r="Q1110" s="3" t="str">
        <f>_xlfn.IFS('Data set'!$D1110&lt;=18.5,"Low",'Data set'!$D1110&lt;=24.9,"Normal",'Data set'!$D1110&lt;=29.9,"High",'Data set'!$D1110&gt;29.9,"Very High")</f>
        <v>High</v>
      </c>
    </row>
    <row r="1111" spans="1:17" x14ac:dyDescent="0.25">
      <c r="A1111" s="5">
        <v>58</v>
      </c>
      <c r="B1111" s="5" t="s">
        <v>9</v>
      </c>
      <c r="C1111" s="6">
        <v>262.83</v>
      </c>
      <c r="D1111" s="6">
        <v>32.229999999999997</v>
      </c>
      <c r="E1111" s="5" t="s">
        <v>14</v>
      </c>
      <c r="F1111" s="5">
        <v>240</v>
      </c>
      <c r="G1111" s="5" t="s">
        <v>813</v>
      </c>
      <c r="H1111" s="6">
        <v>7.6</v>
      </c>
      <c r="I1111" s="5">
        <v>1</v>
      </c>
      <c r="J1111" s="5" t="s">
        <v>3</v>
      </c>
      <c r="K1111" s="5" t="s">
        <v>3</v>
      </c>
      <c r="L1111" s="5">
        <v>93</v>
      </c>
      <c r="M1111" s="5">
        <v>69</v>
      </c>
      <c r="N1111" s="5" t="s">
        <v>8</v>
      </c>
      <c r="O1111" s="5" t="str">
        <f>_xlfn.IFS('Data set'!$H1111&lt;5.7,"Normal",'Data set'!$H1111&lt;=6.4,"Prediabetes",'Data set'!$H1111&lt;=7.5,"Diabetes",'Data set'!$H1111&gt;=7.5,"Uncontrolled")</f>
        <v>Uncontrolled</v>
      </c>
      <c r="P1111" s="5" t="str">
        <f>_xlfn.IFS('Data set'!$F1111&lt;120,"Low",'Data set'!$F1111&lt;=200,"Normal",'Data set'!$F1111&lt;=240,"Boarderline",'Data set'!$F1111&gt;=241,"High")</f>
        <v>Boarderline</v>
      </c>
      <c r="Q1111" s="5" t="str">
        <f>_xlfn.IFS('Data set'!$D1111&lt;=18.5,"Low",'Data set'!$D1111&lt;=24.9,"Normal",'Data set'!$D1111&lt;=29.9,"High",'Data set'!$D1111&gt;29.9,"Very High")</f>
        <v>Very High</v>
      </c>
    </row>
    <row r="1112" spans="1:17" x14ac:dyDescent="0.25">
      <c r="A1112" s="3">
        <v>43</v>
      </c>
      <c r="B1112" s="3" t="s">
        <v>0</v>
      </c>
      <c r="C1112" s="4">
        <v>145.03</v>
      </c>
      <c r="D1112" s="4">
        <v>35.76</v>
      </c>
      <c r="E1112" s="3" t="s">
        <v>14</v>
      </c>
      <c r="F1112" s="3">
        <v>277</v>
      </c>
      <c r="G1112" s="3" t="s">
        <v>426</v>
      </c>
      <c r="H1112" s="4">
        <v>7.87</v>
      </c>
      <c r="I1112" s="3">
        <v>0</v>
      </c>
      <c r="J1112" s="3" t="s">
        <v>3</v>
      </c>
      <c r="K1112" s="3" t="s">
        <v>4</v>
      </c>
      <c r="L1112" s="3">
        <v>117</v>
      </c>
      <c r="M1112" s="3">
        <v>79</v>
      </c>
      <c r="N1112" s="3" t="s">
        <v>23</v>
      </c>
      <c r="O1112" s="3" t="str">
        <f>_xlfn.IFS('Data set'!$H1112&lt;5.7,"Normal",'Data set'!$H1112&lt;=6.4,"Prediabetes",'Data set'!$H1112&lt;=7.5,"Diabetes",'Data set'!$H1112&gt;=7.5,"Uncontrolled")</f>
        <v>Uncontrolled</v>
      </c>
      <c r="P1112" s="3" t="str">
        <f>_xlfn.IFS('Data set'!$F1112&lt;120,"Low",'Data set'!$F1112&lt;=200,"Normal",'Data set'!$F1112&lt;=240,"Boarderline",'Data set'!$F1112&gt;=241,"High")</f>
        <v>High</v>
      </c>
      <c r="Q1112" s="3" t="str">
        <f>_xlfn.IFS('Data set'!$D1112&lt;=18.5,"Low",'Data set'!$D1112&lt;=24.9,"Normal",'Data set'!$D1112&lt;=29.9,"High",'Data set'!$D1112&gt;29.9,"Very High")</f>
        <v>Very High</v>
      </c>
    </row>
    <row r="1113" spans="1:17" x14ac:dyDescent="0.25">
      <c r="A1113" s="5">
        <v>36</v>
      </c>
      <c r="B1113" s="5" t="s">
        <v>0</v>
      </c>
      <c r="C1113" s="6">
        <v>102.09</v>
      </c>
      <c r="D1113" s="6">
        <v>24.01</v>
      </c>
      <c r="E1113" s="5" t="s">
        <v>1</v>
      </c>
      <c r="F1113" s="5">
        <v>229</v>
      </c>
      <c r="G1113" s="5" t="s">
        <v>814</v>
      </c>
      <c r="H1113" s="6">
        <v>9.09</v>
      </c>
      <c r="I1113" s="5">
        <v>6</v>
      </c>
      <c r="J1113" s="5" t="s">
        <v>4</v>
      </c>
      <c r="K1113" s="5" t="s">
        <v>4</v>
      </c>
      <c r="L1113" s="5">
        <v>120</v>
      </c>
      <c r="M1113" s="5">
        <v>69</v>
      </c>
      <c r="N1113" s="5" t="s">
        <v>12</v>
      </c>
      <c r="O1113" s="5" t="str">
        <f>_xlfn.IFS('Data set'!$H1113&lt;5.7,"Normal",'Data set'!$H1113&lt;=6.4,"Prediabetes",'Data set'!$H1113&lt;=7.5,"Diabetes",'Data set'!$H1113&gt;=7.5,"Uncontrolled")</f>
        <v>Uncontrolled</v>
      </c>
      <c r="P1113" s="5" t="str">
        <f>_xlfn.IFS('Data set'!$F1113&lt;120,"Low",'Data set'!$F1113&lt;=200,"Normal",'Data set'!$F1113&lt;=240,"Boarderline",'Data set'!$F1113&gt;=241,"High")</f>
        <v>Boarderline</v>
      </c>
      <c r="Q1113" s="5" t="str">
        <f>_xlfn.IFS('Data set'!$D1113&lt;=18.5,"Low",'Data set'!$D1113&lt;=24.9,"Normal",'Data set'!$D1113&lt;=29.9,"High",'Data set'!$D1113&gt;29.9,"Very High")</f>
        <v>Normal</v>
      </c>
    </row>
    <row r="1114" spans="1:17" x14ac:dyDescent="0.25">
      <c r="A1114" s="3">
        <v>55</v>
      </c>
      <c r="B1114" s="3" t="s">
        <v>9</v>
      </c>
      <c r="C1114" s="4">
        <v>149.66</v>
      </c>
      <c r="D1114" s="4">
        <v>39.340000000000003</v>
      </c>
      <c r="E1114" s="3" t="s">
        <v>14</v>
      </c>
      <c r="F1114" s="3">
        <v>189</v>
      </c>
      <c r="G1114" s="3" t="s">
        <v>622</v>
      </c>
      <c r="H1114" s="4">
        <v>7.14</v>
      </c>
      <c r="I1114" s="3">
        <v>4</v>
      </c>
      <c r="J1114" s="3" t="s">
        <v>4</v>
      </c>
      <c r="K1114" s="3" t="s">
        <v>4</v>
      </c>
      <c r="L1114" s="3">
        <v>129</v>
      </c>
      <c r="M1114" s="3">
        <v>77</v>
      </c>
      <c r="N1114" s="3" t="s">
        <v>8</v>
      </c>
      <c r="O1114" s="3" t="str">
        <f>_xlfn.IFS('Data set'!$H1114&lt;5.7,"Normal",'Data set'!$H1114&lt;=6.4,"Prediabetes",'Data set'!$H1114&lt;=7.5,"Diabetes",'Data set'!$H1114&gt;=7.5,"Uncontrolled")</f>
        <v>Diabetes</v>
      </c>
      <c r="P1114" s="3" t="str">
        <f>_xlfn.IFS('Data set'!$F1114&lt;120,"Low",'Data set'!$F1114&lt;=200,"Normal",'Data set'!$F1114&lt;=240,"Boarderline",'Data set'!$F1114&gt;=241,"High")</f>
        <v>Normal</v>
      </c>
      <c r="Q1114" s="3" t="str">
        <f>_xlfn.IFS('Data set'!$D1114&lt;=18.5,"Low",'Data set'!$D1114&lt;=24.9,"Normal",'Data set'!$D1114&lt;=29.9,"High",'Data set'!$D1114&gt;29.9,"Very High")</f>
        <v>Very High</v>
      </c>
    </row>
    <row r="1115" spans="1:17" x14ac:dyDescent="0.25">
      <c r="A1115" s="5">
        <v>21</v>
      </c>
      <c r="B1115" s="5" t="s">
        <v>0</v>
      </c>
      <c r="C1115" s="6">
        <v>221.62</v>
      </c>
      <c r="D1115" s="6">
        <v>39.200000000000003</v>
      </c>
      <c r="E1115" s="5" t="s">
        <v>14</v>
      </c>
      <c r="F1115" s="5">
        <v>103</v>
      </c>
      <c r="G1115" s="5" t="s">
        <v>368</v>
      </c>
      <c r="H1115" s="6">
        <v>9.9700000000000006</v>
      </c>
      <c r="I1115" s="5">
        <v>1</v>
      </c>
      <c r="J1115" s="5" t="s">
        <v>3</v>
      </c>
      <c r="K1115" s="5" t="s">
        <v>3</v>
      </c>
      <c r="L1115" s="5">
        <v>127</v>
      </c>
      <c r="M1115" s="5">
        <v>75</v>
      </c>
      <c r="N1115" s="5" t="s">
        <v>17</v>
      </c>
      <c r="O1115" s="5" t="str">
        <f>_xlfn.IFS('Data set'!$H1115&lt;5.7,"Normal",'Data set'!$H1115&lt;=6.4,"Prediabetes",'Data set'!$H1115&lt;=7.5,"Diabetes",'Data set'!$H1115&gt;=7.5,"Uncontrolled")</f>
        <v>Uncontrolled</v>
      </c>
      <c r="P1115" s="5" t="str">
        <f>_xlfn.IFS('Data set'!$F1115&lt;120,"Low",'Data set'!$F1115&lt;=200,"Normal",'Data set'!$F1115&lt;=240,"Boarderline",'Data set'!$F1115&gt;=241,"High")</f>
        <v>Low</v>
      </c>
      <c r="Q1115" s="5" t="str">
        <f>_xlfn.IFS('Data set'!$D1115&lt;=18.5,"Low",'Data set'!$D1115&lt;=24.9,"Normal",'Data set'!$D1115&lt;=29.9,"High",'Data set'!$D1115&gt;29.9,"Very High")</f>
        <v>Very High</v>
      </c>
    </row>
    <row r="1116" spans="1:17" x14ac:dyDescent="0.25">
      <c r="A1116" s="3">
        <v>77</v>
      </c>
      <c r="B1116" s="3" t="s">
        <v>0</v>
      </c>
      <c r="C1116" s="4">
        <v>196.77</v>
      </c>
      <c r="D1116" s="4">
        <v>33.53</v>
      </c>
      <c r="E1116" s="3" t="s">
        <v>10</v>
      </c>
      <c r="F1116" s="3">
        <v>294</v>
      </c>
      <c r="G1116" s="3" t="s">
        <v>187</v>
      </c>
      <c r="H1116" s="4">
        <v>7.07</v>
      </c>
      <c r="I1116" s="3">
        <v>3</v>
      </c>
      <c r="J1116" s="3" t="s">
        <v>4</v>
      </c>
      <c r="K1116" s="3" t="s">
        <v>3</v>
      </c>
      <c r="L1116" s="3">
        <v>104</v>
      </c>
      <c r="M1116" s="3">
        <v>75</v>
      </c>
      <c r="N1116" s="3" t="s">
        <v>5</v>
      </c>
      <c r="O1116" s="3" t="str">
        <f>_xlfn.IFS('Data set'!$H1116&lt;5.7,"Normal",'Data set'!$H1116&lt;=6.4,"Prediabetes",'Data set'!$H1116&lt;=7.5,"Diabetes",'Data set'!$H1116&gt;=7.5,"Uncontrolled")</f>
        <v>Diabetes</v>
      </c>
      <c r="P1116" s="3" t="str">
        <f>_xlfn.IFS('Data set'!$F1116&lt;120,"Low",'Data set'!$F1116&lt;=200,"Normal",'Data set'!$F1116&lt;=240,"Boarderline",'Data set'!$F1116&gt;=241,"High")</f>
        <v>High</v>
      </c>
      <c r="Q1116" s="3" t="str">
        <f>_xlfn.IFS('Data set'!$D1116&lt;=18.5,"Low",'Data set'!$D1116&lt;=24.9,"Normal",'Data set'!$D1116&lt;=29.9,"High",'Data set'!$D1116&gt;29.9,"Very High")</f>
        <v>Very High</v>
      </c>
    </row>
    <row r="1117" spans="1:17" x14ac:dyDescent="0.25">
      <c r="A1117" s="5">
        <v>52</v>
      </c>
      <c r="B1117" s="5" t="s">
        <v>0</v>
      </c>
      <c r="C1117" s="6">
        <v>226.78</v>
      </c>
      <c r="D1117" s="6">
        <v>25.88</v>
      </c>
      <c r="E1117" s="5" t="s">
        <v>6</v>
      </c>
      <c r="F1117" s="5">
        <v>265</v>
      </c>
      <c r="G1117" s="5" t="s">
        <v>815</v>
      </c>
      <c r="H1117" s="6">
        <v>9.73</v>
      </c>
      <c r="I1117" s="5">
        <v>2</v>
      </c>
      <c r="J1117" s="5" t="s">
        <v>3</v>
      </c>
      <c r="K1117" s="5" t="s">
        <v>4</v>
      </c>
      <c r="L1117" s="5">
        <v>125</v>
      </c>
      <c r="M1117" s="5">
        <v>90</v>
      </c>
      <c r="N1117" s="5" t="s">
        <v>8</v>
      </c>
      <c r="O1117" s="5" t="str">
        <f>_xlfn.IFS('Data set'!$H1117&lt;5.7,"Normal",'Data set'!$H1117&lt;=6.4,"Prediabetes",'Data set'!$H1117&lt;=7.5,"Diabetes",'Data set'!$H1117&gt;=7.5,"Uncontrolled")</f>
        <v>Uncontrolled</v>
      </c>
      <c r="P1117" s="5" t="str">
        <f>_xlfn.IFS('Data set'!$F1117&lt;120,"Low",'Data set'!$F1117&lt;=200,"Normal",'Data set'!$F1117&lt;=240,"Boarderline",'Data set'!$F1117&gt;=241,"High")</f>
        <v>High</v>
      </c>
      <c r="Q1117" s="5" t="str">
        <f>_xlfn.IFS('Data set'!$D1117&lt;=18.5,"Low",'Data set'!$D1117&lt;=24.9,"Normal",'Data set'!$D1117&lt;=29.9,"High",'Data set'!$D1117&gt;29.9,"Very High")</f>
        <v>High</v>
      </c>
    </row>
    <row r="1118" spans="1:17" x14ac:dyDescent="0.25">
      <c r="A1118" s="3">
        <v>51</v>
      </c>
      <c r="B1118" s="3" t="s">
        <v>0</v>
      </c>
      <c r="C1118" s="4">
        <v>190.58</v>
      </c>
      <c r="D1118" s="4">
        <v>32.21</v>
      </c>
      <c r="E1118" s="3" t="s">
        <v>1</v>
      </c>
      <c r="F1118" s="3">
        <v>103</v>
      </c>
      <c r="G1118" s="3" t="s">
        <v>460</v>
      </c>
      <c r="H1118" s="4">
        <v>4.5</v>
      </c>
      <c r="I1118" s="3">
        <v>1</v>
      </c>
      <c r="J1118" s="3" t="s">
        <v>3</v>
      </c>
      <c r="K1118" s="3" t="s">
        <v>4</v>
      </c>
      <c r="L1118" s="3">
        <v>105</v>
      </c>
      <c r="M1118" s="3">
        <v>88</v>
      </c>
      <c r="N1118" s="3" t="s">
        <v>8</v>
      </c>
      <c r="O1118" s="3" t="str">
        <f>_xlfn.IFS('Data set'!$H1118&lt;5.7,"Normal",'Data set'!$H1118&lt;=6.4,"Prediabetes",'Data set'!$H1118&lt;=7.5,"Diabetes",'Data set'!$H1118&gt;=7.5,"Uncontrolled")</f>
        <v>Normal</v>
      </c>
      <c r="P1118" s="3" t="str">
        <f>_xlfn.IFS('Data set'!$F1118&lt;120,"Low",'Data set'!$F1118&lt;=200,"Normal",'Data set'!$F1118&lt;=240,"Boarderline",'Data set'!$F1118&gt;=241,"High")</f>
        <v>Low</v>
      </c>
      <c r="Q1118" s="3" t="str">
        <f>_xlfn.IFS('Data set'!$D1118&lt;=18.5,"Low",'Data set'!$D1118&lt;=24.9,"Normal",'Data set'!$D1118&lt;=29.9,"High",'Data set'!$D1118&gt;29.9,"Very High")</f>
        <v>Very High</v>
      </c>
    </row>
    <row r="1119" spans="1:17" x14ac:dyDescent="0.25">
      <c r="A1119" s="5">
        <v>28</v>
      </c>
      <c r="B1119" s="5" t="s">
        <v>0</v>
      </c>
      <c r="C1119" s="6">
        <v>85.14</v>
      </c>
      <c r="D1119" s="6">
        <v>21.64</v>
      </c>
      <c r="E1119" s="5" t="s">
        <v>6</v>
      </c>
      <c r="F1119" s="5">
        <v>102</v>
      </c>
      <c r="G1119" s="5" t="s">
        <v>202</v>
      </c>
      <c r="H1119" s="6">
        <v>5.15</v>
      </c>
      <c r="I1119" s="5">
        <v>7</v>
      </c>
      <c r="J1119" s="5" t="s">
        <v>3</v>
      </c>
      <c r="K1119" s="5" t="s">
        <v>3</v>
      </c>
      <c r="L1119" s="5">
        <v>132</v>
      </c>
      <c r="M1119" s="5">
        <v>66</v>
      </c>
      <c r="N1119" s="5" t="s">
        <v>17</v>
      </c>
      <c r="O1119" s="5" t="str">
        <f>_xlfn.IFS('Data set'!$H1119&lt;5.7,"Normal",'Data set'!$H1119&lt;=6.4,"Prediabetes",'Data set'!$H1119&lt;=7.5,"Diabetes",'Data set'!$H1119&gt;=7.5,"Uncontrolled")</f>
        <v>Normal</v>
      </c>
      <c r="P1119" s="5" t="str">
        <f>_xlfn.IFS('Data set'!$F1119&lt;120,"Low",'Data set'!$F1119&lt;=200,"Normal",'Data set'!$F1119&lt;=240,"Boarderline",'Data set'!$F1119&gt;=241,"High")</f>
        <v>Low</v>
      </c>
      <c r="Q1119" s="5" t="str">
        <f>_xlfn.IFS('Data set'!$D1119&lt;=18.5,"Low",'Data set'!$D1119&lt;=24.9,"Normal",'Data set'!$D1119&lt;=29.9,"High",'Data set'!$D1119&gt;29.9,"Very High")</f>
        <v>Normal</v>
      </c>
    </row>
    <row r="1120" spans="1:17" x14ac:dyDescent="0.25">
      <c r="A1120" s="3">
        <v>22</v>
      </c>
      <c r="B1120" s="3" t="s">
        <v>0</v>
      </c>
      <c r="C1120" s="4">
        <v>290.69</v>
      </c>
      <c r="D1120" s="4">
        <v>32.119999999999997</v>
      </c>
      <c r="E1120" s="3" t="s">
        <v>1</v>
      </c>
      <c r="F1120" s="3">
        <v>236</v>
      </c>
      <c r="G1120" s="3" t="s">
        <v>816</v>
      </c>
      <c r="H1120" s="4">
        <v>8.8800000000000008</v>
      </c>
      <c r="I1120" s="3">
        <v>3</v>
      </c>
      <c r="J1120" s="3" t="s">
        <v>4</v>
      </c>
      <c r="K1120" s="3" t="s">
        <v>4</v>
      </c>
      <c r="L1120" s="3">
        <v>96</v>
      </c>
      <c r="M1120" s="3">
        <v>79</v>
      </c>
      <c r="N1120" s="3" t="s">
        <v>17</v>
      </c>
      <c r="O1120" s="3" t="str">
        <f>_xlfn.IFS('Data set'!$H1120&lt;5.7,"Normal",'Data set'!$H1120&lt;=6.4,"Prediabetes",'Data set'!$H1120&lt;=7.5,"Diabetes",'Data set'!$H1120&gt;=7.5,"Uncontrolled")</f>
        <v>Uncontrolled</v>
      </c>
      <c r="P1120" s="3" t="str">
        <f>_xlfn.IFS('Data set'!$F1120&lt;120,"Low",'Data set'!$F1120&lt;=200,"Normal",'Data set'!$F1120&lt;=240,"Boarderline",'Data set'!$F1120&gt;=241,"High")</f>
        <v>Boarderline</v>
      </c>
      <c r="Q1120" s="3" t="str">
        <f>_xlfn.IFS('Data set'!$D1120&lt;=18.5,"Low",'Data set'!$D1120&lt;=24.9,"Normal",'Data set'!$D1120&lt;=29.9,"High",'Data set'!$D1120&gt;29.9,"Very High")</f>
        <v>Very High</v>
      </c>
    </row>
    <row r="1121" spans="1:17" x14ac:dyDescent="0.25">
      <c r="A1121" s="5">
        <v>74</v>
      </c>
      <c r="B1121" s="5" t="s">
        <v>9</v>
      </c>
      <c r="C1121" s="6">
        <v>85.41</v>
      </c>
      <c r="D1121" s="6">
        <v>33.369999999999997</v>
      </c>
      <c r="E1121" s="5" t="s">
        <v>1</v>
      </c>
      <c r="F1121" s="5">
        <v>264</v>
      </c>
      <c r="G1121" s="5" t="s">
        <v>817</v>
      </c>
      <c r="H1121" s="6">
        <v>6.93</v>
      </c>
      <c r="I1121" s="5">
        <v>2</v>
      </c>
      <c r="J1121" s="5" t="s">
        <v>3</v>
      </c>
      <c r="K1121" s="5" t="s">
        <v>3</v>
      </c>
      <c r="L1121" s="5">
        <v>102</v>
      </c>
      <c r="M1121" s="5">
        <v>73</v>
      </c>
      <c r="N1121" s="5" t="s">
        <v>5</v>
      </c>
      <c r="O1121" s="5" t="str">
        <f>_xlfn.IFS('Data set'!$H1121&lt;5.7,"Normal",'Data set'!$H1121&lt;=6.4,"Prediabetes",'Data set'!$H1121&lt;=7.5,"Diabetes",'Data set'!$H1121&gt;=7.5,"Uncontrolled")</f>
        <v>Diabetes</v>
      </c>
      <c r="P1121" s="5" t="str">
        <f>_xlfn.IFS('Data set'!$F1121&lt;120,"Low",'Data set'!$F1121&lt;=200,"Normal",'Data set'!$F1121&lt;=240,"Boarderline",'Data set'!$F1121&gt;=241,"High")</f>
        <v>High</v>
      </c>
      <c r="Q1121" s="5" t="str">
        <f>_xlfn.IFS('Data set'!$D1121&lt;=18.5,"Low",'Data set'!$D1121&lt;=24.9,"Normal",'Data set'!$D1121&lt;=29.9,"High",'Data set'!$D1121&gt;29.9,"Very High")</f>
        <v>Very High</v>
      </c>
    </row>
    <row r="1122" spans="1:17" x14ac:dyDescent="0.25">
      <c r="A1122" s="3">
        <v>48</v>
      </c>
      <c r="B1122" s="3" t="s">
        <v>0</v>
      </c>
      <c r="C1122" s="4">
        <v>261.08999999999997</v>
      </c>
      <c r="D1122" s="4">
        <v>35.71</v>
      </c>
      <c r="E1122" s="3" t="s">
        <v>6</v>
      </c>
      <c r="F1122" s="3">
        <v>143</v>
      </c>
      <c r="G1122" s="3" t="s">
        <v>422</v>
      </c>
      <c r="H1122" s="4">
        <v>8.98</v>
      </c>
      <c r="I1122" s="3">
        <v>1</v>
      </c>
      <c r="J1122" s="3" t="s">
        <v>3</v>
      </c>
      <c r="K1122" s="3" t="s">
        <v>4</v>
      </c>
      <c r="L1122" s="3">
        <v>118</v>
      </c>
      <c r="M1122" s="3">
        <v>66</v>
      </c>
      <c r="N1122" s="3" t="s">
        <v>23</v>
      </c>
      <c r="O1122" s="3" t="str">
        <f>_xlfn.IFS('Data set'!$H1122&lt;5.7,"Normal",'Data set'!$H1122&lt;=6.4,"Prediabetes",'Data set'!$H1122&lt;=7.5,"Diabetes",'Data set'!$H1122&gt;=7.5,"Uncontrolled")</f>
        <v>Uncontrolled</v>
      </c>
      <c r="P1122" s="3" t="str">
        <f>_xlfn.IFS('Data set'!$F1122&lt;120,"Low",'Data set'!$F1122&lt;=200,"Normal",'Data set'!$F1122&lt;=240,"Boarderline",'Data set'!$F1122&gt;=241,"High")</f>
        <v>Normal</v>
      </c>
      <c r="Q1122" s="3" t="str">
        <f>_xlfn.IFS('Data set'!$D1122&lt;=18.5,"Low",'Data set'!$D1122&lt;=24.9,"Normal",'Data set'!$D1122&lt;=29.9,"High",'Data set'!$D1122&gt;29.9,"Very High")</f>
        <v>Very High</v>
      </c>
    </row>
    <row r="1123" spans="1:17" x14ac:dyDescent="0.25">
      <c r="A1123" s="5">
        <v>61</v>
      </c>
      <c r="B1123" s="5" t="s">
        <v>9</v>
      </c>
      <c r="C1123" s="6">
        <v>83.29</v>
      </c>
      <c r="D1123" s="6">
        <v>18.54</v>
      </c>
      <c r="E1123" s="5" t="s">
        <v>1</v>
      </c>
      <c r="F1123" s="5">
        <v>264</v>
      </c>
      <c r="G1123" s="5" t="s">
        <v>50</v>
      </c>
      <c r="H1123" s="6">
        <v>5.23</v>
      </c>
      <c r="I1123" s="5">
        <v>2</v>
      </c>
      <c r="J1123" s="5" t="s">
        <v>3</v>
      </c>
      <c r="K1123" s="5" t="s">
        <v>3</v>
      </c>
      <c r="L1123" s="5">
        <v>90</v>
      </c>
      <c r="M1123" s="5">
        <v>90</v>
      </c>
      <c r="N1123" s="5" t="s">
        <v>21</v>
      </c>
      <c r="O1123" s="5" t="str">
        <f>_xlfn.IFS('Data set'!$H1123&lt;5.7,"Normal",'Data set'!$H1123&lt;=6.4,"Prediabetes",'Data set'!$H1123&lt;=7.5,"Diabetes",'Data set'!$H1123&gt;=7.5,"Uncontrolled")</f>
        <v>Normal</v>
      </c>
      <c r="P1123" s="5" t="str">
        <f>_xlfn.IFS('Data set'!$F1123&lt;120,"Low",'Data set'!$F1123&lt;=200,"Normal",'Data set'!$F1123&lt;=240,"Boarderline",'Data set'!$F1123&gt;=241,"High")</f>
        <v>High</v>
      </c>
      <c r="Q1123" s="5" t="str">
        <f>_xlfn.IFS('Data set'!$D1123&lt;=18.5,"Low",'Data set'!$D1123&lt;=24.9,"Normal",'Data set'!$D1123&lt;=29.9,"High",'Data set'!$D1123&gt;29.9,"Very High")</f>
        <v>Normal</v>
      </c>
    </row>
    <row r="1124" spans="1:17" x14ac:dyDescent="0.25">
      <c r="A1124" s="3">
        <v>52</v>
      </c>
      <c r="B1124" s="3" t="s">
        <v>9</v>
      </c>
      <c r="C1124" s="4">
        <v>125.76</v>
      </c>
      <c r="D1124" s="4">
        <v>19.04</v>
      </c>
      <c r="E1124" s="3" t="s">
        <v>6</v>
      </c>
      <c r="F1124" s="3">
        <v>166</v>
      </c>
      <c r="G1124" s="3" t="s">
        <v>818</v>
      </c>
      <c r="H1124" s="4">
        <v>7.5</v>
      </c>
      <c r="I1124" s="3">
        <v>0</v>
      </c>
      <c r="J1124" s="3" t="s">
        <v>4</v>
      </c>
      <c r="K1124" s="3" t="s">
        <v>3</v>
      </c>
      <c r="L1124" s="3">
        <v>111</v>
      </c>
      <c r="M1124" s="3">
        <v>79</v>
      </c>
      <c r="N1124" s="3" t="s">
        <v>8</v>
      </c>
      <c r="O1124" s="3" t="str">
        <f>_xlfn.IFS('Data set'!$H1124&lt;5.7,"Normal",'Data set'!$H1124&lt;=6.4,"Prediabetes",'Data set'!$H1124&lt;=7.5,"Diabetes",'Data set'!$H1124&gt;=7.5,"Uncontrolled")</f>
        <v>Diabetes</v>
      </c>
      <c r="P1124" s="3" t="str">
        <f>_xlfn.IFS('Data set'!$F1124&lt;120,"Low",'Data set'!$F1124&lt;=200,"Normal",'Data set'!$F1124&lt;=240,"Boarderline",'Data set'!$F1124&gt;=241,"High")</f>
        <v>Normal</v>
      </c>
      <c r="Q1124" s="3" t="str">
        <f>_xlfn.IFS('Data set'!$D1124&lt;=18.5,"Low",'Data set'!$D1124&lt;=24.9,"Normal",'Data set'!$D1124&lt;=29.9,"High",'Data set'!$D1124&gt;29.9,"Very High")</f>
        <v>Normal</v>
      </c>
    </row>
    <row r="1125" spans="1:17" x14ac:dyDescent="0.25">
      <c r="A1125" s="5">
        <v>40</v>
      </c>
      <c r="B1125" s="5" t="s">
        <v>9</v>
      </c>
      <c r="C1125" s="6">
        <v>94.88</v>
      </c>
      <c r="D1125" s="6">
        <v>23.61</v>
      </c>
      <c r="E1125" s="5" t="s">
        <v>1</v>
      </c>
      <c r="F1125" s="5">
        <v>180</v>
      </c>
      <c r="G1125" s="5" t="s">
        <v>455</v>
      </c>
      <c r="H1125" s="6">
        <v>5.53</v>
      </c>
      <c r="I1125" s="5">
        <v>7</v>
      </c>
      <c r="J1125" s="5" t="s">
        <v>4</v>
      </c>
      <c r="K1125" s="5" t="s">
        <v>4</v>
      </c>
      <c r="L1125" s="5">
        <v>108</v>
      </c>
      <c r="M1125" s="5">
        <v>71</v>
      </c>
      <c r="N1125" s="5" t="s">
        <v>12</v>
      </c>
      <c r="O1125" s="5" t="str">
        <f>_xlfn.IFS('Data set'!$H1125&lt;5.7,"Normal",'Data set'!$H1125&lt;=6.4,"Prediabetes",'Data set'!$H1125&lt;=7.5,"Diabetes",'Data set'!$H1125&gt;=7.5,"Uncontrolled")</f>
        <v>Normal</v>
      </c>
      <c r="P1125" s="5" t="str">
        <f>_xlfn.IFS('Data set'!$F1125&lt;120,"Low",'Data set'!$F1125&lt;=200,"Normal",'Data set'!$F1125&lt;=240,"Boarderline",'Data set'!$F1125&gt;=241,"High")</f>
        <v>Normal</v>
      </c>
      <c r="Q1125" s="5" t="str">
        <f>_xlfn.IFS('Data set'!$D1125&lt;=18.5,"Low",'Data set'!$D1125&lt;=24.9,"Normal",'Data set'!$D1125&lt;=29.9,"High",'Data set'!$D1125&gt;29.9,"Very High")</f>
        <v>Normal</v>
      </c>
    </row>
    <row r="1126" spans="1:17" x14ac:dyDescent="0.25">
      <c r="A1126" s="3">
        <v>57</v>
      </c>
      <c r="B1126" s="3" t="s">
        <v>0</v>
      </c>
      <c r="C1126" s="4">
        <v>181.94</v>
      </c>
      <c r="D1126" s="4">
        <v>30.74</v>
      </c>
      <c r="E1126" s="3" t="s">
        <v>6</v>
      </c>
      <c r="F1126" s="3">
        <v>203</v>
      </c>
      <c r="G1126" s="3" t="s">
        <v>459</v>
      </c>
      <c r="H1126" s="4">
        <v>7.22</v>
      </c>
      <c r="I1126" s="3">
        <v>6</v>
      </c>
      <c r="J1126" s="3" t="s">
        <v>3</v>
      </c>
      <c r="K1126" s="3" t="s">
        <v>4</v>
      </c>
      <c r="L1126" s="3">
        <v>102</v>
      </c>
      <c r="M1126" s="3">
        <v>90</v>
      </c>
      <c r="N1126" s="3" t="s">
        <v>8</v>
      </c>
      <c r="O1126" s="3" t="str">
        <f>_xlfn.IFS('Data set'!$H1126&lt;5.7,"Normal",'Data set'!$H1126&lt;=6.4,"Prediabetes",'Data set'!$H1126&lt;=7.5,"Diabetes",'Data set'!$H1126&gt;=7.5,"Uncontrolled")</f>
        <v>Diabetes</v>
      </c>
      <c r="P1126" s="3" t="str">
        <f>_xlfn.IFS('Data set'!$F1126&lt;120,"Low",'Data set'!$F1126&lt;=200,"Normal",'Data set'!$F1126&lt;=240,"Boarderline",'Data set'!$F1126&gt;=241,"High")</f>
        <v>Boarderline</v>
      </c>
      <c r="Q1126" s="3" t="str">
        <f>_xlfn.IFS('Data set'!$D1126&lt;=18.5,"Low",'Data set'!$D1126&lt;=24.9,"Normal",'Data set'!$D1126&lt;=29.9,"High",'Data set'!$D1126&gt;29.9,"Very High")</f>
        <v>Very High</v>
      </c>
    </row>
    <row r="1127" spans="1:17" x14ac:dyDescent="0.25">
      <c r="A1127" s="5">
        <v>76</v>
      </c>
      <c r="B1127" s="5" t="s">
        <v>0</v>
      </c>
      <c r="C1127" s="6">
        <v>88.5</v>
      </c>
      <c r="D1127" s="6">
        <v>36.97</v>
      </c>
      <c r="E1127" s="5" t="s">
        <v>6</v>
      </c>
      <c r="F1127" s="5">
        <v>202</v>
      </c>
      <c r="G1127" s="5" t="s">
        <v>568</v>
      </c>
      <c r="H1127" s="6">
        <v>6.53</v>
      </c>
      <c r="I1127" s="5">
        <v>4</v>
      </c>
      <c r="J1127" s="5" t="s">
        <v>4</v>
      </c>
      <c r="K1127" s="5" t="s">
        <v>4</v>
      </c>
      <c r="L1127" s="5">
        <v>109</v>
      </c>
      <c r="M1127" s="5">
        <v>71</v>
      </c>
      <c r="N1127" s="5" t="s">
        <v>5</v>
      </c>
      <c r="O1127" s="5" t="str">
        <f>_xlfn.IFS('Data set'!$H1127&lt;5.7,"Normal",'Data set'!$H1127&lt;=6.4,"Prediabetes",'Data set'!$H1127&lt;=7.5,"Diabetes",'Data set'!$H1127&gt;=7.5,"Uncontrolled")</f>
        <v>Diabetes</v>
      </c>
      <c r="P1127" s="5" t="str">
        <f>_xlfn.IFS('Data set'!$F1127&lt;120,"Low",'Data set'!$F1127&lt;=200,"Normal",'Data set'!$F1127&lt;=240,"Boarderline",'Data set'!$F1127&gt;=241,"High")</f>
        <v>Boarderline</v>
      </c>
      <c r="Q1127" s="5" t="str">
        <f>_xlfn.IFS('Data set'!$D1127&lt;=18.5,"Low",'Data set'!$D1127&lt;=24.9,"Normal",'Data set'!$D1127&lt;=29.9,"High",'Data set'!$D1127&gt;29.9,"Very High")</f>
        <v>Very High</v>
      </c>
    </row>
    <row r="1128" spans="1:17" x14ac:dyDescent="0.25">
      <c r="A1128" s="3">
        <v>72</v>
      </c>
      <c r="B1128" s="3" t="s">
        <v>9</v>
      </c>
      <c r="C1128" s="4">
        <v>243.94</v>
      </c>
      <c r="D1128" s="4">
        <v>37.380000000000003</v>
      </c>
      <c r="E1128" s="3" t="s">
        <v>6</v>
      </c>
      <c r="F1128" s="3">
        <v>276</v>
      </c>
      <c r="G1128" s="3" t="s">
        <v>443</v>
      </c>
      <c r="H1128" s="4">
        <v>9.1999999999999993</v>
      </c>
      <c r="I1128" s="3">
        <v>0</v>
      </c>
      <c r="J1128" s="3" t="s">
        <v>4</v>
      </c>
      <c r="K1128" s="3" t="s">
        <v>4</v>
      </c>
      <c r="L1128" s="3">
        <v>95</v>
      </c>
      <c r="M1128" s="3">
        <v>83</v>
      </c>
      <c r="N1128" s="3" t="s">
        <v>5</v>
      </c>
      <c r="O1128" s="3" t="str">
        <f>_xlfn.IFS('Data set'!$H1128&lt;5.7,"Normal",'Data set'!$H1128&lt;=6.4,"Prediabetes",'Data set'!$H1128&lt;=7.5,"Diabetes",'Data set'!$H1128&gt;=7.5,"Uncontrolled")</f>
        <v>Uncontrolled</v>
      </c>
      <c r="P1128" s="3" t="str">
        <f>_xlfn.IFS('Data set'!$F1128&lt;120,"Low",'Data set'!$F1128&lt;=200,"Normal",'Data set'!$F1128&lt;=240,"Boarderline",'Data set'!$F1128&gt;=241,"High")</f>
        <v>High</v>
      </c>
      <c r="Q1128" s="3" t="str">
        <f>_xlfn.IFS('Data set'!$D1128&lt;=18.5,"Low",'Data set'!$D1128&lt;=24.9,"Normal",'Data set'!$D1128&lt;=29.9,"High",'Data set'!$D1128&gt;29.9,"Very High")</f>
        <v>Very High</v>
      </c>
    </row>
    <row r="1129" spans="1:17" x14ac:dyDescent="0.25">
      <c r="A1129" s="5">
        <v>27</v>
      </c>
      <c r="B1129" s="5" t="s">
        <v>0</v>
      </c>
      <c r="C1129" s="6">
        <v>75.739999999999995</v>
      </c>
      <c r="D1129" s="6">
        <v>18.91</v>
      </c>
      <c r="E1129" s="5" t="s">
        <v>6</v>
      </c>
      <c r="F1129" s="5">
        <v>238</v>
      </c>
      <c r="G1129" s="5" t="s">
        <v>415</v>
      </c>
      <c r="H1129" s="6">
        <v>4.16</v>
      </c>
      <c r="I1129" s="5">
        <v>1</v>
      </c>
      <c r="J1129" s="5" t="s">
        <v>3</v>
      </c>
      <c r="K1129" s="5" t="s">
        <v>3</v>
      </c>
      <c r="L1129" s="5">
        <v>126</v>
      </c>
      <c r="M1129" s="5">
        <v>87</v>
      </c>
      <c r="N1129" s="5" t="s">
        <v>17</v>
      </c>
      <c r="O1129" s="5" t="str">
        <f>_xlfn.IFS('Data set'!$H1129&lt;5.7,"Normal",'Data set'!$H1129&lt;=6.4,"Prediabetes",'Data set'!$H1129&lt;=7.5,"Diabetes",'Data set'!$H1129&gt;=7.5,"Uncontrolled")</f>
        <v>Normal</v>
      </c>
      <c r="P1129" s="5" t="str">
        <f>_xlfn.IFS('Data set'!$F1129&lt;120,"Low",'Data set'!$F1129&lt;=200,"Normal",'Data set'!$F1129&lt;=240,"Boarderline",'Data set'!$F1129&gt;=241,"High")</f>
        <v>Boarderline</v>
      </c>
      <c r="Q1129" s="5" t="str">
        <f>_xlfn.IFS('Data set'!$D1129&lt;=18.5,"Low",'Data set'!$D1129&lt;=24.9,"Normal",'Data set'!$D1129&lt;=29.9,"High",'Data set'!$D1129&gt;29.9,"Very High")</f>
        <v>Normal</v>
      </c>
    </row>
    <row r="1130" spans="1:17" x14ac:dyDescent="0.25">
      <c r="A1130" s="3">
        <v>76</v>
      </c>
      <c r="B1130" s="3" t="s">
        <v>9</v>
      </c>
      <c r="C1130" s="4">
        <v>132.19</v>
      </c>
      <c r="D1130" s="4">
        <v>29.52</v>
      </c>
      <c r="E1130" s="3" t="s">
        <v>14</v>
      </c>
      <c r="F1130" s="3">
        <v>178</v>
      </c>
      <c r="G1130" s="3" t="s">
        <v>396</v>
      </c>
      <c r="H1130" s="4">
        <v>9.94</v>
      </c>
      <c r="I1130" s="3">
        <v>3</v>
      </c>
      <c r="J1130" s="3" t="s">
        <v>3</v>
      </c>
      <c r="K1130" s="3" t="s">
        <v>4</v>
      </c>
      <c r="L1130" s="3">
        <v>122</v>
      </c>
      <c r="M1130" s="3">
        <v>83</v>
      </c>
      <c r="N1130" s="3" t="s">
        <v>5</v>
      </c>
      <c r="O1130" s="3" t="str">
        <f>_xlfn.IFS('Data set'!$H1130&lt;5.7,"Normal",'Data set'!$H1130&lt;=6.4,"Prediabetes",'Data set'!$H1130&lt;=7.5,"Diabetes",'Data set'!$H1130&gt;=7.5,"Uncontrolled")</f>
        <v>Uncontrolled</v>
      </c>
      <c r="P1130" s="3" t="str">
        <f>_xlfn.IFS('Data set'!$F1130&lt;120,"Low",'Data set'!$F1130&lt;=200,"Normal",'Data set'!$F1130&lt;=240,"Boarderline",'Data set'!$F1130&gt;=241,"High")</f>
        <v>Normal</v>
      </c>
      <c r="Q1130" s="3" t="str">
        <f>_xlfn.IFS('Data set'!$D1130&lt;=18.5,"Low",'Data set'!$D1130&lt;=24.9,"Normal",'Data set'!$D1130&lt;=29.9,"High",'Data set'!$D1130&gt;29.9,"Very High")</f>
        <v>High</v>
      </c>
    </row>
    <row r="1131" spans="1:17" x14ac:dyDescent="0.25">
      <c r="A1131" s="5">
        <v>48</v>
      </c>
      <c r="B1131" s="5" t="s">
        <v>9</v>
      </c>
      <c r="C1131" s="6">
        <v>251.38</v>
      </c>
      <c r="D1131" s="6">
        <v>39.200000000000003</v>
      </c>
      <c r="E1131" s="5" t="s">
        <v>6</v>
      </c>
      <c r="F1131" s="5">
        <v>172</v>
      </c>
      <c r="G1131" s="5" t="s">
        <v>819</v>
      </c>
      <c r="H1131" s="6">
        <v>7.77</v>
      </c>
      <c r="I1131" s="5">
        <v>7</v>
      </c>
      <c r="J1131" s="5" t="s">
        <v>3</v>
      </c>
      <c r="K1131" s="5" t="s">
        <v>4</v>
      </c>
      <c r="L1131" s="5">
        <v>125</v>
      </c>
      <c r="M1131" s="5">
        <v>65</v>
      </c>
      <c r="N1131" s="5" t="s">
        <v>23</v>
      </c>
      <c r="O1131" s="5" t="str">
        <f>_xlfn.IFS('Data set'!$H1131&lt;5.7,"Normal",'Data set'!$H1131&lt;=6.4,"Prediabetes",'Data set'!$H1131&lt;=7.5,"Diabetes",'Data set'!$H1131&gt;=7.5,"Uncontrolled")</f>
        <v>Uncontrolled</v>
      </c>
      <c r="P1131" s="5" t="str">
        <f>_xlfn.IFS('Data set'!$F1131&lt;120,"Low",'Data set'!$F1131&lt;=200,"Normal",'Data set'!$F1131&lt;=240,"Boarderline",'Data set'!$F1131&gt;=241,"High")</f>
        <v>Normal</v>
      </c>
      <c r="Q1131" s="5" t="str">
        <f>_xlfn.IFS('Data set'!$D1131&lt;=18.5,"Low",'Data set'!$D1131&lt;=24.9,"Normal",'Data set'!$D1131&lt;=29.9,"High",'Data set'!$D1131&gt;29.9,"Very High")</f>
        <v>Very High</v>
      </c>
    </row>
    <row r="1132" spans="1:17" x14ac:dyDescent="0.25">
      <c r="A1132" s="3">
        <v>68</v>
      </c>
      <c r="B1132" s="3" t="s">
        <v>0</v>
      </c>
      <c r="C1132" s="4">
        <v>274.31</v>
      </c>
      <c r="D1132" s="4">
        <v>32.729999999999997</v>
      </c>
      <c r="E1132" s="3" t="s">
        <v>1</v>
      </c>
      <c r="F1132" s="3">
        <v>168</v>
      </c>
      <c r="G1132" s="3" t="s">
        <v>622</v>
      </c>
      <c r="H1132" s="4">
        <v>4.05</v>
      </c>
      <c r="I1132" s="3">
        <v>2</v>
      </c>
      <c r="J1132" s="3" t="s">
        <v>3</v>
      </c>
      <c r="K1132" s="3" t="s">
        <v>3</v>
      </c>
      <c r="L1132" s="3">
        <v>129</v>
      </c>
      <c r="M1132" s="3">
        <v>77</v>
      </c>
      <c r="N1132" s="3" t="s">
        <v>21</v>
      </c>
      <c r="O1132" s="3" t="str">
        <f>_xlfn.IFS('Data set'!$H1132&lt;5.7,"Normal",'Data set'!$H1132&lt;=6.4,"Prediabetes",'Data set'!$H1132&lt;=7.5,"Diabetes",'Data set'!$H1132&gt;=7.5,"Uncontrolled")</f>
        <v>Normal</v>
      </c>
      <c r="P1132" s="3" t="str">
        <f>_xlfn.IFS('Data set'!$F1132&lt;120,"Low",'Data set'!$F1132&lt;=200,"Normal",'Data set'!$F1132&lt;=240,"Boarderline",'Data set'!$F1132&gt;=241,"High")</f>
        <v>Normal</v>
      </c>
      <c r="Q1132" s="3" t="str">
        <f>_xlfn.IFS('Data set'!$D1132&lt;=18.5,"Low",'Data set'!$D1132&lt;=24.9,"Normal",'Data set'!$D1132&lt;=29.9,"High",'Data set'!$D1132&gt;29.9,"Very High")</f>
        <v>Very High</v>
      </c>
    </row>
    <row r="1133" spans="1:17" x14ac:dyDescent="0.25">
      <c r="A1133" s="5">
        <v>68</v>
      </c>
      <c r="B1133" s="5" t="s">
        <v>9</v>
      </c>
      <c r="C1133" s="6">
        <v>209.12</v>
      </c>
      <c r="D1133" s="6">
        <v>29.88</v>
      </c>
      <c r="E1133" s="5" t="s">
        <v>6</v>
      </c>
      <c r="F1133" s="5">
        <v>156</v>
      </c>
      <c r="G1133" s="5" t="s">
        <v>820</v>
      </c>
      <c r="H1133" s="6">
        <v>5.0599999999999996</v>
      </c>
      <c r="I1133" s="5">
        <v>5</v>
      </c>
      <c r="J1133" s="5" t="s">
        <v>4</v>
      </c>
      <c r="K1133" s="5" t="s">
        <v>3</v>
      </c>
      <c r="L1133" s="5">
        <v>92</v>
      </c>
      <c r="M1133" s="5">
        <v>62</v>
      </c>
      <c r="N1133" s="5" t="s">
        <v>21</v>
      </c>
      <c r="O1133" s="5" t="str">
        <f>_xlfn.IFS('Data set'!$H1133&lt;5.7,"Normal",'Data set'!$H1133&lt;=6.4,"Prediabetes",'Data set'!$H1133&lt;=7.5,"Diabetes",'Data set'!$H1133&gt;=7.5,"Uncontrolled")</f>
        <v>Normal</v>
      </c>
      <c r="P1133" s="5" t="str">
        <f>_xlfn.IFS('Data set'!$F1133&lt;120,"Low",'Data set'!$F1133&lt;=200,"Normal",'Data set'!$F1133&lt;=240,"Boarderline",'Data set'!$F1133&gt;=241,"High")</f>
        <v>Normal</v>
      </c>
      <c r="Q1133" s="5" t="str">
        <f>_xlfn.IFS('Data set'!$D1133&lt;=18.5,"Low",'Data set'!$D1133&lt;=24.9,"Normal",'Data set'!$D1133&lt;=29.9,"High",'Data set'!$D1133&gt;29.9,"Very High")</f>
        <v>High</v>
      </c>
    </row>
    <row r="1134" spans="1:17" x14ac:dyDescent="0.25">
      <c r="A1134" s="3">
        <v>45</v>
      </c>
      <c r="B1134" s="3" t="s">
        <v>9</v>
      </c>
      <c r="C1134" s="4">
        <v>72.45</v>
      </c>
      <c r="D1134" s="4">
        <v>22.55</v>
      </c>
      <c r="E1134" s="3" t="s">
        <v>1</v>
      </c>
      <c r="F1134" s="3">
        <v>143</v>
      </c>
      <c r="G1134" s="3" t="s">
        <v>449</v>
      </c>
      <c r="H1134" s="4">
        <v>4.51</v>
      </c>
      <c r="I1134" s="3">
        <v>4</v>
      </c>
      <c r="J1134" s="3" t="s">
        <v>3</v>
      </c>
      <c r="K1134" s="3" t="s">
        <v>3</v>
      </c>
      <c r="L1134" s="3">
        <v>124</v>
      </c>
      <c r="M1134" s="3">
        <v>74</v>
      </c>
      <c r="N1134" s="3" t="s">
        <v>23</v>
      </c>
      <c r="O1134" s="3" t="str">
        <f>_xlfn.IFS('Data set'!$H1134&lt;5.7,"Normal",'Data set'!$H1134&lt;=6.4,"Prediabetes",'Data set'!$H1134&lt;=7.5,"Diabetes",'Data set'!$H1134&gt;=7.5,"Uncontrolled")</f>
        <v>Normal</v>
      </c>
      <c r="P1134" s="3" t="str">
        <f>_xlfn.IFS('Data set'!$F1134&lt;120,"Low",'Data set'!$F1134&lt;=200,"Normal",'Data set'!$F1134&lt;=240,"Boarderline",'Data set'!$F1134&gt;=241,"High")</f>
        <v>Normal</v>
      </c>
      <c r="Q1134" s="3" t="str">
        <f>_xlfn.IFS('Data set'!$D1134&lt;=18.5,"Low",'Data set'!$D1134&lt;=24.9,"Normal",'Data set'!$D1134&lt;=29.9,"High",'Data set'!$D1134&gt;29.9,"Very High")</f>
        <v>Normal</v>
      </c>
    </row>
    <row r="1135" spans="1:17" x14ac:dyDescent="0.25">
      <c r="A1135" s="5">
        <v>64</v>
      </c>
      <c r="B1135" s="5" t="s">
        <v>0</v>
      </c>
      <c r="C1135" s="6">
        <v>136.65</v>
      </c>
      <c r="D1135" s="6">
        <v>22.34</v>
      </c>
      <c r="E1135" s="5" t="s">
        <v>6</v>
      </c>
      <c r="F1135" s="5">
        <v>223</v>
      </c>
      <c r="G1135" s="5" t="s">
        <v>53</v>
      </c>
      <c r="H1135" s="6">
        <v>5.29</v>
      </c>
      <c r="I1135" s="5">
        <v>7</v>
      </c>
      <c r="J1135" s="5" t="s">
        <v>4</v>
      </c>
      <c r="K1135" s="5" t="s">
        <v>3</v>
      </c>
      <c r="L1135" s="5">
        <v>90</v>
      </c>
      <c r="M1135" s="5">
        <v>79</v>
      </c>
      <c r="N1135" s="5" t="s">
        <v>21</v>
      </c>
      <c r="O1135" s="5" t="str">
        <f>_xlfn.IFS('Data set'!$H1135&lt;5.7,"Normal",'Data set'!$H1135&lt;=6.4,"Prediabetes",'Data set'!$H1135&lt;=7.5,"Diabetes",'Data set'!$H1135&gt;=7.5,"Uncontrolled")</f>
        <v>Normal</v>
      </c>
      <c r="P1135" s="5" t="str">
        <f>_xlfn.IFS('Data set'!$F1135&lt;120,"Low",'Data set'!$F1135&lt;=200,"Normal",'Data set'!$F1135&lt;=240,"Boarderline",'Data set'!$F1135&gt;=241,"High")</f>
        <v>Boarderline</v>
      </c>
      <c r="Q1135" s="5" t="str">
        <f>_xlfn.IFS('Data set'!$D1135&lt;=18.5,"Low",'Data set'!$D1135&lt;=24.9,"Normal",'Data set'!$D1135&lt;=29.9,"High",'Data set'!$D1135&gt;29.9,"Very High")</f>
        <v>Normal</v>
      </c>
    </row>
    <row r="1136" spans="1:17" x14ac:dyDescent="0.25">
      <c r="A1136" s="3">
        <v>39</v>
      </c>
      <c r="B1136" s="3" t="s">
        <v>0</v>
      </c>
      <c r="C1136" s="4">
        <v>161.18</v>
      </c>
      <c r="D1136" s="4">
        <v>37.869999999999997</v>
      </c>
      <c r="E1136" s="3" t="s">
        <v>6</v>
      </c>
      <c r="F1136" s="3">
        <v>179</v>
      </c>
      <c r="G1136" s="3" t="s">
        <v>821</v>
      </c>
      <c r="H1136" s="4">
        <v>6.73</v>
      </c>
      <c r="I1136" s="3">
        <v>0</v>
      </c>
      <c r="J1136" s="3" t="s">
        <v>3</v>
      </c>
      <c r="K1136" s="3" t="s">
        <v>4</v>
      </c>
      <c r="L1136" s="3">
        <v>94</v>
      </c>
      <c r="M1136" s="3">
        <v>78</v>
      </c>
      <c r="N1136" s="3" t="s">
        <v>12</v>
      </c>
      <c r="O1136" s="3" t="str">
        <f>_xlfn.IFS('Data set'!$H1136&lt;5.7,"Normal",'Data set'!$H1136&lt;=6.4,"Prediabetes",'Data set'!$H1136&lt;=7.5,"Diabetes",'Data set'!$H1136&gt;=7.5,"Uncontrolled")</f>
        <v>Diabetes</v>
      </c>
      <c r="P1136" s="3" t="str">
        <f>_xlfn.IFS('Data set'!$F1136&lt;120,"Low",'Data set'!$F1136&lt;=200,"Normal",'Data set'!$F1136&lt;=240,"Boarderline",'Data set'!$F1136&gt;=241,"High")</f>
        <v>Normal</v>
      </c>
      <c r="Q1136" s="3" t="str">
        <f>_xlfn.IFS('Data set'!$D1136&lt;=18.5,"Low",'Data set'!$D1136&lt;=24.9,"Normal",'Data set'!$D1136&lt;=29.9,"High",'Data set'!$D1136&gt;29.9,"Very High")</f>
        <v>Very High</v>
      </c>
    </row>
    <row r="1137" spans="1:17" x14ac:dyDescent="0.25">
      <c r="A1137" s="5">
        <v>71</v>
      </c>
      <c r="B1137" s="5" t="s">
        <v>0</v>
      </c>
      <c r="C1137" s="6">
        <v>259.27999999999997</v>
      </c>
      <c r="D1137" s="6">
        <v>27.9</v>
      </c>
      <c r="E1137" s="5" t="s">
        <v>14</v>
      </c>
      <c r="F1137" s="5">
        <v>130</v>
      </c>
      <c r="G1137" s="5" t="s">
        <v>822</v>
      </c>
      <c r="H1137" s="6">
        <v>6.21</v>
      </c>
      <c r="I1137" s="5">
        <v>2</v>
      </c>
      <c r="J1137" s="5" t="s">
        <v>4</v>
      </c>
      <c r="K1137" s="5" t="s">
        <v>4</v>
      </c>
      <c r="L1137" s="5">
        <v>132</v>
      </c>
      <c r="M1137" s="5">
        <v>76</v>
      </c>
      <c r="N1137" s="5" t="s">
        <v>5</v>
      </c>
      <c r="O1137" s="5" t="str">
        <f>_xlfn.IFS('Data set'!$H1137&lt;5.7,"Normal",'Data set'!$H1137&lt;=6.4,"Prediabetes",'Data set'!$H1137&lt;=7.5,"Diabetes",'Data set'!$H1137&gt;=7.5,"Uncontrolled")</f>
        <v>Prediabetes</v>
      </c>
      <c r="P1137" s="5" t="str">
        <f>_xlfn.IFS('Data set'!$F1137&lt;120,"Low",'Data set'!$F1137&lt;=200,"Normal",'Data set'!$F1137&lt;=240,"Boarderline",'Data set'!$F1137&gt;=241,"High")</f>
        <v>Normal</v>
      </c>
      <c r="Q1137" s="5" t="str">
        <f>_xlfn.IFS('Data set'!$D1137&lt;=18.5,"Low",'Data set'!$D1137&lt;=24.9,"Normal",'Data set'!$D1137&lt;=29.9,"High",'Data set'!$D1137&gt;29.9,"Very High")</f>
        <v>High</v>
      </c>
    </row>
    <row r="1138" spans="1:17" x14ac:dyDescent="0.25">
      <c r="A1138" s="3">
        <v>25</v>
      </c>
      <c r="B1138" s="3" t="s">
        <v>9</v>
      </c>
      <c r="C1138" s="4">
        <v>117.66</v>
      </c>
      <c r="D1138" s="4">
        <v>18.57</v>
      </c>
      <c r="E1138" s="3" t="s">
        <v>10</v>
      </c>
      <c r="F1138" s="3">
        <v>226</v>
      </c>
      <c r="G1138" s="3" t="s">
        <v>823</v>
      </c>
      <c r="H1138" s="4">
        <v>8.82</v>
      </c>
      <c r="I1138" s="3">
        <v>0</v>
      </c>
      <c r="J1138" s="3" t="s">
        <v>4</v>
      </c>
      <c r="K1138" s="3" t="s">
        <v>3</v>
      </c>
      <c r="L1138" s="3">
        <v>92</v>
      </c>
      <c r="M1138" s="3">
        <v>73</v>
      </c>
      <c r="N1138" s="3" t="s">
        <v>17</v>
      </c>
      <c r="O1138" s="3" t="str">
        <f>_xlfn.IFS('Data set'!$H1138&lt;5.7,"Normal",'Data set'!$H1138&lt;=6.4,"Prediabetes",'Data set'!$H1138&lt;=7.5,"Diabetes",'Data set'!$H1138&gt;=7.5,"Uncontrolled")</f>
        <v>Uncontrolled</v>
      </c>
      <c r="P1138" s="3" t="str">
        <f>_xlfn.IFS('Data set'!$F1138&lt;120,"Low",'Data set'!$F1138&lt;=200,"Normal",'Data set'!$F1138&lt;=240,"Boarderline",'Data set'!$F1138&gt;=241,"High")</f>
        <v>Boarderline</v>
      </c>
      <c r="Q1138" s="3" t="str">
        <f>_xlfn.IFS('Data set'!$D1138&lt;=18.5,"Low",'Data set'!$D1138&lt;=24.9,"Normal",'Data set'!$D1138&lt;=29.9,"High",'Data set'!$D1138&gt;29.9,"Very High")</f>
        <v>Normal</v>
      </c>
    </row>
    <row r="1139" spans="1:17" x14ac:dyDescent="0.25">
      <c r="A1139" s="5">
        <v>56</v>
      </c>
      <c r="B1139" s="5" t="s">
        <v>0</v>
      </c>
      <c r="C1139" s="6">
        <v>171.38</v>
      </c>
      <c r="D1139" s="6">
        <v>21.18</v>
      </c>
      <c r="E1139" s="5" t="s">
        <v>6</v>
      </c>
      <c r="F1139" s="5">
        <v>155</v>
      </c>
      <c r="G1139" s="5" t="s">
        <v>824</v>
      </c>
      <c r="H1139" s="6">
        <v>6.49</v>
      </c>
      <c r="I1139" s="5">
        <v>2</v>
      </c>
      <c r="J1139" s="5" t="s">
        <v>3</v>
      </c>
      <c r="K1139" s="5" t="s">
        <v>3</v>
      </c>
      <c r="L1139" s="5">
        <v>121</v>
      </c>
      <c r="M1139" s="5">
        <v>78</v>
      </c>
      <c r="N1139" s="5" t="s">
        <v>8</v>
      </c>
      <c r="O1139" s="5" t="str">
        <f>_xlfn.IFS('Data set'!$H1139&lt;5.7,"Normal",'Data set'!$H1139&lt;=6.4,"Prediabetes",'Data set'!$H1139&lt;=7.5,"Diabetes",'Data set'!$H1139&gt;=7.5,"Uncontrolled")</f>
        <v>Diabetes</v>
      </c>
      <c r="P1139" s="5" t="str">
        <f>_xlfn.IFS('Data set'!$F1139&lt;120,"Low",'Data set'!$F1139&lt;=200,"Normal",'Data set'!$F1139&lt;=240,"Boarderline",'Data set'!$F1139&gt;=241,"High")</f>
        <v>Normal</v>
      </c>
      <c r="Q1139" s="5" t="str">
        <f>_xlfn.IFS('Data set'!$D1139&lt;=18.5,"Low",'Data set'!$D1139&lt;=24.9,"Normal",'Data set'!$D1139&lt;=29.9,"High",'Data set'!$D1139&gt;29.9,"Very High")</f>
        <v>Normal</v>
      </c>
    </row>
    <row r="1140" spans="1:17" x14ac:dyDescent="0.25">
      <c r="A1140" s="3">
        <v>35</v>
      </c>
      <c r="B1140" s="3" t="s">
        <v>9</v>
      </c>
      <c r="C1140" s="4">
        <v>140.01</v>
      </c>
      <c r="D1140" s="4">
        <v>26.67</v>
      </c>
      <c r="E1140" s="3" t="s">
        <v>14</v>
      </c>
      <c r="F1140" s="3">
        <v>240</v>
      </c>
      <c r="G1140" s="3" t="s">
        <v>181</v>
      </c>
      <c r="H1140" s="4">
        <v>4.43</v>
      </c>
      <c r="I1140" s="3">
        <v>2</v>
      </c>
      <c r="J1140" s="3" t="s">
        <v>3</v>
      </c>
      <c r="K1140" s="3" t="s">
        <v>4</v>
      </c>
      <c r="L1140" s="3">
        <v>104</v>
      </c>
      <c r="M1140" s="3">
        <v>79</v>
      </c>
      <c r="N1140" s="3" t="s">
        <v>12</v>
      </c>
      <c r="O1140" s="3" t="str">
        <f>_xlfn.IFS('Data set'!$H1140&lt;5.7,"Normal",'Data set'!$H1140&lt;=6.4,"Prediabetes",'Data set'!$H1140&lt;=7.5,"Diabetes",'Data set'!$H1140&gt;=7.5,"Uncontrolled")</f>
        <v>Normal</v>
      </c>
      <c r="P1140" s="3" t="str">
        <f>_xlfn.IFS('Data set'!$F1140&lt;120,"Low",'Data set'!$F1140&lt;=200,"Normal",'Data set'!$F1140&lt;=240,"Boarderline",'Data set'!$F1140&gt;=241,"High")</f>
        <v>Boarderline</v>
      </c>
      <c r="Q1140" s="3" t="str">
        <f>_xlfn.IFS('Data set'!$D1140&lt;=18.5,"Low",'Data set'!$D1140&lt;=24.9,"Normal",'Data set'!$D1140&lt;=29.9,"High",'Data set'!$D1140&gt;29.9,"Very High")</f>
        <v>High</v>
      </c>
    </row>
    <row r="1141" spans="1:17" x14ac:dyDescent="0.25">
      <c r="A1141" s="5">
        <v>55</v>
      </c>
      <c r="B1141" s="5" t="s">
        <v>9</v>
      </c>
      <c r="C1141" s="6">
        <v>182.8</v>
      </c>
      <c r="D1141" s="6">
        <v>29.6</v>
      </c>
      <c r="E1141" s="5" t="s">
        <v>10</v>
      </c>
      <c r="F1141" s="5">
        <v>125</v>
      </c>
      <c r="G1141" s="5" t="s">
        <v>295</v>
      </c>
      <c r="H1141" s="6">
        <v>9.73</v>
      </c>
      <c r="I1141" s="5">
        <v>4</v>
      </c>
      <c r="J1141" s="5" t="s">
        <v>3</v>
      </c>
      <c r="K1141" s="5" t="s">
        <v>3</v>
      </c>
      <c r="L1141" s="5">
        <v>129</v>
      </c>
      <c r="M1141" s="5">
        <v>63</v>
      </c>
      <c r="N1141" s="5" t="s">
        <v>8</v>
      </c>
      <c r="O1141" s="5" t="str">
        <f>_xlfn.IFS('Data set'!$H1141&lt;5.7,"Normal",'Data set'!$H1141&lt;=6.4,"Prediabetes",'Data set'!$H1141&lt;=7.5,"Diabetes",'Data set'!$H1141&gt;=7.5,"Uncontrolled")</f>
        <v>Uncontrolled</v>
      </c>
      <c r="P1141" s="5" t="str">
        <f>_xlfn.IFS('Data set'!$F1141&lt;120,"Low",'Data set'!$F1141&lt;=200,"Normal",'Data set'!$F1141&lt;=240,"Boarderline",'Data set'!$F1141&gt;=241,"High")</f>
        <v>Normal</v>
      </c>
      <c r="Q1141" s="5" t="str">
        <f>_xlfn.IFS('Data set'!$D1141&lt;=18.5,"Low",'Data set'!$D1141&lt;=24.9,"Normal",'Data set'!$D1141&lt;=29.9,"High",'Data set'!$D1141&gt;29.9,"Very High")</f>
        <v>High</v>
      </c>
    </row>
    <row r="1142" spans="1:17" x14ac:dyDescent="0.25">
      <c r="A1142" s="3">
        <v>76</v>
      </c>
      <c r="B1142" s="3" t="s">
        <v>0</v>
      </c>
      <c r="C1142" s="4">
        <v>111.11</v>
      </c>
      <c r="D1142" s="4">
        <v>20.28</v>
      </c>
      <c r="E1142" s="3" t="s">
        <v>14</v>
      </c>
      <c r="F1142" s="3">
        <v>192</v>
      </c>
      <c r="G1142" s="3" t="s">
        <v>825</v>
      </c>
      <c r="H1142" s="4">
        <v>7.41</v>
      </c>
      <c r="I1142" s="3">
        <v>7</v>
      </c>
      <c r="J1142" s="3" t="s">
        <v>4</v>
      </c>
      <c r="K1142" s="3" t="s">
        <v>4</v>
      </c>
      <c r="L1142" s="3">
        <v>116</v>
      </c>
      <c r="M1142" s="3">
        <v>81</v>
      </c>
      <c r="N1142" s="3" t="s">
        <v>5</v>
      </c>
      <c r="O1142" s="3" t="str">
        <f>_xlfn.IFS('Data set'!$H1142&lt;5.7,"Normal",'Data set'!$H1142&lt;=6.4,"Prediabetes",'Data set'!$H1142&lt;=7.5,"Diabetes",'Data set'!$H1142&gt;=7.5,"Uncontrolled")</f>
        <v>Diabetes</v>
      </c>
      <c r="P1142" s="3" t="str">
        <f>_xlfn.IFS('Data set'!$F1142&lt;120,"Low",'Data set'!$F1142&lt;=200,"Normal",'Data set'!$F1142&lt;=240,"Boarderline",'Data set'!$F1142&gt;=241,"High")</f>
        <v>Normal</v>
      </c>
      <c r="Q1142" s="3" t="str">
        <f>_xlfn.IFS('Data set'!$D1142&lt;=18.5,"Low",'Data set'!$D1142&lt;=24.9,"Normal",'Data set'!$D1142&lt;=29.9,"High",'Data set'!$D1142&gt;29.9,"Very High")</f>
        <v>Normal</v>
      </c>
    </row>
    <row r="1143" spans="1:17" x14ac:dyDescent="0.25">
      <c r="A1143" s="5">
        <v>23</v>
      </c>
      <c r="B1143" s="5" t="s">
        <v>0</v>
      </c>
      <c r="C1143" s="6">
        <v>164.51</v>
      </c>
      <c r="D1143" s="6">
        <v>35.53</v>
      </c>
      <c r="E1143" s="5" t="s">
        <v>14</v>
      </c>
      <c r="F1143" s="5">
        <v>249</v>
      </c>
      <c r="G1143" s="5" t="s">
        <v>140</v>
      </c>
      <c r="H1143" s="6">
        <v>8.51</v>
      </c>
      <c r="I1143" s="5">
        <v>6</v>
      </c>
      <c r="J1143" s="5" t="s">
        <v>3</v>
      </c>
      <c r="K1143" s="5" t="s">
        <v>4</v>
      </c>
      <c r="L1143" s="5">
        <v>93</v>
      </c>
      <c r="M1143" s="5">
        <v>73</v>
      </c>
      <c r="N1143" s="5" t="s">
        <v>17</v>
      </c>
      <c r="O1143" s="5" t="str">
        <f>_xlfn.IFS('Data set'!$H1143&lt;5.7,"Normal",'Data set'!$H1143&lt;=6.4,"Prediabetes",'Data set'!$H1143&lt;=7.5,"Diabetes",'Data set'!$H1143&gt;=7.5,"Uncontrolled")</f>
        <v>Uncontrolled</v>
      </c>
      <c r="P1143" s="5" t="str">
        <f>_xlfn.IFS('Data set'!$F1143&lt;120,"Low",'Data set'!$F1143&lt;=200,"Normal",'Data set'!$F1143&lt;=240,"Boarderline",'Data set'!$F1143&gt;=241,"High")</f>
        <v>High</v>
      </c>
      <c r="Q1143" s="5" t="str">
        <f>_xlfn.IFS('Data set'!$D1143&lt;=18.5,"Low",'Data set'!$D1143&lt;=24.9,"Normal",'Data set'!$D1143&lt;=29.9,"High",'Data set'!$D1143&gt;29.9,"Very High")</f>
        <v>Very High</v>
      </c>
    </row>
    <row r="1144" spans="1:17" x14ac:dyDescent="0.25">
      <c r="A1144" s="3">
        <v>62</v>
      </c>
      <c r="B1144" s="3" t="s">
        <v>9</v>
      </c>
      <c r="C1144" s="4">
        <v>89.67</v>
      </c>
      <c r="D1144" s="4">
        <v>26.79</v>
      </c>
      <c r="E1144" s="3" t="s">
        <v>14</v>
      </c>
      <c r="F1144" s="3">
        <v>251</v>
      </c>
      <c r="G1144" s="3" t="s">
        <v>46</v>
      </c>
      <c r="H1144" s="4">
        <v>4.37</v>
      </c>
      <c r="I1144" s="3">
        <v>0</v>
      </c>
      <c r="J1144" s="3" t="s">
        <v>4</v>
      </c>
      <c r="K1144" s="3" t="s">
        <v>3</v>
      </c>
      <c r="L1144" s="3">
        <v>99</v>
      </c>
      <c r="M1144" s="3">
        <v>90</v>
      </c>
      <c r="N1144" s="3" t="s">
        <v>21</v>
      </c>
      <c r="O1144" s="3" t="str">
        <f>_xlfn.IFS('Data set'!$H1144&lt;5.7,"Normal",'Data set'!$H1144&lt;=6.4,"Prediabetes",'Data set'!$H1144&lt;=7.5,"Diabetes",'Data set'!$H1144&gt;=7.5,"Uncontrolled")</f>
        <v>Normal</v>
      </c>
      <c r="P1144" s="3" t="str">
        <f>_xlfn.IFS('Data set'!$F1144&lt;120,"Low",'Data set'!$F1144&lt;=200,"Normal",'Data set'!$F1144&lt;=240,"Boarderline",'Data set'!$F1144&gt;=241,"High")</f>
        <v>High</v>
      </c>
      <c r="Q1144" s="3" t="str">
        <f>_xlfn.IFS('Data set'!$D1144&lt;=18.5,"Low",'Data set'!$D1144&lt;=24.9,"Normal",'Data set'!$D1144&lt;=29.9,"High",'Data set'!$D1144&gt;29.9,"Very High")</f>
        <v>High</v>
      </c>
    </row>
    <row r="1145" spans="1:17" x14ac:dyDescent="0.25">
      <c r="A1145" s="5">
        <v>60</v>
      </c>
      <c r="B1145" s="5" t="s">
        <v>9</v>
      </c>
      <c r="C1145" s="6">
        <v>295.16000000000003</v>
      </c>
      <c r="D1145" s="6">
        <v>26.72</v>
      </c>
      <c r="E1145" s="5" t="s">
        <v>10</v>
      </c>
      <c r="F1145" s="5">
        <v>170</v>
      </c>
      <c r="G1145" s="5" t="s">
        <v>772</v>
      </c>
      <c r="H1145" s="6">
        <v>7.49</v>
      </c>
      <c r="I1145" s="5">
        <v>1</v>
      </c>
      <c r="J1145" s="5" t="s">
        <v>4</v>
      </c>
      <c r="K1145" s="5" t="s">
        <v>3</v>
      </c>
      <c r="L1145" s="5">
        <v>94</v>
      </c>
      <c r="M1145" s="5">
        <v>79</v>
      </c>
      <c r="N1145" s="5" t="s">
        <v>8</v>
      </c>
      <c r="O1145" s="5" t="str">
        <f>_xlfn.IFS('Data set'!$H1145&lt;5.7,"Normal",'Data set'!$H1145&lt;=6.4,"Prediabetes",'Data set'!$H1145&lt;=7.5,"Diabetes",'Data set'!$H1145&gt;=7.5,"Uncontrolled")</f>
        <v>Diabetes</v>
      </c>
      <c r="P1145" s="5" t="str">
        <f>_xlfn.IFS('Data set'!$F1145&lt;120,"Low",'Data set'!$F1145&lt;=200,"Normal",'Data set'!$F1145&lt;=240,"Boarderline",'Data set'!$F1145&gt;=241,"High")</f>
        <v>Normal</v>
      </c>
      <c r="Q1145" s="5" t="str">
        <f>_xlfn.IFS('Data set'!$D1145&lt;=18.5,"Low",'Data set'!$D1145&lt;=24.9,"Normal",'Data set'!$D1145&lt;=29.9,"High",'Data set'!$D1145&gt;29.9,"Very High")</f>
        <v>High</v>
      </c>
    </row>
    <row r="1146" spans="1:17" x14ac:dyDescent="0.25">
      <c r="A1146" s="3">
        <v>70</v>
      </c>
      <c r="B1146" s="3" t="s">
        <v>9</v>
      </c>
      <c r="C1146" s="4">
        <v>277.33</v>
      </c>
      <c r="D1146" s="4">
        <v>30.94</v>
      </c>
      <c r="E1146" s="3" t="s">
        <v>14</v>
      </c>
      <c r="F1146" s="3">
        <v>266</v>
      </c>
      <c r="G1146" s="3" t="s">
        <v>826</v>
      </c>
      <c r="H1146" s="4">
        <v>7.51</v>
      </c>
      <c r="I1146" s="3">
        <v>5</v>
      </c>
      <c r="J1146" s="3" t="s">
        <v>3</v>
      </c>
      <c r="K1146" s="3" t="s">
        <v>3</v>
      </c>
      <c r="L1146" s="3">
        <v>99</v>
      </c>
      <c r="M1146" s="3">
        <v>75</v>
      </c>
      <c r="N1146" s="3" t="s">
        <v>21</v>
      </c>
      <c r="O1146" s="3" t="str">
        <f>_xlfn.IFS('Data set'!$H1146&lt;5.7,"Normal",'Data set'!$H1146&lt;=6.4,"Prediabetes",'Data set'!$H1146&lt;=7.5,"Diabetes",'Data set'!$H1146&gt;=7.5,"Uncontrolled")</f>
        <v>Uncontrolled</v>
      </c>
      <c r="P1146" s="3" t="str">
        <f>_xlfn.IFS('Data set'!$F1146&lt;120,"Low",'Data set'!$F1146&lt;=200,"Normal",'Data set'!$F1146&lt;=240,"Boarderline",'Data set'!$F1146&gt;=241,"High")</f>
        <v>High</v>
      </c>
      <c r="Q1146" s="3" t="str">
        <f>_xlfn.IFS('Data set'!$D1146&lt;=18.5,"Low",'Data set'!$D1146&lt;=24.9,"Normal",'Data set'!$D1146&lt;=29.9,"High",'Data set'!$D1146&gt;29.9,"Very High")</f>
        <v>Very High</v>
      </c>
    </row>
    <row r="1147" spans="1:17" x14ac:dyDescent="0.25">
      <c r="A1147" s="5">
        <v>36</v>
      </c>
      <c r="B1147" s="5" t="s">
        <v>9</v>
      </c>
      <c r="C1147" s="6">
        <v>203.69</v>
      </c>
      <c r="D1147" s="6">
        <v>32.43</v>
      </c>
      <c r="E1147" s="5" t="s">
        <v>6</v>
      </c>
      <c r="F1147" s="5">
        <v>224</v>
      </c>
      <c r="G1147" s="5" t="s">
        <v>771</v>
      </c>
      <c r="H1147" s="6">
        <v>8.3000000000000007</v>
      </c>
      <c r="I1147" s="5">
        <v>4</v>
      </c>
      <c r="J1147" s="5" t="s">
        <v>4</v>
      </c>
      <c r="K1147" s="5" t="s">
        <v>3</v>
      </c>
      <c r="L1147" s="5">
        <v>115</v>
      </c>
      <c r="M1147" s="5">
        <v>69</v>
      </c>
      <c r="N1147" s="5" t="s">
        <v>12</v>
      </c>
      <c r="O1147" s="5" t="str">
        <f>_xlfn.IFS('Data set'!$H1147&lt;5.7,"Normal",'Data set'!$H1147&lt;=6.4,"Prediabetes",'Data set'!$H1147&lt;=7.5,"Diabetes",'Data set'!$H1147&gt;=7.5,"Uncontrolled")</f>
        <v>Uncontrolled</v>
      </c>
      <c r="P1147" s="5" t="str">
        <f>_xlfn.IFS('Data set'!$F1147&lt;120,"Low",'Data set'!$F1147&lt;=200,"Normal",'Data set'!$F1147&lt;=240,"Boarderline",'Data set'!$F1147&gt;=241,"High")</f>
        <v>Boarderline</v>
      </c>
      <c r="Q1147" s="5" t="str">
        <f>_xlfn.IFS('Data set'!$D1147&lt;=18.5,"Low",'Data set'!$D1147&lt;=24.9,"Normal",'Data set'!$D1147&lt;=29.9,"High",'Data set'!$D1147&gt;29.9,"Very High")</f>
        <v>Very High</v>
      </c>
    </row>
    <row r="1148" spans="1:17" x14ac:dyDescent="0.25">
      <c r="A1148" s="3">
        <v>69</v>
      </c>
      <c r="B1148" s="3" t="s">
        <v>0</v>
      </c>
      <c r="C1148" s="4">
        <v>89.77</v>
      </c>
      <c r="D1148" s="4">
        <v>33.159999999999997</v>
      </c>
      <c r="E1148" s="3" t="s">
        <v>6</v>
      </c>
      <c r="F1148" s="3">
        <v>157</v>
      </c>
      <c r="G1148" s="3" t="s">
        <v>785</v>
      </c>
      <c r="H1148" s="4">
        <v>7.52</v>
      </c>
      <c r="I1148" s="3">
        <v>2</v>
      </c>
      <c r="J1148" s="3" t="s">
        <v>4</v>
      </c>
      <c r="K1148" s="3" t="s">
        <v>4</v>
      </c>
      <c r="L1148" s="3">
        <v>128</v>
      </c>
      <c r="M1148" s="3">
        <v>73</v>
      </c>
      <c r="N1148" s="3" t="s">
        <v>21</v>
      </c>
      <c r="O1148" s="3" t="str">
        <f>_xlfn.IFS('Data set'!$H1148&lt;5.7,"Normal",'Data set'!$H1148&lt;=6.4,"Prediabetes",'Data set'!$H1148&lt;=7.5,"Diabetes",'Data set'!$H1148&gt;=7.5,"Uncontrolled")</f>
        <v>Uncontrolled</v>
      </c>
      <c r="P1148" s="3" t="str">
        <f>_xlfn.IFS('Data set'!$F1148&lt;120,"Low",'Data set'!$F1148&lt;=200,"Normal",'Data set'!$F1148&lt;=240,"Boarderline",'Data set'!$F1148&gt;=241,"High")</f>
        <v>Normal</v>
      </c>
      <c r="Q1148" s="3" t="str">
        <f>_xlfn.IFS('Data set'!$D1148&lt;=18.5,"Low",'Data set'!$D1148&lt;=24.9,"Normal",'Data set'!$D1148&lt;=29.9,"High",'Data set'!$D1148&gt;29.9,"Very High")</f>
        <v>Very High</v>
      </c>
    </row>
    <row r="1149" spans="1:17" x14ac:dyDescent="0.25">
      <c r="A1149" s="5">
        <v>69</v>
      </c>
      <c r="B1149" s="5" t="s">
        <v>0</v>
      </c>
      <c r="C1149" s="6">
        <v>162.65</v>
      </c>
      <c r="D1149" s="6">
        <v>20.170000000000002</v>
      </c>
      <c r="E1149" s="5" t="s">
        <v>10</v>
      </c>
      <c r="F1149" s="5">
        <v>256</v>
      </c>
      <c r="G1149" s="5" t="s">
        <v>110</v>
      </c>
      <c r="H1149" s="6">
        <v>5.97</v>
      </c>
      <c r="I1149" s="5">
        <v>3</v>
      </c>
      <c r="J1149" s="5" t="s">
        <v>4</v>
      </c>
      <c r="K1149" s="5" t="s">
        <v>3</v>
      </c>
      <c r="L1149" s="5">
        <v>110</v>
      </c>
      <c r="M1149" s="5">
        <v>68</v>
      </c>
      <c r="N1149" s="5" t="s">
        <v>21</v>
      </c>
      <c r="O1149" s="5" t="str">
        <f>_xlfn.IFS('Data set'!$H1149&lt;5.7,"Normal",'Data set'!$H1149&lt;=6.4,"Prediabetes",'Data set'!$H1149&lt;=7.5,"Diabetes",'Data set'!$H1149&gt;=7.5,"Uncontrolled")</f>
        <v>Prediabetes</v>
      </c>
      <c r="P1149" s="5" t="str">
        <f>_xlfn.IFS('Data set'!$F1149&lt;120,"Low",'Data set'!$F1149&lt;=200,"Normal",'Data set'!$F1149&lt;=240,"Boarderline",'Data set'!$F1149&gt;=241,"High")</f>
        <v>High</v>
      </c>
      <c r="Q1149" s="5" t="str">
        <f>_xlfn.IFS('Data set'!$D1149&lt;=18.5,"Low",'Data set'!$D1149&lt;=24.9,"Normal",'Data set'!$D1149&lt;=29.9,"High",'Data set'!$D1149&gt;29.9,"Very High")</f>
        <v>Normal</v>
      </c>
    </row>
    <row r="1150" spans="1:17" x14ac:dyDescent="0.25">
      <c r="A1150" s="3">
        <v>78</v>
      </c>
      <c r="B1150" s="3" t="s">
        <v>9</v>
      </c>
      <c r="C1150" s="4">
        <v>181.19</v>
      </c>
      <c r="D1150" s="4">
        <v>20.94</v>
      </c>
      <c r="E1150" s="3" t="s">
        <v>6</v>
      </c>
      <c r="F1150" s="3">
        <v>132</v>
      </c>
      <c r="G1150" s="3" t="s">
        <v>158</v>
      </c>
      <c r="H1150" s="4">
        <v>7.49</v>
      </c>
      <c r="I1150" s="3">
        <v>2</v>
      </c>
      <c r="J1150" s="3" t="s">
        <v>4</v>
      </c>
      <c r="K1150" s="3" t="s">
        <v>4</v>
      </c>
      <c r="L1150" s="3">
        <v>115</v>
      </c>
      <c r="M1150" s="3">
        <v>66</v>
      </c>
      <c r="N1150" s="3" t="s">
        <v>5</v>
      </c>
      <c r="O1150" s="3" t="str">
        <f>_xlfn.IFS('Data set'!$H1150&lt;5.7,"Normal",'Data set'!$H1150&lt;=6.4,"Prediabetes",'Data set'!$H1150&lt;=7.5,"Diabetes",'Data set'!$H1150&gt;=7.5,"Uncontrolled")</f>
        <v>Diabetes</v>
      </c>
      <c r="P1150" s="3" t="str">
        <f>_xlfn.IFS('Data set'!$F1150&lt;120,"Low",'Data set'!$F1150&lt;=200,"Normal",'Data set'!$F1150&lt;=240,"Boarderline",'Data set'!$F1150&gt;=241,"High")</f>
        <v>Normal</v>
      </c>
      <c r="Q1150" s="3" t="str">
        <f>_xlfn.IFS('Data set'!$D1150&lt;=18.5,"Low",'Data set'!$D1150&lt;=24.9,"Normal",'Data set'!$D1150&lt;=29.9,"High",'Data set'!$D1150&gt;29.9,"Very High")</f>
        <v>Normal</v>
      </c>
    </row>
    <row r="1151" spans="1:17" x14ac:dyDescent="0.25">
      <c r="A1151" s="5">
        <v>19</v>
      </c>
      <c r="B1151" s="5" t="s">
        <v>0</v>
      </c>
      <c r="C1151" s="6">
        <v>99.73</v>
      </c>
      <c r="D1151" s="6">
        <v>26.33</v>
      </c>
      <c r="E1151" s="5" t="s">
        <v>10</v>
      </c>
      <c r="F1151" s="5">
        <v>199</v>
      </c>
      <c r="G1151" s="5" t="s">
        <v>827</v>
      </c>
      <c r="H1151" s="6">
        <v>6.76</v>
      </c>
      <c r="I1151" s="5">
        <v>7</v>
      </c>
      <c r="J1151" s="5" t="s">
        <v>4</v>
      </c>
      <c r="K1151" s="5" t="s">
        <v>3</v>
      </c>
      <c r="L1151" s="5">
        <v>136</v>
      </c>
      <c r="M1151" s="5">
        <v>65</v>
      </c>
      <c r="N1151" s="5" t="s">
        <v>17</v>
      </c>
      <c r="O1151" s="5" t="str">
        <f>_xlfn.IFS('Data set'!$H1151&lt;5.7,"Normal",'Data set'!$H1151&lt;=6.4,"Prediabetes",'Data set'!$H1151&lt;=7.5,"Diabetes",'Data set'!$H1151&gt;=7.5,"Uncontrolled")</f>
        <v>Diabetes</v>
      </c>
      <c r="P1151" s="5" t="str">
        <f>_xlfn.IFS('Data set'!$F1151&lt;120,"Low",'Data set'!$F1151&lt;=200,"Normal",'Data set'!$F1151&lt;=240,"Boarderline",'Data set'!$F1151&gt;=241,"High")</f>
        <v>Normal</v>
      </c>
      <c r="Q1151" s="5" t="str">
        <f>_xlfn.IFS('Data set'!$D1151&lt;=18.5,"Low",'Data set'!$D1151&lt;=24.9,"Normal",'Data set'!$D1151&lt;=29.9,"High",'Data set'!$D1151&gt;29.9,"Very High")</f>
        <v>High</v>
      </c>
    </row>
    <row r="1152" spans="1:17" x14ac:dyDescent="0.25">
      <c r="A1152" s="3">
        <v>53</v>
      </c>
      <c r="B1152" s="3" t="s">
        <v>9</v>
      </c>
      <c r="C1152" s="4">
        <v>99.11</v>
      </c>
      <c r="D1152" s="4">
        <v>37.119999999999997</v>
      </c>
      <c r="E1152" s="3" t="s">
        <v>14</v>
      </c>
      <c r="F1152" s="3">
        <v>296</v>
      </c>
      <c r="G1152" s="3" t="s">
        <v>48</v>
      </c>
      <c r="H1152" s="4">
        <v>6.41</v>
      </c>
      <c r="I1152" s="3">
        <v>5</v>
      </c>
      <c r="J1152" s="3" t="s">
        <v>4</v>
      </c>
      <c r="K1152" s="3" t="s">
        <v>3</v>
      </c>
      <c r="L1152" s="3">
        <v>102</v>
      </c>
      <c r="M1152" s="3">
        <v>70</v>
      </c>
      <c r="N1152" s="3" t="s">
        <v>8</v>
      </c>
      <c r="O1152" s="3" t="str">
        <f>_xlfn.IFS('Data set'!$H1152&lt;5.7,"Normal",'Data set'!$H1152&lt;=6.4,"Prediabetes",'Data set'!$H1152&lt;=7.5,"Diabetes",'Data set'!$H1152&gt;=7.5,"Uncontrolled")</f>
        <v>Diabetes</v>
      </c>
      <c r="P1152" s="3" t="str">
        <f>_xlfn.IFS('Data set'!$F1152&lt;120,"Low",'Data set'!$F1152&lt;=200,"Normal",'Data set'!$F1152&lt;=240,"Boarderline",'Data set'!$F1152&gt;=241,"High")</f>
        <v>High</v>
      </c>
      <c r="Q1152" s="3" t="str">
        <f>_xlfn.IFS('Data set'!$D1152&lt;=18.5,"Low",'Data set'!$D1152&lt;=24.9,"Normal",'Data set'!$D1152&lt;=29.9,"High",'Data set'!$D1152&gt;29.9,"Very High")</f>
        <v>Very High</v>
      </c>
    </row>
    <row r="1153" spans="1:17" x14ac:dyDescent="0.25">
      <c r="A1153" s="5">
        <v>60</v>
      </c>
      <c r="B1153" s="5" t="s">
        <v>0</v>
      </c>
      <c r="C1153" s="6">
        <v>294.76</v>
      </c>
      <c r="D1153" s="6">
        <v>22.6</v>
      </c>
      <c r="E1153" s="5" t="s">
        <v>1</v>
      </c>
      <c r="F1153" s="5">
        <v>159</v>
      </c>
      <c r="G1153" s="5" t="s">
        <v>828</v>
      </c>
      <c r="H1153" s="6">
        <v>5.05</v>
      </c>
      <c r="I1153" s="5">
        <v>2</v>
      </c>
      <c r="J1153" s="5" t="s">
        <v>3</v>
      </c>
      <c r="K1153" s="5" t="s">
        <v>3</v>
      </c>
      <c r="L1153" s="5">
        <v>116</v>
      </c>
      <c r="M1153" s="5">
        <v>64</v>
      </c>
      <c r="N1153" s="5" t="s">
        <v>8</v>
      </c>
      <c r="O1153" s="5" t="str">
        <f>_xlfn.IFS('Data set'!$H1153&lt;5.7,"Normal",'Data set'!$H1153&lt;=6.4,"Prediabetes",'Data set'!$H1153&lt;=7.5,"Diabetes",'Data set'!$H1153&gt;=7.5,"Uncontrolled")</f>
        <v>Normal</v>
      </c>
      <c r="P1153" s="5" t="str">
        <f>_xlfn.IFS('Data set'!$F1153&lt;120,"Low",'Data set'!$F1153&lt;=200,"Normal",'Data set'!$F1153&lt;=240,"Boarderline",'Data set'!$F1153&gt;=241,"High")</f>
        <v>Normal</v>
      </c>
      <c r="Q1153" s="5" t="str">
        <f>_xlfn.IFS('Data set'!$D1153&lt;=18.5,"Low",'Data set'!$D1153&lt;=24.9,"Normal",'Data set'!$D1153&lt;=29.9,"High",'Data set'!$D1153&gt;29.9,"Very High")</f>
        <v>Normal</v>
      </c>
    </row>
    <row r="1154" spans="1:17" x14ac:dyDescent="0.25">
      <c r="A1154" s="3">
        <v>71</v>
      </c>
      <c r="B1154" s="3" t="s">
        <v>0</v>
      </c>
      <c r="C1154" s="4">
        <v>176.93</v>
      </c>
      <c r="D1154" s="4">
        <v>22.83</v>
      </c>
      <c r="E1154" s="3" t="s">
        <v>14</v>
      </c>
      <c r="F1154" s="3">
        <v>296</v>
      </c>
      <c r="G1154" s="3" t="s">
        <v>829</v>
      </c>
      <c r="H1154" s="4">
        <v>4.67</v>
      </c>
      <c r="I1154" s="3">
        <v>7</v>
      </c>
      <c r="J1154" s="3" t="s">
        <v>4</v>
      </c>
      <c r="K1154" s="3" t="s">
        <v>3</v>
      </c>
      <c r="L1154" s="3">
        <v>130</v>
      </c>
      <c r="M1154" s="3">
        <v>72</v>
      </c>
      <c r="N1154" s="3" t="s">
        <v>5</v>
      </c>
      <c r="O1154" s="3" t="str">
        <f>_xlfn.IFS('Data set'!$H1154&lt;5.7,"Normal",'Data set'!$H1154&lt;=6.4,"Prediabetes",'Data set'!$H1154&lt;=7.5,"Diabetes",'Data set'!$H1154&gt;=7.5,"Uncontrolled")</f>
        <v>Normal</v>
      </c>
      <c r="P1154" s="3" t="str">
        <f>_xlfn.IFS('Data set'!$F1154&lt;120,"Low",'Data set'!$F1154&lt;=200,"Normal",'Data set'!$F1154&lt;=240,"Boarderline",'Data set'!$F1154&gt;=241,"High")</f>
        <v>High</v>
      </c>
      <c r="Q1154" s="3" t="str">
        <f>_xlfn.IFS('Data set'!$D1154&lt;=18.5,"Low",'Data set'!$D1154&lt;=24.9,"Normal",'Data set'!$D1154&lt;=29.9,"High",'Data set'!$D1154&gt;29.9,"Very High")</f>
        <v>Normal</v>
      </c>
    </row>
    <row r="1155" spans="1:17" x14ac:dyDescent="0.25">
      <c r="A1155" s="5">
        <v>56</v>
      </c>
      <c r="B1155" s="5" t="s">
        <v>9</v>
      </c>
      <c r="C1155" s="6">
        <v>217.86</v>
      </c>
      <c r="D1155" s="6">
        <v>31.78</v>
      </c>
      <c r="E1155" s="5" t="s">
        <v>1</v>
      </c>
      <c r="F1155" s="5">
        <v>220</v>
      </c>
      <c r="G1155" s="5" t="s">
        <v>267</v>
      </c>
      <c r="H1155" s="6">
        <v>9.81</v>
      </c>
      <c r="I1155" s="5">
        <v>5</v>
      </c>
      <c r="J1155" s="5" t="s">
        <v>4</v>
      </c>
      <c r="K1155" s="5" t="s">
        <v>4</v>
      </c>
      <c r="L1155" s="5">
        <v>130</v>
      </c>
      <c r="M1155" s="5">
        <v>89</v>
      </c>
      <c r="N1155" s="5" t="s">
        <v>8</v>
      </c>
      <c r="O1155" s="5" t="str">
        <f>_xlfn.IFS('Data set'!$H1155&lt;5.7,"Normal",'Data set'!$H1155&lt;=6.4,"Prediabetes",'Data set'!$H1155&lt;=7.5,"Diabetes",'Data set'!$H1155&gt;=7.5,"Uncontrolled")</f>
        <v>Uncontrolled</v>
      </c>
      <c r="P1155" s="5" t="str">
        <f>_xlfn.IFS('Data set'!$F1155&lt;120,"Low",'Data set'!$F1155&lt;=200,"Normal",'Data set'!$F1155&lt;=240,"Boarderline",'Data set'!$F1155&gt;=241,"High")</f>
        <v>Boarderline</v>
      </c>
      <c r="Q1155" s="5" t="str">
        <f>_xlfn.IFS('Data set'!$D1155&lt;=18.5,"Low",'Data set'!$D1155&lt;=24.9,"Normal",'Data set'!$D1155&lt;=29.9,"High",'Data set'!$D1155&gt;29.9,"Very High")</f>
        <v>Very High</v>
      </c>
    </row>
    <row r="1156" spans="1:17" x14ac:dyDescent="0.25">
      <c r="A1156" s="3">
        <v>72</v>
      </c>
      <c r="B1156" s="3" t="s">
        <v>0</v>
      </c>
      <c r="C1156" s="4">
        <v>140.30000000000001</v>
      </c>
      <c r="D1156" s="4">
        <v>29.57</v>
      </c>
      <c r="E1156" s="3" t="s">
        <v>14</v>
      </c>
      <c r="F1156" s="3">
        <v>131</v>
      </c>
      <c r="G1156" s="3" t="s">
        <v>830</v>
      </c>
      <c r="H1156" s="4">
        <v>7.93</v>
      </c>
      <c r="I1156" s="3">
        <v>5</v>
      </c>
      <c r="J1156" s="3" t="s">
        <v>4</v>
      </c>
      <c r="K1156" s="3" t="s">
        <v>3</v>
      </c>
      <c r="L1156" s="3">
        <v>133</v>
      </c>
      <c r="M1156" s="3">
        <v>61</v>
      </c>
      <c r="N1156" s="3" t="s">
        <v>5</v>
      </c>
      <c r="O1156" s="3" t="str">
        <f>_xlfn.IFS('Data set'!$H1156&lt;5.7,"Normal",'Data set'!$H1156&lt;=6.4,"Prediabetes",'Data set'!$H1156&lt;=7.5,"Diabetes",'Data set'!$H1156&gt;=7.5,"Uncontrolled")</f>
        <v>Uncontrolled</v>
      </c>
      <c r="P1156" s="3" t="str">
        <f>_xlfn.IFS('Data set'!$F1156&lt;120,"Low",'Data set'!$F1156&lt;=200,"Normal",'Data set'!$F1156&lt;=240,"Boarderline",'Data set'!$F1156&gt;=241,"High")</f>
        <v>Normal</v>
      </c>
      <c r="Q1156" s="3" t="str">
        <f>_xlfn.IFS('Data set'!$D1156&lt;=18.5,"Low",'Data set'!$D1156&lt;=24.9,"Normal",'Data set'!$D1156&lt;=29.9,"High",'Data set'!$D1156&gt;29.9,"Very High")</f>
        <v>High</v>
      </c>
    </row>
    <row r="1157" spans="1:17" x14ac:dyDescent="0.25">
      <c r="A1157" s="5">
        <v>56</v>
      </c>
      <c r="B1157" s="5" t="s">
        <v>0</v>
      </c>
      <c r="C1157" s="6">
        <v>78.19</v>
      </c>
      <c r="D1157" s="6">
        <v>18.12</v>
      </c>
      <c r="E1157" s="5" t="s">
        <v>10</v>
      </c>
      <c r="F1157" s="5">
        <v>153</v>
      </c>
      <c r="G1157" s="5" t="s">
        <v>831</v>
      </c>
      <c r="H1157" s="6">
        <v>4.0199999999999996</v>
      </c>
      <c r="I1157" s="5">
        <v>3</v>
      </c>
      <c r="J1157" s="5" t="s">
        <v>3</v>
      </c>
      <c r="K1157" s="5" t="s">
        <v>3</v>
      </c>
      <c r="L1157" s="5">
        <v>122</v>
      </c>
      <c r="M1157" s="5">
        <v>69</v>
      </c>
      <c r="N1157" s="5" t="s">
        <v>8</v>
      </c>
      <c r="O1157" s="5" t="str">
        <f>_xlfn.IFS('Data set'!$H1157&lt;5.7,"Normal",'Data set'!$H1157&lt;=6.4,"Prediabetes",'Data set'!$H1157&lt;=7.5,"Diabetes",'Data set'!$H1157&gt;=7.5,"Uncontrolled")</f>
        <v>Normal</v>
      </c>
      <c r="P1157" s="5" t="str">
        <f>_xlfn.IFS('Data set'!$F1157&lt;120,"Low",'Data set'!$F1157&lt;=200,"Normal",'Data set'!$F1157&lt;=240,"Boarderline",'Data set'!$F1157&gt;=241,"High")</f>
        <v>Normal</v>
      </c>
      <c r="Q1157" s="5" t="str">
        <f>_xlfn.IFS('Data set'!$D1157&lt;=18.5,"Low",'Data set'!$D1157&lt;=24.9,"Normal",'Data set'!$D1157&lt;=29.9,"High",'Data set'!$D1157&gt;29.9,"Very High")</f>
        <v>Low</v>
      </c>
    </row>
    <row r="1158" spans="1:17" x14ac:dyDescent="0.25">
      <c r="A1158" s="3">
        <v>53</v>
      </c>
      <c r="B1158" s="3" t="s">
        <v>0</v>
      </c>
      <c r="C1158" s="4">
        <v>96.93</v>
      </c>
      <c r="D1158" s="4">
        <v>25.04</v>
      </c>
      <c r="E1158" s="3" t="s">
        <v>1</v>
      </c>
      <c r="F1158" s="3">
        <v>216</v>
      </c>
      <c r="G1158" s="3" t="s">
        <v>109</v>
      </c>
      <c r="H1158" s="4">
        <v>7.6</v>
      </c>
      <c r="I1158" s="3">
        <v>2</v>
      </c>
      <c r="J1158" s="3" t="s">
        <v>4</v>
      </c>
      <c r="K1158" s="3" t="s">
        <v>4</v>
      </c>
      <c r="L1158" s="3">
        <v>137</v>
      </c>
      <c r="M1158" s="3">
        <v>65</v>
      </c>
      <c r="N1158" s="3" t="s">
        <v>8</v>
      </c>
      <c r="O1158" s="3" t="str">
        <f>_xlfn.IFS('Data set'!$H1158&lt;5.7,"Normal",'Data set'!$H1158&lt;=6.4,"Prediabetes",'Data set'!$H1158&lt;=7.5,"Diabetes",'Data set'!$H1158&gt;=7.5,"Uncontrolled")</f>
        <v>Uncontrolled</v>
      </c>
      <c r="P1158" s="3" t="str">
        <f>_xlfn.IFS('Data set'!$F1158&lt;120,"Low",'Data set'!$F1158&lt;=200,"Normal",'Data set'!$F1158&lt;=240,"Boarderline",'Data set'!$F1158&gt;=241,"High")</f>
        <v>Boarderline</v>
      </c>
      <c r="Q1158" s="3" t="str">
        <f>_xlfn.IFS('Data set'!$D1158&lt;=18.5,"Low",'Data set'!$D1158&lt;=24.9,"Normal",'Data set'!$D1158&lt;=29.9,"High",'Data set'!$D1158&gt;29.9,"Very High")</f>
        <v>High</v>
      </c>
    </row>
    <row r="1159" spans="1:17" x14ac:dyDescent="0.25">
      <c r="A1159" s="5">
        <v>60</v>
      </c>
      <c r="B1159" s="5" t="s">
        <v>9</v>
      </c>
      <c r="C1159" s="6">
        <v>242.22</v>
      </c>
      <c r="D1159" s="6">
        <v>35.11</v>
      </c>
      <c r="E1159" s="5" t="s">
        <v>14</v>
      </c>
      <c r="F1159" s="5">
        <v>116</v>
      </c>
      <c r="G1159" s="5" t="s">
        <v>832</v>
      </c>
      <c r="H1159" s="6">
        <v>5.59</v>
      </c>
      <c r="I1159" s="5">
        <v>7</v>
      </c>
      <c r="J1159" s="5" t="s">
        <v>3</v>
      </c>
      <c r="K1159" s="5" t="s">
        <v>4</v>
      </c>
      <c r="L1159" s="5">
        <v>108</v>
      </c>
      <c r="M1159" s="5">
        <v>79</v>
      </c>
      <c r="N1159" s="5" t="s">
        <v>8</v>
      </c>
      <c r="O1159" s="5" t="str">
        <f>_xlfn.IFS('Data set'!$H1159&lt;5.7,"Normal",'Data set'!$H1159&lt;=6.4,"Prediabetes",'Data set'!$H1159&lt;=7.5,"Diabetes",'Data set'!$H1159&gt;=7.5,"Uncontrolled")</f>
        <v>Normal</v>
      </c>
      <c r="P1159" s="5" t="str">
        <f>_xlfn.IFS('Data set'!$F1159&lt;120,"Low",'Data set'!$F1159&lt;=200,"Normal",'Data set'!$F1159&lt;=240,"Boarderline",'Data set'!$F1159&gt;=241,"High")</f>
        <v>Low</v>
      </c>
      <c r="Q1159" s="5" t="str">
        <f>_xlfn.IFS('Data set'!$D1159&lt;=18.5,"Low",'Data set'!$D1159&lt;=24.9,"Normal",'Data set'!$D1159&lt;=29.9,"High",'Data set'!$D1159&gt;29.9,"Very High")</f>
        <v>Very High</v>
      </c>
    </row>
    <row r="1160" spans="1:17" x14ac:dyDescent="0.25">
      <c r="A1160" s="3">
        <v>18</v>
      </c>
      <c r="B1160" s="3" t="s">
        <v>0</v>
      </c>
      <c r="C1160" s="4">
        <v>236.13</v>
      </c>
      <c r="D1160" s="4">
        <v>26.98</v>
      </c>
      <c r="E1160" s="3" t="s">
        <v>6</v>
      </c>
      <c r="F1160" s="3">
        <v>271</v>
      </c>
      <c r="G1160" s="3" t="s">
        <v>833</v>
      </c>
      <c r="H1160" s="4">
        <v>5.66</v>
      </c>
      <c r="I1160" s="3">
        <v>0</v>
      </c>
      <c r="J1160" s="3" t="s">
        <v>4</v>
      </c>
      <c r="K1160" s="3" t="s">
        <v>3</v>
      </c>
      <c r="L1160" s="3">
        <v>113</v>
      </c>
      <c r="M1160" s="3">
        <v>65</v>
      </c>
      <c r="N1160" s="3" t="s">
        <v>17</v>
      </c>
      <c r="O1160" s="3" t="str">
        <f>_xlfn.IFS('Data set'!$H1160&lt;5.7,"Normal",'Data set'!$H1160&lt;=6.4,"Prediabetes",'Data set'!$H1160&lt;=7.5,"Diabetes",'Data set'!$H1160&gt;=7.5,"Uncontrolled")</f>
        <v>Normal</v>
      </c>
      <c r="P1160" s="3" t="str">
        <f>_xlfn.IFS('Data set'!$F1160&lt;120,"Low",'Data set'!$F1160&lt;=200,"Normal",'Data set'!$F1160&lt;=240,"Boarderline",'Data set'!$F1160&gt;=241,"High")</f>
        <v>High</v>
      </c>
      <c r="Q1160" s="3" t="str">
        <f>_xlfn.IFS('Data set'!$D1160&lt;=18.5,"Low",'Data set'!$D1160&lt;=24.9,"Normal",'Data set'!$D1160&lt;=29.9,"High",'Data set'!$D1160&gt;29.9,"Very High")</f>
        <v>High</v>
      </c>
    </row>
    <row r="1161" spans="1:17" x14ac:dyDescent="0.25">
      <c r="A1161" s="5">
        <v>48</v>
      </c>
      <c r="B1161" s="5" t="s">
        <v>0</v>
      </c>
      <c r="C1161" s="6">
        <v>232.02</v>
      </c>
      <c r="D1161" s="6">
        <v>25.74</v>
      </c>
      <c r="E1161" s="5" t="s">
        <v>10</v>
      </c>
      <c r="F1161" s="5">
        <v>259</v>
      </c>
      <c r="G1161" s="5" t="s">
        <v>510</v>
      </c>
      <c r="H1161" s="6">
        <v>8.5399999999999991</v>
      </c>
      <c r="I1161" s="5">
        <v>0</v>
      </c>
      <c r="J1161" s="5" t="s">
        <v>4</v>
      </c>
      <c r="K1161" s="5" t="s">
        <v>3</v>
      </c>
      <c r="L1161" s="5">
        <v>103</v>
      </c>
      <c r="M1161" s="5">
        <v>74</v>
      </c>
      <c r="N1161" s="5" t="s">
        <v>23</v>
      </c>
      <c r="O1161" s="5" t="str">
        <f>_xlfn.IFS('Data set'!$H1161&lt;5.7,"Normal",'Data set'!$H1161&lt;=6.4,"Prediabetes",'Data set'!$H1161&lt;=7.5,"Diabetes",'Data set'!$H1161&gt;=7.5,"Uncontrolled")</f>
        <v>Uncontrolled</v>
      </c>
      <c r="P1161" s="5" t="str">
        <f>_xlfn.IFS('Data set'!$F1161&lt;120,"Low",'Data set'!$F1161&lt;=200,"Normal",'Data set'!$F1161&lt;=240,"Boarderline",'Data set'!$F1161&gt;=241,"High")</f>
        <v>High</v>
      </c>
      <c r="Q1161" s="5" t="str">
        <f>_xlfn.IFS('Data set'!$D1161&lt;=18.5,"Low",'Data set'!$D1161&lt;=24.9,"Normal",'Data set'!$D1161&lt;=29.9,"High",'Data set'!$D1161&gt;29.9,"Very High")</f>
        <v>High</v>
      </c>
    </row>
    <row r="1162" spans="1:17" x14ac:dyDescent="0.25">
      <c r="A1162" s="3">
        <v>74</v>
      </c>
      <c r="B1162" s="3" t="s">
        <v>0</v>
      </c>
      <c r="C1162" s="4">
        <v>107.65</v>
      </c>
      <c r="D1162" s="4">
        <v>29.83</v>
      </c>
      <c r="E1162" s="3" t="s">
        <v>6</v>
      </c>
      <c r="F1162" s="3">
        <v>262</v>
      </c>
      <c r="G1162" s="3" t="s">
        <v>558</v>
      </c>
      <c r="H1162" s="4">
        <v>4.8600000000000003</v>
      </c>
      <c r="I1162" s="3">
        <v>6</v>
      </c>
      <c r="J1162" s="3" t="s">
        <v>3</v>
      </c>
      <c r="K1162" s="3" t="s">
        <v>4</v>
      </c>
      <c r="L1162" s="3">
        <v>130</v>
      </c>
      <c r="M1162" s="3">
        <v>87</v>
      </c>
      <c r="N1162" s="3" t="s">
        <v>5</v>
      </c>
      <c r="O1162" s="3" t="str">
        <f>_xlfn.IFS('Data set'!$H1162&lt;5.7,"Normal",'Data set'!$H1162&lt;=6.4,"Prediabetes",'Data set'!$H1162&lt;=7.5,"Diabetes",'Data set'!$H1162&gt;=7.5,"Uncontrolled")</f>
        <v>Normal</v>
      </c>
      <c r="P1162" s="3" t="str">
        <f>_xlfn.IFS('Data set'!$F1162&lt;120,"Low",'Data set'!$F1162&lt;=200,"Normal",'Data set'!$F1162&lt;=240,"Boarderline",'Data set'!$F1162&gt;=241,"High")</f>
        <v>High</v>
      </c>
      <c r="Q1162" s="3" t="str">
        <f>_xlfn.IFS('Data set'!$D1162&lt;=18.5,"Low",'Data set'!$D1162&lt;=24.9,"Normal",'Data set'!$D1162&lt;=29.9,"High",'Data set'!$D1162&gt;29.9,"Very High")</f>
        <v>High</v>
      </c>
    </row>
    <row r="1163" spans="1:17" x14ac:dyDescent="0.25">
      <c r="A1163" s="5">
        <v>73</v>
      </c>
      <c r="B1163" s="5" t="s">
        <v>0</v>
      </c>
      <c r="C1163" s="6">
        <v>244.53</v>
      </c>
      <c r="D1163" s="6">
        <v>31.68</v>
      </c>
      <c r="E1163" s="5" t="s">
        <v>10</v>
      </c>
      <c r="F1163" s="5">
        <v>279</v>
      </c>
      <c r="G1163" s="5" t="s">
        <v>834</v>
      </c>
      <c r="H1163" s="6">
        <v>5.38</v>
      </c>
      <c r="I1163" s="5">
        <v>0</v>
      </c>
      <c r="J1163" s="5" t="s">
        <v>4</v>
      </c>
      <c r="K1163" s="5" t="s">
        <v>4</v>
      </c>
      <c r="L1163" s="5">
        <v>131</v>
      </c>
      <c r="M1163" s="5">
        <v>80</v>
      </c>
      <c r="N1163" s="5" t="s">
        <v>5</v>
      </c>
      <c r="O1163" s="5" t="str">
        <f>_xlfn.IFS('Data set'!$H1163&lt;5.7,"Normal",'Data set'!$H1163&lt;=6.4,"Prediabetes",'Data set'!$H1163&lt;=7.5,"Diabetes",'Data set'!$H1163&gt;=7.5,"Uncontrolled")</f>
        <v>Normal</v>
      </c>
      <c r="P1163" s="5" t="str">
        <f>_xlfn.IFS('Data set'!$F1163&lt;120,"Low",'Data set'!$F1163&lt;=200,"Normal",'Data set'!$F1163&lt;=240,"Boarderline",'Data set'!$F1163&gt;=241,"High")</f>
        <v>High</v>
      </c>
      <c r="Q1163" s="5" t="str">
        <f>_xlfn.IFS('Data set'!$D1163&lt;=18.5,"Low",'Data set'!$D1163&lt;=24.9,"Normal",'Data set'!$D1163&lt;=29.9,"High",'Data set'!$D1163&gt;29.9,"Very High")</f>
        <v>Very High</v>
      </c>
    </row>
    <row r="1164" spans="1:17" x14ac:dyDescent="0.25">
      <c r="A1164" s="3">
        <v>41</v>
      </c>
      <c r="B1164" s="3" t="s">
        <v>9</v>
      </c>
      <c r="C1164" s="4">
        <v>240.18</v>
      </c>
      <c r="D1164" s="4">
        <v>24.14</v>
      </c>
      <c r="E1164" s="3" t="s">
        <v>14</v>
      </c>
      <c r="F1164" s="3">
        <v>296</v>
      </c>
      <c r="G1164" s="3" t="s">
        <v>835</v>
      </c>
      <c r="H1164" s="4">
        <v>8.66</v>
      </c>
      <c r="I1164" s="3">
        <v>5</v>
      </c>
      <c r="J1164" s="3" t="s">
        <v>4</v>
      </c>
      <c r="K1164" s="3" t="s">
        <v>4</v>
      </c>
      <c r="L1164" s="3">
        <v>136</v>
      </c>
      <c r="M1164" s="3">
        <v>72</v>
      </c>
      <c r="N1164" s="3" t="s">
        <v>23</v>
      </c>
      <c r="O1164" s="3" t="str">
        <f>_xlfn.IFS('Data set'!$H1164&lt;5.7,"Normal",'Data set'!$H1164&lt;=6.4,"Prediabetes",'Data set'!$H1164&lt;=7.5,"Diabetes",'Data set'!$H1164&gt;=7.5,"Uncontrolled")</f>
        <v>Uncontrolled</v>
      </c>
      <c r="P1164" s="3" t="str">
        <f>_xlfn.IFS('Data set'!$F1164&lt;120,"Low",'Data set'!$F1164&lt;=200,"Normal",'Data set'!$F1164&lt;=240,"Boarderline",'Data set'!$F1164&gt;=241,"High")</f>
        <v>High</v>
      </c>
      <c r="Q1164" s="3" t="str">
        <f>_xlfn.IFS('Data set'!$D1164&lt;=18.5,"Low",'Data set'!$D1164&lt;=24.9,"Normal",'Data set'!$D1164&lt;=29.9,"High",'Data set'!$D1164&gt;29.9,"Very High")</f>
        <v>Normal</v>
      </c>
    </row>
    <row r="1165" spans="1:17" x14ac:dyDescent="0.25">
      <c r="A1165" s="5">
        <v>43</v>
      </c>
      <c r="B1165" s="5" t="s">
        <v>9</v>
      </c>
      <c r="C1165" s="6">
        <v>293.85000000000002</v>
      </c>
      <c r="D1165" s="6">
        <v>38.369999999999997</v>
      </c>
      <c r="E1165" s="5" t="s">
        <v>10</v>
      </c>
      <c r="F1165" s="5">
        <v>176</v>
      </c>
      <c r="G1165" s="5" t="s">
        <v>747</v>
      </c>
      <c r="H1165" s="6">
        <v>7.97</v>
      </c>
      <c r="I1165" s="5">
        <v>4</v>
      </c>
      <c r="J1165" s="5" t="s">
        <v>3</v>
      </c>
      <c r="K1165" s="5" t="s">
        <v>4</v>
      </c>
      <c r="L1165" s="5">
        <v>102</v>
      </c>
      <c r="M1165" s="5">
        <v>61</v>
      </c>
      <c r="N1165" s="5" t="s">
        <v>23</v>
      </c>
      <c r="O1165" s="5" t="str">
        <f>_xlfn.IFS('Data set'!$H1165&lt;5.7,"Normal",'Data set'!$H1165&lt;=6.4,"Prediabetes",'Data set'!$H1165&lt;=7.5,"Diabetes",'Data set'!$H1165&gt;=7.5,"Uncontrolled")</f>
        <v>Uncontrolled</v>
      </c>
      <c r="P1165" s="5" t="str">
        <f>_xlfn.IFS('Data set'!$F1165&lt;120,"Low",'Data set'!$F1165&lt;=200,"Normal",'Data set'!$F1165&lt;=240,"Boarderline",'Data set'!$F1165&gt;=241,"High")</f>
        <v>Normal</v>
      </c>
      <c r="Q1165" s="5" t="str">
        <f>_xlfn.IFS('Data set'!$D1165&lt;=18.5,"Low",'Data set'!$D1165&lt;=24.9,"Normal",'Data set'!$D1165&lt;=29.9,"High",'Data set'!$D1165&gt;29.9,"Very High")</f>
        <v>Very High</v>
      </c>
    </row>
    <row r="1166" spans="1:17" x14ac:dyDescent="0.25">
      <c r="A1166" s="3">
        <v>70</v>
      </c>
      <c r="B1166" s="3" t="s">
        <v>9</v>
      </c>
      <c r="C1166" s="4">
        <v>141.9</v>
      </c>
      <c r="D1166" s="4">
        <v>32.79</v>
      </c>
      <c r="E1166" s="3" t="s">
        <v>6</v>
      </c>
      <c r="F1166" s="3">
        <v>184</v>
      </c>
      <c r="G1166" s="3" t="s">
        <v>836</v>
      </c>
      <c r="H1166" s="4">
        <v>5.65</v>
      </c>
      <c r="I1166" s="3">
        <v>0</v>
      </c>
      <c r="J1166" s="3" t="s">
        <v>3</v>
      </c>
      <c r="K1166" s="3" t="s">
        <v>4</v>
      </c>
      <c r="L1166" s="3">
        <v>106</v>
      </c>
      <c r="M1166" s="3">
        <v>74</v>
      </c>
      <c r="N1166" s="3" t="s">
        <v>21</v>
      </c>
      <c r="O1166" s="3" t="str">
        <f>_xlfn.IFS('Data set'!$H1166&lt;5.7,"Normal",'Data set'!$H1166&lt;=6.4,"Prediabetes",'Data set'!$H1166&lt;=7.5,"Diabetes",'Data set'!$H1166&gt;=7.5,"Uncontrolled")</f>
        <v>Normal</v>
      </c>
      <c r="P1166" s="3" t="str">
        <f>_xlfn.IFS('Data set'!$F1166&lt;120,"Low",'Data set'!$F1166&lt;=200,"Normal",'Data set'!$F1166&lt;=240,"Boarderline",'Data set'!$F1166&gt;=241,"High")</f>
        <v>Normal</v>
      </c>
      <c r="Q1166" s="3" t="str">
        <f>_xlfn.IFS('Data set'!$D1166&lt;=18.5,"Low",'Data set'!$D1166&lt;=24.9,"Normal",'Data set'!$D1166&lt;=29.9,"High",'Data set'!$D1166&gt;29.9,"Very High")</f>
        <v>Very High</v>
      </c>
    </row>
    <row r="1167" spans="1:17" x14ac:dyDescent="0.25">
      <c r="A1167" s="5">
        <v>76</v>
      </c>
      <c r="B1167" s="5" t="s">
        <v>9</v>
      </c>
      <c r="C1167" s="6">
        <v>77.459999999999994</v>
      </c>
      <c r="D1167" s="6">
        <v>32.32</v>
      </c>
      <c r="E1167" s="5" t="s">
        <v>1</v>
      </c>
      <c r="F1167" s="5">
        <v>108</v>
      </c>
      <c r="G1167" s="5" t="s">
        <v>837</v>
      </c>
      <c r="H1167" s="6">
        <v>4.51</v>
      </c>
      <c r="I1167" s="5">
        <v>1</v>
      </c>
      <c r="J1167" s="5" t="s">
        <v>4</v>
      </c>
      <c r="K1167" s="5" t="s">
        <v>3</v>
      </c>
      <c r="L1167" s="5">
        <v>101</v>
      </c>
      <c r="M1167" s="5">
        <v>63</v>
      </c>
      <c r="N1167" s="5" t="s">
        <v>5</v>
      </c>
      <c r="O1167" s="5" t="str">
        <f>_xlfn.IFS('Data set'!$H1167&lt;5.7,"Normal",'Data set'!$H1167&lt;=6.4,"Prediabetes",'Data set'!$H1167&lt;=7.5,"Diabetes",'Data set'!$H1167&gt;=7.5,"Uncontrolled")</f>
        <v>Normal</v>
      </c>
      <c r="P1167" s="5" t="str">
        <f>_xlfn.IFS('Data set'!$F1167&lt;120,"Low",'Data set'!$F1167&lt;=200,"Normal",'Data set'!$F1167&lt;=240,"Boarderline",'Data set'!$F1167&gt;=241,"High")</f>
        <v>Low</v>
      </c>
      <c r="Q1167" s="5" t="str">
        <f>_xlfn.IFS('Data set'!$D1167&lt;=18.5,"Low",'Data set'!$D1167&lt;=24.9,"Normal",'Data set'!$D1167&lt;=29.9,"High",'Data set'!$D1167&gt;29.9,"Very High")</f>
        <v>Very High</v>
      </c>
    </row>
    <row r="1168" spans="1:17" x14ac:dyDescent="0.25">
      <c r="A1168" s="3">
        <v>49</v>
      </c>
      <c r="B1168" s="3" t="s">
        <v>9</v>
      </c>
      <c r="C1168" s="4">
        <v>232.42</v>
      </c>
      <c r="D1168" s="4">
        <v>30.41</v>
      </c>
      <c r="E1168" s="3" t="s">
        <v>14</v>
      </c>
      <c r="F1168" s="3">
        <v>120</v>
      </c>
      <c r="G1168" s="3" t="s">
        <v>59</v>
      </c>
      <c r="H1168" s="4">
        <v>6.68</v>
      </c>
      <c r="I1168" s="3">
        <v>0</v>
      </c>
      <c r="J1168" s="3" t="s">
        <v>4</v>
      </c>
      <c r="K1168" s="3" t="s">
        <v>3</v>
      </c>
      <c r="L1168" s="3">
        <v>127</v>
      </c>
      <c r="M1168" s="3">
        <v>90</v>
      </c>
      <c r="N1168" s="3" t="s">
        <v>23</v>
      </c>
      <c r="O1168" s="3" t="str">
        <f>_xlfn.IFS('Data set'!$H1168&lt;5.7,"Normal",'Data set'!$H1168&lt;=6.4,"Prediabetes",'Data set'!$H1168&lt;=7.5,"Diabetes",'Data set'!$H1168&gt;=7.5,"Uncontrolled")</f>
        <v>Diabetes</v>
      </c>
      <c r="P1168" s="3" t="str">
        <f>_xlfn.IFS('Data set'!$F1168&lt;120,"Low",'Data set'!$F1168&lt;=200,"Normal",'Data set'!$F1168&lt;=240,"Boarderline",'Data set'!$F1168&gt;=241,"High")</f>
        <v>Normal</v>
      </c>
      <c r="Q1168" s="3" t="str">
        <f>_xlfn.IFS('Data set'!$D1168&lt;=18.5,"Low",'Data set'!$D1168&lt;=24.9,"Normal",'Data set'!$D1168&lt;=29.9,"High",'Data set'!$D1168&gt;29.9,"Very High")</f>
        <v>Very High</v>
      </c>
    </row>
    <row r="1169" spans="1:17" x14ac:dyDescent="0.25">
      <c r="A1169" s="5">
        <v>37</v>
      </c>
      <c r="B1169" s="5" t="s">
        <v>0</v>
      </c>
      <c r="C1169" s="6">
        <v>108.69</v>
      </c>
      <c r="D1169" s="6">
        <v>33.200000000000003</v>
      </c>
      <c r="E1169" s="5" t="s">
        <v>1</v>
      </c>
      <c r="F1169" s="5">
        <v>267</v>
      </c>
      <c r="G1169" s="5" t="s">
        <v>468</v>
      </c>
      <c r="H1169" s="6">
        <v>8.65</v>
      </c>
      <c r="I1169" s="5">
        <v>2</v>
      </c>
      <c r="J1169" s="5" t="s">
        <v>4</v>
      </c>
      <c r="K1169" s="5" t="s">
        <v>4</v>
      </c>
      <c r="L1169" s="5">
        <v>92</v>
      </c>
      <c r="M1169" s="5">
        <v>64</v>
      </c>
      <c r="N1169" s="5" t="s">
        <v>12</v>
      </c>
      <c r="O1169" s="5" t="str">
        <f>_xlfn.IFS('Data set'!$H1169&lt;5.7,"Normal",'Data set'!$H1169&lt;=6.4,"Prediabetes",'Data set'!$H1169&lt;=7.5,"Diabetes",'Data set'!$H1169&gt;=7.5,"Uncontrolled")</f>
        <v>Uncontrolled</v>
      </c>
      <c r="P1169" s="5" t="str">
        <f>_xlfn.IFS('Data set'!$F1169&lt;120,"Low",'Data set'!$F1169&lt;=200,"Normal",'Data set'!$F1169&lt;=240,"Boarderline",'Data set'!$F1169&gt;=241,"High")</f>
        <v>High</v>
      </c>
      <c r="Q1169" s="5" t="str">
        <f>_xlfn.IFS('Data set'!$D1169&lt;=18.5,"Low",'Data set'!$D1169&lt;=24.9,"Normal",'Data set'!$D1169&lt;=29.9,"High",'Data set'!$D1169&gt;29.9,"Very High")</f>
        <v>Very High</v>
      </c>
    </row>
    <row r="1170" spans="1:17" x14ac:dyDescent="0.25">
      <c r="A1170" s="3">
        <v>58</v>
      </c>
      <c r="B1170" s="3" t="s">
        <v>0</v>
      </c>
      <c r="C1170" s="4">
        <v>147.04</v>
      </c>
      <c r="D1170" s="4">
        <v>29.25</v>
      </c>
      <c r="E1170" s="3" t="s">
        <v>14</v>
      </c>
      <c r="F1170" s="3">
        <v>120</v>
      </c>
      <c r="G1170" s="3" t="s">
        <v>838</v>
      </c>
      <c r="H1170" s="4">
        <v>7.55</v>
      </c>
      <c r="I1170" s="3">
        <v>0</v>
      </c>
      <c r="J1170" s="3" t="s">
        <v>4</v>
      </c>
      <c r="K1170" s="3" t="s">
        <v>4</v>
      </c>
      <c r="L1170" s="3">
        <v>118</v>
      </c>
      <c r="M1170" s="3">
        <v>63</v>
      </c>
      <c r="N1170" s="3" t="s">
        <v>8</v>
      </c>
      <c r="O1170" s="3" t="str">
        <f>_xlfn.IFS('Data set'!$H1170&lt;5.7,"Normal",'Data set'!$H1170&lt;=6.4,"Prediabetes",'Data set'!$H1170&lt;=7.5,"Diabetes",'Data set'!$H1170&gt;=7.5,"Uncontrolled")</f>
        <v>Uncontrolled</v>
      </c>
      <c r="P1170" s="3" t="str">
        <f>_xlfn.IFS('Data set'!$F1170&lt;120,"Low",'Data set'!$F1170&lt;=200,"Normal",'Data set'!$F1170&lt;=240,"Boarderline",'Data set'!$F1170&gt;=241,"High")</f>
        <v>Normal</v>
      </c>
      <c r="Q1170" s="3" t="str">
        <f>_xlfn.IFS('Data set'!$D1170&lt;=18.5,"Low",'Data set'!$D1170&lt;=24.9,"Normal",'Data set'!$D1170&lt;=29.9,"High",'Data set'!$D1170&gt;29.9,"Very High")</f>
        <v>High</v>
      </c>
    </row>
    <row r="1171" spans="1:17" x14ac:dyDescent="0.25">
      <c r="A1171" s="5">
        <v>46</v>
      </c>
      <c r="B1171" s="5" t="s">
        <v>0</v>
      </c>
      <c r="C1171" s="6">
        <v>165.25</v>
      </c>
      <c r="D1171" s="6">
        <v>32.06</v>
      </c>
      <c r="E1171" s="5" t="s">
        <v>10</v>
      </c>
      <c r="F1171" s="5">
        <v>277</v>
      </c>
      <c r="G1171" s="5" t="s">
        <v>342</v>
      </c>
      <c r="H1171" s="6">
        <v>4.82</v>
      </c>
      <c r="I1171" s="5">
        <v>7</v>
      </c>
      <c r="J1171" s="5" t="s">
        <v>4</v>
      </c>
      <c r="K1171" s="5" t="s">
        <v>4</v>
      </c>
      <c r="L1171" s="5">
        <v>139</v>
      </c>
      <c r="M1171" s="5">
        <v>61</v>
      </c>
      <c r="N1171" s="5" t="s">
        <v>23</v>
      </c>
      <c r="O1171" s="5" t="str">
        <f>_xlfn.IFS('Data set'!$H1171&lt;5.7,"Normal",'Data set'!$H1171&lt;=6.4,"Prediabetes",'Data set'!$H1171&lt;=7.5,"Diabetes",'Data set'!$H1171&gt;=7.5,"Uncontrolled")</f>
        <v>Normal</v>
      </c>
      <c r="P1171" s="5" t="str">
        <f>_xlfn.IFS('Data set'!$F1171&lt;120,"Low",'Data set'!$F1171&lt;=200,"Normal",'Data set'!$F1171&lt;=240,"Boarderline",'Data set'!$F1171&gt;=241,"High")</f>
        <v>High</v>
      </c>
      <c r="Q1171" s="5" t="str">
        <f>_xlfn.IFS('Data set'!$D1171&lt;=18.5,"Low",'Data set'!$D1171&lt;=24.9,"Normal",'Data set'!$D1171&lt;=29.9,"High",'Data set'!$D1171&gt;29.9,"Very High")</f>
        <v>Very High</v>
      </c>
    </row>
    <row r="1172" spans="1:17" x14ac:dyDescent="0.25">
      <c r="A1172" s="3">
        <v>74</v>
      </c>
      <c r="B1172" s="3" t="s">
        <v>0</v>
      </c>
      <c r="C1172" s="4">
        <v>120.56</v>
      </c>
      <c r="D1172" s="4">
        <v>29.5</v>
      </c>
      <c r="E1172" s="3" t="s">
        <v>6</v>
      </c>
      <c r="F1172" s="3">
        <v>257</v>
      </c>
      <c r="G1172" s="3" t="s">
        <v>818</v>
      </c>
      <c r="H1172" s="4">
        <v>4.93</v>
      </c>
      <c r="I1172" s="3">
        <v>3</v>
      </c>
      <c r="J1172" s="3" t="s">
        <v>3</v>
      </c>
      <c r="K1172" s="3" t="s">
        <v>4</v>
      </c>
      <c r="L1172" s="3">
        <v>111</v>
      </c>
      <c r="M1172" s="3">
        <v>79</v>
      </c>
      <c r="N1172" s="3" t="s">
        <v>5</v>
      </c>
      <c r="O1172" s="3" t="str">
        <f>_xlfn.IFS('Data set'!$H1172&lt;5.7,"Normal",'Data set'!$H1172&lt;=6.4,"Prediabetes",'Data set'!$H1172&lt;=7.5,"Diabetes",'Data set'!$H1172&gt;=7.5,"Uncontrolled")</f>
        <v>Normal</v>
      </c>
      <c r="P1172" s="3" t="str">
        <f>_xlfn.IFS('Data set'!$F1172&lt;120,"Low",'Data set'!$F1172&lt;=200,"Normal",'Data set'!$F1172&lt;=240,"Boarderline",'Data set'!$F1172&gt;=241,"High")</f>
        <v>High</v>
      </c>
      <c r="Q1172" s="3" t="str">
        <f>_xlfn.IFS('Data set'!$D1172&lt;=18.5,"Low",'Data set'!$D1172&lt;=24.9,"Normal",'Data set'!$D1172&lt;=29.9,"High",'Data set'!$D1172&gt;29.9,"Very High")</f>
        <v>High</v>
      </c>
    </row>
    <row r="1173" spans="1:17" x14ac:dyDescent="0.25">
      <c r="A1173" s="5">
        <v>67</v>
      </c>
      <c r="B1173" s="5" t="s">
        <v>0</v>
      </c>
      <c r="C1173" s="6">
        <v>207.06</v>
      </c>
      <c r="D1173" s="6">
        <v>24.97</v>
      </c>
      <c r="E1173" s="5" t="s">
        <v>6</v>
      </c>
      <c r="F1173" s="5">
        <v>127</v>
      </c>
      <c r="G1173" s="5" t="s">
        <v>301</v>
      </c>
      <c r="H1173" s="6">
        <v>6.41</v>
      </c>
      <c r="I1173" s="5">
        <v>7</v>
      </c>
      <c r="J1173" s="5" t="s">
        <v>4</v>
      </c>
      <c r="K1173" s="5" t="s">
        <v>3</v>
      </c>
      <c r="L1173" s="5">
        <v>104</v>
      </c>
      <c r="M1173" s="5">
        <v>72</v>
      </c>
      <c r="N1173" s="5" t="s">
        <v>21</v>
      </c>
      <c r="O1173" s="5" t="str">
        <f>_xlfn.IFS('Data set'!$H1173&lt;5.7,"Normal",'Data set'!$H1173&lt;=6.4,"Prediabetes",'Data set'!$H1173&lt;=7.5,"Diabetes",'Data set'!$H1173&gt;=7.5,"Uncontrolled")</f>
        <v>Diabetes</v>
      </c>
      <c r="P1173" s="5" t="str">
        <f>_xlfn.IFS('Data set'!$F1173&lt;120,"Low",'Data set'!$F1173&lt;=200,"Normal",'Data set'!$F1173&lt;=240,"Boarderline",'Data set'!$F1173&gt;=241,"High")</f>
        <v>Normal</v>
      </c>
      <c r="Q1173" s="5" t="str">
        <f>_xlfn.IFS('Data set'!$D1173&lt;=18.5,"Low",'Data set'!$D1173&lt;=24.9,"Normal",'Data set'!$D1173&lt;=29.9,"High",'Data set'!$D1173&gt;29.9,"Very High")</f>
        <v>High</v>
      </c>
    </row>
    <row r="1174" spans="1:17" x14ac:dyDescent="0.25">
      <c r="A1174" s="3">
        <v>53</v>
      </c>
      <c r="B1174" s="3" t="s">
        <v>9</v>
      </c>
      <c r="C1174" s="4">
        <v>275.29000000000002</v>
      </c>
      <c r="D1174" s="4">
        <v>36.64</v>
      </c>
      <c r="E1174" s="3" t="s">
        <v>10</v>
      </c>
      <c r="F1174" s="3">
        <v>271</v>
      </c>
      <c r="G1174" s="3" t="s">
        <v>433</v>
      </c>
      <c r="H1174" s="4">
        <v>5.17</v>
      </c>
      <c r="I1174" s="3">
        <v>6</v>
      </c>
      <c r="J1174" s="3" t="s">
        <v>3</v>
      </c>
      <c r="K1174" s="3" t="s">
        <v>4</v>
      </c>
      <c r="L1174" s="3">
        <v>139</v>
      </c>
      <c r="M1174" s="3">
        <v>60</v>
      </c>
      <c r="N1174" s="3" t="s">
        <v>8</v>
      </c>
      <c r="O1174" s="3" t="str">
        <f>_xlfn.IFS('Data set'!$H1174&lt;5.7,"Normal",'Data set'!$H1174&lt;=6.4,"Prediabetes",'Data set'!$H1174&lt;=7.5,"Diabetes",'Data set'!$H1174&gt;=7.5,"Uncontrolled")</f>
        <v>Normal</v>
      </c>
      <c r="P1174" s="3" t="str">
        <f>_xlfn.IFS('Data set'!$F1174&lt;120,"Low",'Data set'!$F1174&lt;=200,"Normal",'Data set'!$F1174&lt;=240,"Boarderline",'Data set'!$F1174&gt;=241,"High")</f>
        <v>High</v>
      </c>
      <c r="Q1174" s="3" t="str">
        <f>_xlfn.IFS('Data set'!$D1174&lt;=18.5,"Low",'Data set'!$D1174&lt;=24.9,"Normal",'Data set'!$D1174&lt;=29.9,"High",'Data set'!$D1174&gt;29.9,"Very High")</f>
        <v>Very High</v>
      </c>
    </row>
    <row r="1175" spans="1:17" x14ac:dyDescent="0.25">
      <c r="A1175" s="5">
        <v>69</v>
      </c>
      <c r="B1175" s="5" t="s">
        <v>9</v>
      </c>
      <c r="C1175" s="6">
        <v>139.44999999999999</v>
      </c>
      <c r="D1175" s="6">
        <v>22.43</v>
      </c>
      <c r="E1175" s="5" t="s">
        <v>1</v>
      </c>
      <c r="F1175" s="5">
        <v>201</v>
      </c>
      <c r="G1175" s="5" t="s">
        <v>787</v>
      </c>
      <c r="H1175" s="6">
        <v>5.18</v>
      </c>
      <c r="I1175" s="5">
        <v>2</v>
      </c>
      <c r="J1175" s="5" t="s">
        <v>3</v>
      </c>
      <c r="K1175" s="5" t="s">
        <v>4</v>
      </c>
      <c r="L1175" s="5">
        <v>129</v>
      </c>
      <c r="M1175" s="5">
        <v>72</v>
      </c>
      <c r="N1175" s="5" t="s">
        <v>21</v>
      </c>
      <c r="O1175" s="5" t="str">
        <f>_xlfn.IFS('Data set'!$H1175&lt;5.7,"Normal",'Data set'!$H1175&lt;=6.4,"Prediabetes",'Data set'!$H1175&lt;=7.5,"Diabetes",'Data set'!$H1175&gt;=7.5,"Uncontrolled")</f>
        <v>Normal</v>
      </c>
      <c r="P1175" s="5" t="str">
        <f>_xlfn.IFS('Data set'!$F1175&lt;120,"Low",'Data set'!$F1175&lt;=200,"Normal",'Data set'!$F1175&lt;=240,"Boarderline",'Data set'!$F1175&gt;=241,"High")</f>
        <v>Boarderline</v>
      </c>
      <c r="Q1175" s="5" t="str">
        <f>_xlfn.IFS('Data set'!$D1175&lt;=18.5,"Low",'Data set'!$D1175&lt;=24.9,"Normal",'Data set'!$D1175&lt;=29.9,"High",'Data set'!$D1175&gt;29.9,"Very High")</f>
        <v>Normal</v>
      </c>
    </row>
    <row r="1176" spans="1:17" x14ac:dyDescent="0.25">
      <c r="A1176" s="3">
        <v>48</v>
      </c>
      <c r="B1176" s="3" t="s">
        <v>9</v>
      </c>
      <c r="C1176" s="4">
        <v>86.89</v>
      </c>
      <c r="D1176" s="4">
        <v>32.5</v>
      </c>
      <c r="E1176" s="3" t="s">
        <v>14</v>
      </c>
      <c r="F1176" s="3">
        <v>194</v>
      </c>
      <c r="G1176" s="3" t="s">
        <v>839</v>
      </c>
      <c r="H1176" s="4">
        <v>6.35</v>
      </c>
      <c r="I1176" s="3">
        <v>2</v>
      </c>
      <c r="J1176" s="3" t="s">
        <v>3</v>
      </c>
      <c r="K1176" s="3" t="s">
        <v>3</v>
      </c>
      <c r="L1176" s="3">
        <v>98</v>
      </c>
      <c r="M1176" s="3">
        <v>65</v>
      </c>
      <c r="N1176" s="3" t="s">
        <v>23</v>
      </c>
      <c r="O1176" s="3" t="str">
        <f>_xlfn.IFS('Data set'!$H1176&lt;5.7,"Normal",'Data set'!$H1176&lt;=6.4,"Prediabetes",'Data set'!$H1176&lt;=7.5,"Diabetes",'Data set'!$H1176&gt;=7.5,"Uncontrolled")</f>
        <v>Prediabetes</v>
      </c>
      <c r="P1176" s="3" t="str">
        <f>_xlfn.IFS('Data set'!$F1176&lt;120,"Low",'Data set'!$F1176&lt;=200,"Normal",'Data set'!$F1176&lt;=240,"Boarderline",'Data set'!$F1176&gt;=241,"High")</f>
        <v>Normal</v>
      </c>
      <c r="Q1176" s="3" t="str">
        <f>_xlfn.IFS('Data set'!$D1176&lt;=18.5,"Low",'Data set'!$D1176&lt;=24.9,"Normal",'Data set'!$D1176&lt;=29.9,"High",'Data set'!$D1176&gt;29.9,"Very High")</f>
        <v>Very High</v>
      </c>
    </row>
    <row r="1177" spans="1:17" x14ac:dyDescent="0.25">
      <c r="A1177" s="5">
        <v>37</v>
      </c>
      <c r="B1177" s="5" t="s">
        <v>9</v>
      </c>
      <c r="C1177" s="6">
        <v>211.97</v>
      </c>
      <c r="D1177" s="6">
        <v>23.07</v>
      </c>
      <c r="E1177" s="5" t="s">
        <v>1</v>
      </c>
      <c r="F1177" s="5">
        <v>185</v>
      </c>
      <c r="G1177" s="5" t="s">
        <v>796</v>
      </c>
      <c r="H1177" s="6">
        <v>7.75</v>
      </c>
      <c r="I1177" s="5">
        <v>4</v>
      </c>
      <c r="J1177" s="5" t="s">
        <v>4</v>
      </c>
      <c r="K1177" s="5" t="s">
        <v>3</v>
      </c>
      <c r="L1177" s="5">
        <v>125</v>
      </c>
      <c r="M1177" s="5">
        <v>84</v>
      </c>
      <c r="N1177" s="5" t="s">
        <v>12</v>
      </c>
      <c r="O1177" s="5" t="str">
        <f>_xlfn.IFS('Data set'!$H1177&lt;5.7,"Normal",'Data set'!$H1177&lt;=6.4,"Prediabetes",'Data set'!$H1177&lt;=7.5,"Diabetes",'Data set'!$H1177&gt;=7.5,"Uncontrolled")</f>
        <v>Uncontrolled</v>
      </c>
      <c r="P1177" s="5" t="str">
        <f>_xlfn.IFS('Data set'!$F1177&lt;120,"Low",'Data set'!$F1177&lt;=200,"Normal",'Data set'!$F1177&lt;=240,"Boarderline",'Data set'!$F1177&gt;=241,"High")</f>
        <v>Normal</v>
      </c>
      <c r="Q1177" s="5" t="str">
        <f>_xlfn.IFS('Data set'!$D1177&lt;=18.5,"Low",'Data set'!$D1177&lt;=24.9,"Normal",'Data set'!$D1177&lt;=29.9,"High",'Data set'!$D1177&gt;29.9,"Very High")</f>
        <v>Normal</v>
      </c>
    </row>
    <row r="1178" spans="1:17" x14ac:dyDescent="0.25">
      <c r="A1178" s="3">
        <v>23</v>
      </c>
      <c r="B1178" s="3" t="s">
        <v>9</v>
      </c>
      <c r="C1178" s="4">
        <v>161.15</v>
      </c>
      <c r="D1178" s="4">
        <v>32.65</v>
      </c>
      <c r="E1178" s="3" t="s">
        <v>14</v>
      </c>
      <c r="F1178" s="3">
        <v>167</v>
      </c>
      <c r="G1178" s="3" t="s">
        <v>840</v>
      </c>
      <c r="H1178" s="4">
        <v>5.39</v>
      </c>
      <c r="I1178" s="3">
        <v>1</v>
      </c>
      <c r="J1178" s="3" t="s">
        <v>3</v>
      </c>
      <c r="K1178" s="3" t="s">
        <v>3</v>
      </c>
      <c r="L1178" s="3">
        <v>92</v>
      </c>
      <c r="M1178" s="3">
        <v>70</v>
      </c>
      <c r="N1178" s="3" t="s">
        <v>17</v>
      </c>
      <c r="O1178" s="3" t="str">
        <f>_xlfn.IFS('Data set'!$H1178&lt;5.7,"Normal",'Data set'!$H1178&lt;=6.4,"Prediabetes",'Data set'!$H1178&lt;=7.5,"Diabetes",'Data set'!$H1178&gt;=7.5,"Uncontrolled")</f>
        <v>Normal</v>
      </c>
      <c r="P1178" s="3" t="str">
        <f>_xlfn.IFS('Data set'!$F1178&lt;120,"Low",'Data set'!$F1178&lt;=200,"Normal",'Data set'!$F1178&lt;=240,"Boarderline",'Data set'!$F1178&gt;=241,"High")</f>
        <v>Normal</v>
      </c>
      <c r="Q1178" s="3" t="str">
        <f>_xlfn.IFS('Data set'!$D1178&lt;=18.5,"Low",'Data set'!$D1178&lt;=24.9,"Normal",'Data set'!$D1178&lt;=29.9,"High",'Data set'!$D1178&gt;29.9,"Very High")</f>
        <v>Very High</v>
      </c>
    </row>
    <row r="1179" spans="1:17" x14ac:dyDescent="0.25">
      <c r="A1179" s="5">
        <v>53</v>
      </c>
      <c r="B1179" s="5" t="s">
        <v>9</v>
      </c>
      <c r="C1179" s="6">
        <v>146.88</v>
      </c>
      <c r="D1179" s="6">
        <v>23.87</v>
      </c>
      <c r="E1179" s="5" t="s">
        <v>14</v>
      </c>
      <c r="F1179" s="5">
        <v>209</v>
      </c>
      <c r="G1179" s="5" t="s">
        <v>841</v>
      </c>
      <c r="H1179" s="6">
        <v>8.69</v>
      </c>
      <c r="I1179" s="5">
        <v>3</v>
      </c>
      <c r="J1179" s="5" t="s">
        <v>3</v>
      </c>
      <c r="K1179" s="5" t="s">
        <v>3</v>
      </c>
      <c r="L1179" s="5">
        <v>129</v>
      </c>
      <c r="M1179" s="5">
        <v>76</v>
      </c>
      <c r="N1179" s="5" t="s">
        <v>8</v>
      </c>
      <c r="O1179" s="5" t="str">
        <f>_xlfn.IFS('Data set'!$H1179&lt;5.7,"Normal",'Data set'!$H1179&lt;=6.4,"Prediabetes",'Data set'!$H1179&lt;=7.5,"Diabetes",'Data set'!$H1179&gt;=7.5,"Uncontrolled")</f>
        <v>Uncontrolled</v>
      </c>
      <c r="P1179" s="5" t="str">
        <f>_xlfn.IFS('Data set'!$F1179&lt;120,"Low",'Data set'!$F1179&lt;=200,"Normal",'Data set'!$F1179&lt;=240,"Boarderline",'Data set'!$F1179&gt;=241,"High")</f>
        <v>Boarderline</v>
      </c>
      <c r="Q1179" s="5" t="str">
        <f>_xlfn.IFS('Data set'!$D1179&lt;=18.5,"Low",'Data set'!$D1179&lt;=24.9,"Normal",'Data set'!$D1179&lt;=29.9,"High",'Data set'!$D1179&gt;29.9,"Very High")</f>
        <v>Normal</v>
      </c>
    </row>
    <row r="1180" spans="1:17" x14ac:dyDescent="0.25">
      <c r="A1180" s="3">
        <v>48</v>
      </c>
      <c r="B1180" s="3" t="s">
        <v>9</v>
      </c>
      <c r="C1180" s="4">
        <v>101.7</v>
      </c>
      <c r="D1180" s="4">
        <v>37.630000000000003</v>
      </c>
      <c r="E1180" s="3" t="s">
        <v>1</v>
      </c>
      <c r="F1180" s="3">
        <v>122</v>
      </c>
      <c r="G1180" s="3" t="s">
        <v>822</v>
      </c>
      <c r="H1180" s="4">
        <v>8.56</v>
      </c>
      <c r="I1180" s="3">
        <v>1</v>
      </c>
      <c r="J1180" s="3" t="s">
        <v>3</v>
      </c>
      <c r="K1180" s="3" t="s">
        <v>3</v>
      </c>
      <c r="L1180" s="3">
        <v>132</v>
      </c>
      <c r="M1180" s="3">
        <v>76</v>
      </c>
      <c r="N1180" s="3" t="s">
        <v>23</v>
      </c>
      <c r="O1180" s="3" t="str">
        <f>_xlfn.IFS('Data set'!$H1180&lt;5.7,"Normal",'Data set'!$H1180&lt;=6.4,"Prediabetes",'Data set'!$H1180&lt;=7.5,"Diabetes",'Data set'!$H1180&gt;=7.5,"Uncontrolled")</f>
        <v>Uncontrolled</v>
      </c>
      <c r="P1180" s="3" t="str">
        <f>_xlfn.IFS('Data set'!$F1180&lt;120,"Low",'Data set'!$F1180&lt;=200,"Normal",'Data set'!$F1180&lt;=240,"Boarderline",'Data set'!$F1180&gt;=241,"High")</f>
        <v>Normal</v>
      </c>
      <c r="Q1180" s="3" t="str">
        <f>_xlfn.IFS('Data set'!$D1180&lt;=18.5,"Low",'Data set'!$D1180&lt;=24.9,"Normal",'Data set'!$D1180&lt;=29.9,"High",'Data set'!$D1180&gt;29.9,"Very High")</f>
        <v>Very High</v>
      </c>
    </row>
    <row r="1181" spans="1:17" x14ac:dyDescent="0.25">
      <c r="A1181" s="5">
        <v>22</v>
      </c>
      <c r="B1181" s="5" t="s">
        <v>9</v>
      </c>
      <c r="C1181" s="6">
        <v>240.95</v>
      </c>
      <c r="D1181" s="6">
        <v>24.19</v>
      </c>
      <c r="E1181" s="5" t="s">
        <v>10</v>
      </c>
      <c r="F1181" s="5">
        <v>265</v>
      </c>
      <c r="G1181" s="5" t="s">
        <v>107</v>
      </c>
      <c r="H1181" s="6">
        <v>7.88</v>
      </c>
      <c r="I1181" s="5">
        <v>3</v>
      </c>
      <c r="J1181" s="5" t="s">
        <v>4</v>
      </c>
      <c r="K1181" s="5" t="s">
        <v>4</v>
      </c>
      <c r="L1181" s="5">
        <v>93</v>
      </c>
      <c r="M1181" s="5">
        <v>90</v>
      </c>
      <c r="N1181" s="5" t="s">
        <v>17</v>
      </c>
      <c r="O1181" s="5" t="str">
        <f>_xlfn.IFS('Data set'!$H1181&lt;5.7,"Normal",'Data set'!$H1181&lt;=6.4,"Prediabetes",'Data set'!$H1181&lt;=7.5,"Diabetes",'Data set'!$H1181&gt;=7.5,"Uncontrolled")</f>
        <v>Uncontrolled</v>
      </c>
      <c r="P1181" s="5" t="str">
        <f>_xlfn.IFS('Data set'!$F1181&lt;120,"Low",'Data set'!$F1181&lt;=200,"Normal",'Data set'!$F1181&lt;=240,"Boarderline",'Data set'!$F1181&gt;=241,"High")</f>
        <v>High</v>
      </c>
      <c r="Q1181" s="5" t="str">
        <f>_xlfn.IFS('Data set'!$D1181&lt;=18.5,"Low",'Data set'!$D1181&lt;=24.9,"Normal",'Data set'!$D1181&lt;=29.9,"High",'Data set'!$D1181&gt;29.9,"Very High")</f>
        <v>Normal</v>
      </c>
    </row>
    <row r="1182" spans="1:17" x14ac:dyDescent="0.25">
      <c r="A1182" s="3">
        <v>33</v>
      </c>
      <c r="B1182" s="3" t="s">
        <v>9</v>
      </c>
      <c r="C1182" s="4">
        <v>229.53</v>
      </c>
      <c r="D1182" s="4">
        <v>28.22</v>
      </c>
      <c r="E1182" s="3" t="s">
        <v>14</v>
      </c>
      <c r="F1182" s="3">
        <v>256</v>
      </c>
      <c r="G1182" s="3" t="s">
        <v>421</v>
      </c>
      <c r="H1182" s="4">
        <v>4.8</v>
      </c>
      <c r="I1182" s="3">
        <v>0</v>
      </c>
      <c r="J1182" s="3" t="s">
        <v>4</v>
      </c>
      <c r="K1182" s="3" t="s">
        <v>3</v>
      </c>
      <c r="L1182" s="3">
        <v>98</v>
      </c>
      <c r="M1182" s="3">
        <v>70</v>
      </c>
      <c r="N1182" s="3" t="s">
        <v>12</v>
      </c>
      <c r="O1182" s="3" t="str">
        <f>_xlfn.IFS('Data set'!$H1182&lt;5.7,"Normal",'Data set'!$H1182&lt;=6.4,"Prediabetes",'Data set'!$H1182&lt;=7.5,"Diabetes",'Data set'!$H1182&gt;=7.5,"Uncontrolled")</f>
        <v>Normal</v>
      </c>
      <c r="P1182" s="3" t="str">
        <f>_xlfn.IFS('Data set'!$F1182&lt;120,"Low",'Data set'!$F1182&lt;=200,"Normal",'Data set'!$F1182&lt;=240,"Boarderline",'Data set'!$F1182&gt;=241,"High")</f>
        <v>High</v>
      </c>
      <c r="Q1182" s="3" t="str">
        <f>_xlfn.IFS('Data set'!$D1182&lt;=18.5,"Low",'Data set'!$D1182&lt;=24.9,"Normal",'Data set'!$D1182&lt;=29.9,"High",'Data set'!$D1182&gt;29.9,"Very High")</f>
        <v>High</v>
      </c>
    </row>
    <row r="1183" spans="1:17" x14ac:dyDescent="0.25">
      <c r="A1183" s="5">
        <v>67</v>
      </c>
      <c r="B1183" s="5" t="s">
        <v>9</v>
      </c>
      <c r="C1183" s="6">
        <v>216.31</v>
      </c>
      <c r="D1183" s="6">
        <v>34.53</v>
      </c>
      <c r="E1183" s="5" t="s">
        <v>1</v>
      </c>
      <c r="F1183" s="5">
        <v>101</v>
      </c>
      <c r="G1183" s="5" t="s">
        <v>814</v>
      </c>
      <c r="H1183" s="6">
        <v>9.02</v>
      </c>
      <c r="I1183" s="5">
        <v>0</v>
      </c>
      <c r="J1183" s="5" t="s">
        <v>4</v>
      </c>
      <c r="K1183" s="5" t="s">
        <v>4</v>
      </c>
      <c r="L1183" s="5">
        <v>120</v>
      </c>
      <c r="M1183" s="5">
        <v>69</v>
      </c>
      <c r="N1183" s="5" t="s">
        <v>21</v>
      </c>
      <c r="O1183" s="5" t="str">
        <f>_xlfn.IFS('Data set'!$H1183&lt;5.7,"Normal",'Data set'!$H1183&lt;=6.4,"Prediabetes",'Data set'!$H1183&lt;=7.5,"Diabetes",'Data set'!$H1183&gt;=7.5,"Uncontrolled")</f>
        <v>Uncontrolled</v>
      </c>
      <c r="P1183" s="5" t="str">
        <f>_xlfn.IFS('Data set'!$F1183&lt;120,"Low",'Data set'!$F1183&lt;=200,"Normal",'Data set'!$F1183&lt;=240,"Boarderline",'Data set'!$F1183&gt;=241,"High")</f>
        <v>Low</v>
      </c>
      <c r="Q1183" s="5" t="str">
        <f>_xlfn.IFS('Data set'!$D1183&lt;=18.5,"Low",'Data set'!$D1183&lt;=24.9,"Normal",'Data set'!$D1183&lt;=29.9,"High",'Data set'!$D1183&gt;29.9,"Very High")</f>
        <v>Very High</v>
      </c>
    </row>
    <row r="1184" spans="1:17" x14ac:dyDescent="0.25">
      <c r="A1184" s="3">
        <v>37</v>
      </c>
      <c r="B1184" s="3" t="s">
        <v>9</v>
      </c>
      <c r="C1184" s="4">
        <v>298.17</v>
      </c>
      <c r="D1184" s="4">
        <v>21.19</v>
      </c>
      <c r="E1184" s="3" t="s">
        <v>14</v>
      </c>
      <c r="F1184" s="3">
        <v>282</v>
      </c>
      <c r="G1184" s="3" t="s">
        <v>842</v>
      </c>
      <c r="H1184" s="4">
        <v>9.5</v>
      </c>
      <c r="I1184" s="3">
        <v>5</v>
      </c>
      <c r="J1184" s="3" t="s">
        <v>4</v>
      </c>
      <c r="K1184" s="3" t="s">
        <v>4</v>
      </c>
      <c r="L1184" s="3">
        <v>133</v>
      </c>
      <c r="M1184" s="3">
        <v>76</v>
      </c>
      <c r="N1184" s="3" t="s">
        <v>12</v>
      </c>
      <c r="O1184" s="3" t="str">
        <f>_xlfn.IFS('Data set'!$H1184&lt;5.7,"Normal",'Data set'!$H1184&lt;=6.4,"Prediabetes",'Data set'!$H1184&lt;=7.5,"Diabetes",'Data set'!$H1184&gt;=7.5,"Uncontrolled")</f>
        <v>Uncontrolled</v>
      </c>
      <c r="P1184" s="3" t="str">
        <f>_xlfn.IFS('Data set'!$F1184&lt;120,"Low",'Data set'!$F1184&lt;=200,"Normal",'Data set'!$F1184&lt;=240,"Boarderline",'Data set'!$F1184&gt;=241,"High")</f>
        <v>High</v>
      </c>
      <c r="Q1184" s="3" t="str">
        <f>_xlfn.IFS('Data set'!$D1184&lt;=18.5,"Low",'Data set'!$D1184&lt;=24.9,"Normal",'Data set'!$D1184&lt;=29.9,"High",'Data set'!$D1184&gt;29.9,"Very High")</f>
        <v>Normal</v>
      </c>
    </row>
    <row r="1185" spans="1:17" x14ac:dyDescent="0.25">
      <c r="A1185" s="5">
        <v>23</v>
      </c>
      <c r="B1185" s="5" t="s">
        <v>9</v>
      </c>
      <c r="C1185" s="6">
        <v>88.25</v>
      </c>
      <c r="D1185" s="6">
        <v>26.04</v>
      </c>
      <c r="E1185" s="5" t="s">
        <v>1</v>
      </c>
      <c r="F1185" s="5">
        <v>137</v>
      </c>
      <c r="G1185" s="5" t="s">
        <v>511</v>
      </c>
      <c r="H1185" s="6">
        <v>6.92</v>
      </c>
      <c r="I1185" s="5">
        <v>4</v>
      </c>
      <c r="J1185" s="5" t="s">
        <v>3</v>
      </c>
      <c r="K1185" s="5" t="s">
        <v>4</v>
      </c>
      <c r="L1185" s="5">
        <v>116</v>
      </c>
      <c r="M1185" s="5">
        <v>62</v>
      </c>
      <c r="N1185" s="5" t="s">
        <v>17</v>
      </c>
      <c r="O1185" s="5" t="str">
        <f>_xlfn.IFS('Data set'!$H1185&lt;5.7,"Normal",'Data set'!$H1185&lt;=6.4,"Prediabetes",'Data set'!$H1185&lt;=7.5,"Diabetes",'Data set'!$H1185&gt;=7.5,"Uncontrolled")</f>
        <v>Diabetes</v>
      </c>
      <c r="P1185" s="5" t="str">
        <f>_xlfn.IFS('Data set'!$F1185&lt;120,"Low",'Data set'!$F1185&lt;=200,"Normal",'Data set'!$F1185&lt;=240,"Boarderline",'Data set'!$F1185&gt;=241,"High")</f>
        <v>Normal</v>
      </c>
      <c r="Q1185" s="5" t="str">
        <f>_xlfn.IFS('Data set'!$D1185&lt;=18.5,"Low",'Data set'!$D1185&lt;=24.9,"Normal",'Data set'!$D1185&lt;=29.9,"High",'Data set'!$D1185&gt;29.9,"Very High")</f>
        <v>High</v>
      </c>
    </row>
    <row r="1186" spans="1:17" x14ac:dyDescent="0.25">
      <c r="A1186" s="3">
        <v>55</v>
      </c>
      <c r="B1186" s="3" t="s">
        <v>9</v>
      </c>
      <c r="C1186" s="4">
        <v>212.8</v>
      </c>
      <c r="D1186" s="4">
        <v>29.22</v>
      </c>
      <c r="E1186" s="3" t="s">
        <v>1</v>
      </c>
      <c r="F1186" s="3">
        <v>228</v>
      </c>
      <c r="G1186" s="3" t="s">
        <v>823</v>
      </c>
      <c r="H1186" s="4">
        <v>4.1900000000000004</v>
      </c>
      <c r="I1186" s="3">
        <v>4</v>
      </c>
      <c r="J1186" s="3" t="s">
        <v>4</v>
      </c>
      <c r="K1186" s="3" t="s">
        <v>3</v>
      </c>
      <c r="L1186" s="3">
        <v>92</v>
      </c>
      <c r="M1186" s="3">
        <v>73</v>
      </c>
      <c r="N1186" s="3" t="s">
        <v>8</v>
      </c>
      <c r="O1186" s="3" t="str">
        <f>_xlfn.IFS('Data set'!$H1186&lt;5.7,"Normal",'Data set'!$H1186&lt;=6.4,"Prediabetes",'Data set'!$H1186&lt;=7.5,"Diabetes",'Data set'!$H1186&gt;=7.5,"Uncontrolled")</f>
        <v>Normal</v>
      </c>
      <c r="P1186" s="3" t="str">
        <f>_xlfn.IFS('Data set'!$F1186&lt;120,"Low",'Data set'!$F1186&lt;=200,"Normal",'Data set'!$F1186&lt;=240,"Boarderline",'Data set'!$F1186&gt;=241,"High")</f>
        <v>Boarderline</v>
      </c>
      <c r="Q1186" s="3" t="str">
        <f>_xlfn.IFS('Data set'!$D1186&lt;=18.5,"Low",'Data set'!$D1186&lt;=24.9,"Normal",'Data set'!$D1186&lt;=29.9,"High",'Data set'!$D1186&gt;29.9,"Very High")</f>
        <v>High</v>
      </c>
    </row>
    <row r="1187" spans="1:17" x14ac:dyDescent="0.25">
      <c r="A1187" s="5">
        <v>72</v>
      </c>
      <c r="B1187" s="5" t="s">
        <v>0</v>
      </c>
      <c r="C1187" s="6">
        <v>81.3</v>
      </c>
      <c r="D1187" s="6">
        <v>30.02</v>
      </c>
      <c r="E1187" s="5" t="s">
        <v>1</v>
      </c>
      <c r="F1187" s="5">
        <v>161</v>
      </c>
      <c r="G1187" s="5" t="s">
        <v>843</v>
      </c>
      <c r="H1187" s="6">
        <v>4.58</v>
      </c>
      <c r="I1187" s="5">
        <v>0</v>
      </c>
      <c r="J1187" s="5" t="s">
        <v>4</v>
      </c>
      <c r="K1187" s="5" t="s">
        <v>3</v>
      </c>
      <c r="L1187" s="5">
        <v>113</v>
      </c>
      <c r="M1187" s="5">
        <v>87</v>
      </c>
      <c r="N1187" s="5" t="s">
        <v>5</v>
      </c>
      <c r="O1187" s="5" t="str">
        <f>_xlfn.IFS('Data set'!$H1187&lt;5.7,"Normal",'Data set'!$H1187&lt;=6.4,"Prediabetes",'Data set'!$H1187&lt;=7.5,"Diabetes",'Data set'!$H1187&gt;=7.5,"Uncontrolled")</f>
        <v>Normal</v>
      </c>
      <c r="P1187" s="5" t="str">
        <f>_xlfn.IFS('Data set'!$F1187&lt;120,"Low",'Data set'!$F1187&lt;=200,"Normal",'Data set'!$F1187&lt;=240,"Boarderline",'Data set'!$F1187&gt;=241,"High")</f>
        <v>Normal</v>
      </c>
      <c r="Q1187" s="5" t="str">
        <f>_xlfn.IFS('Data set'!$D1187&lt;=18.5,"Low",'Data set'!$D1187&lt;=24.9,"Normal",'Data set'!$D1187&lt;=29.9,"High",'Data set'!$D1187&gt;29.9,"Very High")</f>
        <v>Very High</v>
      </c>
    </row>
    <row r="1188" spans="1:17" x14ac:dyDescent="0.25">
      <c r="A1188" s="3">
        <v>22</v>
      </c>
      <c r="B1188" s="3" t="s">
        <v>9</v>
      </c>
      <c r="C1188" s="4">
        <v>152.31</v>
      </c>
      <c r="D1188" s="4">
        <v>22.33</v>
      </c>
      <c r="E1188" s="3" t="s">
        <v>10</v>
      </c>
      <c r="F1188" s="3">
        <v>162</v>
      </c>
      <c r="G1188" s="3" t="s">
        <v>844</v>
      </c>
      <c r="H1188" s="4">
        <v>8.9700000000000006</v>
      </c>
      <c r="I1188" s="3">
        <v>0</v>
      </c>
      <c r="J1188" s="3" t="s">
        <v>4</v>
      </c>
      <c r="K1188" s="3" t="s">
        <v>3</v>
      </c>
      <c r="L1188" s="3">
        <v>136</v>
      </c>
      <c r="M1188" s="3">
        <v>82</v>
      </c>
      <c r="N1188" s="3" t="s">
        <v>17</v>
      </c>
      <c r="O1188" s="3" t="str">
        <f>_xlfn.IFS('Data set'!$H1188&lt;5.7,"Normal",'Data set'!$H1188&lt;=6.4,"Prediabetes",'Data set'!$H1188&lt;=7.5,"Diabetes",'Data set'!$H1188&gt;=7.5,"Uncontrolled")</f>
        <v>Uncontrolled</v>
      </c>
      <c r="P1188" s="3" t="str">
        <f>_xlfn.IFS('Data set'!$F1188&lt;120,"Low",'Data set'!$F1188&lt;=200,"Normal",'Data set'!$F1188&lt;=240,"Boarderline",'Data set'!$F1188&gt;=241,"High")</f>
        <v>Normal</v>
      </c>
      <c r="Q1188" s="3" t="str">
        <f>_xlfn.IFS('Data set'!$D1188&lt;=18.5,"Low",'Data set'!$D1188&lt;=24.9,"Normal",'Data set'!$D1188&lt;=29.9,"High",'Data set'!$D1188&gt;29.9,"Very High")</f>
        <v>Normal</v>
      </c>
    </row>
    <row r="1189" spans="1:17" x14ac:dyDescent="0.25">
      <c r="A1189" s="5">
        <v>39</v>
      </c>
      <c r="B1189" s="5" t="s">
        <v>0</v>
      </c>
      <c r="C1189" s="6">
        <v>298.52999999999997</v>
      </c>
      <c r="D1189" s="6">
        <v>20.28</v>
      </c>
      <c r="E1189" s="5" t="s">
        <v>14</v>
      </c>
      <c r="F1189" s="5">
        <v>275</v>
      </c>
      <c r="G1189" s="5" t="s">
        <v>297</v>
      </c>
      <c r="H1189" s="6">
        <v>9.4600000000000009</v>
      </c>
      <c r="I1189" s="5">
        <v>0</v>
      </c>
      <c r="J1189" s="5" t="s">
        <v>4</v>
      </c>
      <c r="K1189" s="5" t="s">
        <v>3</v>
      </c>
      <c r="L1189" s="5">
        <v>140</v>
      </c>
      <c r="M1189" s="5">
        <v>85</v>
      </c>
      <c r="N1189" s="5" t="s">
        <v>12</v>
      </c>
      <c r="O1189" s="5" t="str">
        <f>_xlfn.IFS('Data set'!$H1189&lt;5.7,"Normal",'Data set'!$H1189&lt;=6.4,"Prediabetes",'Data set'!$H1189&lt;=7.5,"Diabetes",'Data set'!$H1189&gt;=7.5,"Uncontrolled")</f>
        <v>Uncontrolled</v>
      </c>
      <c r="P1189" s="5" t="str">
        <f>_xlfn.IFS('Data set'!$F1189&lt;120,"Low",'Data set'!$F1189&lt;=200,"Normal",'Data set'!$F1189&lt;=240,"Boarderline",'Data set'!$F1189&gt;=241,"High")</f>
        <v>High</v>
      </c>
      <c r="Q1189" s="5" t="str">
        <f>_xlfn.IFS('Data set'!$D1189&lt;=18.5,"Low",'Data set'!$D1189&lt;=24.9,"Normal",'Data set'!$D1189&lt;=29.9,"High",'Data set'!$D1189&gt;29.9,"Very High")</f>
        <v>Normal</v>
      </c>
    </row>
    <row r="1190" spans="1:17" x14ac:dyDescent="0.25">
      <c r="A1190" s="3">
        <v>67</v>
      </c>
      <c r="B1190" s="3" t="s">
        <v>9</v>
      </c>
      <c r="C1190" s="4">
        <v>187.52</v>
      </c>
      <c r="D1190" s="4">
        <v>30.91</v>
      </c>
      <c r="E1190" s="3" t="s">
        <v>1</v>
      </c>
      <c r="F1190" s="3">
        <v>237</v>
      </c>
      <c r="G1190" s="3" t="s">
        <v>528</v>
      </c>
      <c r="H1190" s="4">
        <v>5</v>
      </c>
      <c r="I1190" s="3">
        <v>5</v>
      </c>
      <c r="J1190" s="3" t="s">
        <v>4</v>
      </c>
      <c r="K1190" s="3" t="s">
        <v>4</v>
      </c>
      <c r="L1190" s="3">
        <v>138</v>
      </c>
      <c r="M1190" s="3">
        <v>64</v>
      </c>
      <c r="N1190" s="3" t="s">
        <v>21</v>
      </c>
      <c r="O1190" s="3" t="str">
        <f>_xlfn.IFS('Data set'!$H1190&lt;5.7,"Normal",'Data set'!$H1190&lt;=6.4,"Prediabetes",'Data set'!$H1190&lt;=7.5,"Diabetes",'Data set'!$H1190&gt;=7.5,"Uncontrolled")</f>
        <v>Normal</v>
      </c>
      <c r="P1190" s="3" t="str">
        <f>_xlfn.IFS('Data set'!$F1190&lt;120,"Low",'Data set'!$F1190&lt;=200,"Normal",'Data set'!$F1190&lt;=240,"Boarderline",'Data set'!$F1190&gt;=241,"High")</f>
        <v>Boarderline</v>
      </c>
      <c r="Q1190" s="3" t="str">
        <f>_xlfn.IFS('Data set'!$D1190&lt;=18.5,"Low",'Data set'!$D1190&lt;=24.9,"Normal",'Data set'!$D1190&lt;=29.9,"High",'Data set'!$D1190&gt;29.9,"Very High")</f>
        <v>Very High</v>
      </c>
    </row>
    <row r="1191" spans="1:17" x14ac:dyDescent="0.25">
      <c r="A1191" s="5">
        <v>55</v>
      </c>
      <c r="B1191" s="5" t="s">
        <v>0</v>
      </c>
      <c r="C1191" s="6">
        <v>262.61</v>
      </c>
      <c r="D1191" s="6">
        <v>36.630000000000003</v>
      </c>
      <c r="E1191" s="5" t="s">
        <v>14</v>
      </c>
      <c r="F1191" s="5">
        <v>155</v>
      </c>
      <c r="G1191" s="5" t="s">
        <v>35</v>
      </c>
      <c r="H1191" s="6">
        <v>6.74</v>
      </c>
      <c r="I1191" s="5">
        <v>6</v>
      </c>
      <c r="J1191" s="5" t="s">
        <v>3</v>
      </c>
      <c r="K1191" s="5" t="s">
        <v>4</v>
      </c>
      <c r="L1191" s="5">
        <v>140</v>
      </c>
      <c r="M1191" s="5">
        <v>83</v>
      </c>
      <c r="N1191" s="5" t="s">
        <v>8</v>
      </c>
      <c r="O1191" s="5" t="str">
        <f>_xlfn.IFS('Data set'!$H1191&lt;5.7,"Normal",'Data set'!$H1191&lt;=6.4,"Prediabetes",'Data set'!$H1191&lt;=7.5,"Diabetes",'Data set'!$H1191&gt;=7.5,"Uncontrolled")</f>
        <v>Diabetes</v>
      </c>
      <c r="P1191" s="5" t="str">
        <f>_xlfn.IFS('Data set'!$F1191&lt;120,"Low",'Data set'!$F1191&lt;=200,"Normal",'Data set'!$F1191&lt;=240,"Boarderline",'Data set'!$F1191&gt;=241,"High")</f>
        <v>Normal</v>
      </c>
      <c r="Q1191" s="5" t="str">
        <f>_xlfn.IFS('Data set'!$D1191&lt;=18.5,"Low",'Data set'!$D1191&lt;=24.9,"Normal",'Data set'!$D1191&lt;=29.9,"High",'Data set'!$D1191&gt;29.9,"Very High")</f>
        <v>Very High</v>
      </c>
    </row>
    <row r="1192" spans="1:17" x14ac:dyDescent="0.25">
      <c r="A1192" s="3">
        <v>39</v>
      </c>
      <c r="B1192" s="3" t="s">
        <v>0</v>
      </c>
      <c r="C1192" s="4">
        <v>71.400000000000006</v>
      </c>
      <c r="D1192" s="4">
        <v>36.86</v>
      </c>
      <c r="E1192" s="3" t="s">
        <v>1</v>
      </c>
      <c r="F1192" s="3">
        <v>163</v>
      </c>
      <c r="G1192" s="3" t="s">
        <v>845</v>
      </c>
      <c r="H1192" s="4">
        <v>7.82</v>
      </c>
      <c r="I1192" s="3">
        <v>3</v>
      </c>
      <c r="J1192" s="3" t="s">
        <v>4</v>
      </c>
      <c r="K1192" s="3" t="s">
        <v>4</v>
      </c>
      <c r="L1192" s="3">
        <v>115</v>
      </c>
      <c r="M1192" s="3">
        <v>83</v>
      </c>
      <c r="N1192" s="3" t="s">
        <v>12</v>
      </c>
      <c r="O1192" s="3" t="str">
        <f>_xlfn.IFS('Data set'!$H1192&lt;5.7,"Normal",'Data set'!$H1192&lt;=6.4,"Prediabetes",'Data set'!$H1192&lt;=7.5,"Diabetes",'Data set'!$H1192&gt;=7.5,"Uncontrolled")</f>
        <v>Uncontrolled</v>
      </c>
      <c r="P1192" s="3" t="str">
        <f>_xlfn.IFS('Data set'!$F1192&lt;120,"Low",'Data set'!$F1192&lt;=200,"Normal",'Data set'!$F1192&lt;=240,"Boarderline",'Data set'!$F1192&gt;=241,"High")</f>
        <v>Normal</v>
      </c>
      <c r="Q1192" s="3" t="str">
        <f>_xlfn.IFS('Data set'!$D1192&lt;=18.5,"Low",'Data set'!$D1192&lt;=24.9,"Normal",'Data set'!$D1192&lt;=29.9,"High",'Data set'!$D1192&gt;29.9,"Very High")</f>
        <v>Very High</v>
      </c>
    </row>
    <row r="1193" spans="1:17" x14ac:dyDescent="0.25">
      <c r="A1193" s="5">
        <v>67</v>
      </c>
      <c r="B1193" s="5" t="s">
        <v>9</v>
      </c>
      <c r="C1193" s="6">
        <v>73.599999999999994</v>
      </c>
      <c r="D1193" s="6">
        <v>37.71</v>
      </c>
      <c r="E1193" s="5" t="s">
        <v>6</v>
      </c>
      <c r="F1193" s="5">
        <v>128</v>
      </c>
      <c r="G1193" s="5" t="s">
        <v>846</v>
      </c>
      <c r="H1193" s="6">
        <v>8.06</v>
      </c>
      <c r="I1193" s="5">
        <v>5</v>
      </c>
      <c r="J1193" s="5" t="s">
        <v>4</v>
      </c>
      <c r="K1193" s="5" t="s">
        <v>4</v>
      </c>
      <c r="L1193" s="5">
        <v>100</v>
      </c>
      <c r="M1193" s="5">
        <v>70</v>
      </c>
      <c r="N1193" s="5" t="s">
        <v>21</v>
      </c>
      <c r="O1193" s="5" t="str">
        <f>_xlfn.IFS('Data set'!$H1193&lt;5.7,"Normal",'Data set'!$H1193&lt;=6.4,"Prediabetes",'Data set'!$H1193&lt;=7.5,"Diabetes",'Data set'!$H1193&gt;=7.5,"Uncontrolled")</f>
        <v>Uncontrolled</v>
      </c>
      <c r="P1193" s="5" t="str">
        <f>_xlfn.IFS('Data set'!$F1193&lt;120,"Low",'Data set'!$F1193&lt;=200,"Normal",'Data set'!$F1193&lt;=240,"Boarderline",'Data set'!$F1193&gt;=241,"High")</f>
        <v>Normal</v>
      </c>
      <c r="Q1193" s="5" t="str">
        <f>_xlfn.IFS('Data set'!$D1193&lt;=18.5,"Low",'Data set'!$D1193&lt;=24.9,"Normal",'Data set'!$D1193&lt;=29.9,"High",'Data set'!$D1193&gt;29.9,"Very High")</f>
        <v>Very High</v>
      </c>
    </row>
    <row r="1194" spans="1:17" x14ac:dyDescent="0.25">
      <c r="A1194" s="3">
        <v>66</v>
      </c>
      <c r="B1194" s="3" t="s">
        <v>9</v>
      </c>
      <c r="C1194" s="4">
        <v>145</v>
      </c>
      <c r="D1194" s="4">
        <v>23.88</v>
      </c>
      <c r="E1194" s="3" t="s">
        <v>10</v>
      </c>
      <c r="F1194" s="3">
        <v>229</v>
      </c>
      <c r="G1194" s="3" t="s">
        <v>790</v>
      </c>
      <c r="H1194" s="4">
        <v>4.34</v>
      </c>
      <c r="I1194" s="3">
        <v>0</v>
      </c>
      <c r="J1194" s="3" t="s">
        <v>3</v>
      </c>
      <c r="K1194" s="3" t="s">
        <v>4</v>
      </c>
      <c r="L1194" s="3">
        <v>124</v>
      </c>
      <c r="M1194" s="3">
        <v>60</v>
      </c>
      <c r="N1194" s="3" t="s">
        <v>21</v>
      </c>
      <c r="O1194" s="3" t="str">
        <f>_xlfn.IFS('Data set'!$H1194&lt;5.7,"Normal",'Data set'!$H1194&lt;=6.4,"Prediabetes",'Data set'!$H1194&lt;=7.5,"Diabetes",'Data set'!$H1194&gt;=7.5,"Uncontrolled")</f>
        <v>Normal</v>
      </c>
      <c r="P1194" s="3" t="str">
        <f>_xlfn.IFS('Data set'!$F1194&lt;120,"Low",'Data set'!$F1194&lt;=200,"Normal",'Data set'!$F1194&lt;=240,"Boarderline",'Data set'!$F1194&gt;=241,"High")</f>
        <v>Boarderline</v>
      </c>
      <c r="Q1194" s="3" t="str">
        <f>_xlfn.IFS('Data set'!$D1194&lt;=18.5,"Low",'Data set'!$D1194&lt;=24.9,"Normal",'Data set'!$D1194&lt;=29.9,"High",'Data set'!$D1194&gt;29.9,"Very High")</f>
        <v>Normal</v>
      </c>
    </row>
    <row r="1195" spans="1:17" x14ac:dyDescent="0.25">
      <c r="A1195" s="5">
        <v>28</v>
      </c>
      <c r="B1195" s="5" t="s">
        <v>9</v>
      </c>
      <c r="C1195" s="6">
        <v>223.59</v>
      </c>
      <c r="D1195" s="6">
        <v>39.700000000000003</v>
      </c>
      <c r="E1195" s="5" t="s">
        <v>14</v>
      </c>
      <c r="F1195" s="5">
        <v>209</v>
      </c>
      <c r="G1195" s="5" t="s">
        <v>196</v>
      </c>
      <c r="H1195" s="6">
        <v>5.22</v>
      </c>
      <c r="I1195" s="5">
        <v>6</v>
      </c>
      <c r="J1195" s="5" t="s">
        <v>3</v>
      </c>
      <c r="K1195" s="5" t="s">
        <v>3</v>
      </c>
      <c r="L1195" s="5">
        <v>134</v>
      </c>
      <c r="M1195" s="5">
        <v>72</v>
      </c>
      <c r="N1195" s="5" t="s">
        <v>17</v>
      </c>
      <c r="O1195" s="5" t="str">
        <f>_xlfn.IFS('Data set'!$H1195&lt;5.7,"Normal",'Data set'!$H1195&lt;=6.4,"Prediabetes",'Data set'!$H1195&lt;=7.5,"Diabetes",'Data set'!$H1195&gt;=7.5,"Uncontrolled")</f>
        <v>Normal</v>
      </c>
      <c r="P1195" s="5" t="str">
        <f>_xlfn.IFS('Data set'!$F1195&lt;120,"Low",'Data set'!$F1195&lt;=200,"Normal",'Data set'!$F1195&lt;=240,"Boarderline",'Data set'!$F1195&gt;=241,"High")</f>
        <v>Boarderline</v>
      </c>
      <c r="Q1195" s="5" t="str">
        <f>_xlfn.IFS('Data set'!$D1195&lt;=18.5,"Low",'Data set'!$D1195&lt;=24.9,"Normal",'Data set'!$D1195&lt;=29.9,"High",'Data set'!$D1195&gt;29.9,"Very High")</f>
        <v>Very High</v>
      </c>
    </row>
    <row r="1196" spans="1:17" x14ac:dyDescent="0.25">
      <c r="A1196" s="3">
        <v>35</v>
      </c>
      <c r="B1196" s="3" t="s">
        <v>9</v>
      </c>
      <c r="C1196" s="4">
        <v>118.48</v>
      </c>
      <c r="D1196" s="4">
        <v>32.9</v>
      </c>
      <c r="E1196" s="3" t="s">
        <v>14</v>
      </c>
      <c r="F1196" s="3">
        <v>119</v>
      </c>
      <c r="G1196" s="3" t="s">
        <v>847</v>
      </c>
      <c r="H1196" s="4">
        <v>8.89</v>
      </c>
      <c r="I1196" s="3">
        <v>6</v>
      </c>
      <c r="J1196" s="3" t="s">
        <v>3</v>
      </c>
      <c r="K1196" s="3" t="s">
        <v>3</v>
      </c>
      <c r="L1196" s="3">
        <v>99</v>
      </c>
      <c r="M1196" s="3">
        <v>66</v>
      </c>
      <c r="N1196" s="3" t="s">
        <v>12</v>
      </c>
      <c r="O1196" s="3" t="str">
        <f>_xlfn.IFS('Data set'!$H1196&lt;5.7,"Normal",'Data set'!$H1196&lt;=6.4,"Prediabetes",'Data set'!$H1196&lt;=7.5,"Diabetes",'Data set'!$H1196&gt;=7.5,"Uncontrolled")</f>
        <v>Uncontrolled</v>
      </c>
      <c r="P1196" s="3" t="str">
        <f>_xlfn.IFS('Data set'!$F1196&lt;120,"Low",'Data set'!$F1196&lt;=200,"Normal",'Data set'!$F1196&lt;=240,"Boarderline",'Data set'!$F1196&gt;=241,"High")</f>
        <v>Low</v>
      </c>
      <c r="Q1196" s="3" t="str">
        <f>_xlfn.IFS('Data set'!$D1196&lt;=18.5,"Low",'Data set'!$D1196&lt;=24.9,"Normal",'Data set'!$D1196&lt;=29.9,"High",'Data set'!$D1196&gt;29.9,"Very High")</f>
        <v>Very High</v>
      </c>
    </row>
    <row r="1197" spans="1:17" x14ac:dyDescent="0.25">
      <c r="A1197" s="5">
        <v>64</v>
      </c>
      <c r="B1197" s="5" t="s">
        <v>9</v>
      </c>
      <c r="C1197" s="6">
        <v>288.17</v>
      </c>
      <c r="D1197" s="6">
        <v>38.07</v>
      </c>
      <c r="E1197" s="5" t="s">
        <v>1</v>
      </c>
      <c r="F1197" s="5">
        <v>300</v>
      </c>
      <c r="G1197" s="5" t="s">
        <v>848</v>
      </c>
      <c r="H1197" s="6">
        <v>7.84</v>
      </c>
      <c r="I1197" s="5">
        <v>1</v>
      </c>
      <c r="J1197" s="5" t="s">
        <v>4</v>
      </c>
      <c r="K1197" s="5" t="s">
        <v>3</v>
      </c>
      <c r="L1197" s="5">
        <v>107</v>
      </c>
      <c r="M1197" s="5">
        <v>85</v>
      </c>
      <c r="N1197" s="5" t="s">
        <v>21</v>
      </c>
      <c r="O1197" s="5" t="str">
        <f>_xlfn.IFS('Data set'!$H1197&lt;5.7,"Normal",'Data set'!$H1197&lt;=6.4,"Prediabetes",'Data set'!$H1197&lt;=7.5,"Diabetes",'Data set'!$H1197&gt;=7.5,"Uncontrolled")</f>
        <v>Uncontrolled</v>
      </c>
      <c r="P1197" s="5" t="str">
        <f>_xlfn.IFS('Data set'!$F1197&lt;120,"Low",'Data set'!$F1197&lt;=200,"Normal",'Data set'!$F1197&lt;=240,"Boarderline",'Data set'!$F1197&gt;=241,"High")</f>
        <v>High</v>
      </c>
      <c r="Q1197" s="5" t="str">
        <f>_xlfn.IFS('Data set'!$D1197&lt;=18.5,"Low",'Data set'!$D1197&lt;=24.9,"Normal",'Data set'!$D1197&lt;=29.9,"High",'Data set'!$D1197&gt;29.9,"Very High")</f>
        <v>Very High</v>
      </c>
    </row>
    <row r="1198" spans="1:17" x14ac:dyDescent="0.25">
      <c r="A1198" s="3">
        <v>22</v>
      </c>
      <c r="B1198" s="3" t="s">
        <v>0</v>
      </c>
      <c r="C1198" s="4">
        <v>188.07</v>
      </c>
      <c r="D1198" s="4">
        <v>28.66</v>
      </c>
      <c r="E1198" s="3" t="s">
        <v>1</v>
      </c>
      <c r="F1198" s="3">
        <v>221</v>
      </c>
      <c r="G1198" s="3" t="s">
        <v>849</v>
      </c>
      <c r="H1198" s="4">
        <v>7.37</v>
      </c>
      <c r="I1198" s="3">
        <v>7</v>
      </c>
      <c r="J1198" s="3" t="s">
        <v>4</v>
      </c>
      <c r="K1198" s="3" t="s">
        <v>4</v>
      </c>
      <c r="L1198" s="3">
        <v>122</v>
      </c>
      <c r="M1198" s="3">
        <v>89</v>
      </c>
      <c r="N1198" s="3" t="s">
        <v>17</v>
      </c>
      <c r="O1198" s="3" t="str">
        <f>_xlfn.IFS('Data set'!$H1198&lt;5.7,"Normal",'Data set'!$H1198&lt;=6.4,"Prediabetes",'Data set'!$H1198&lt;=7.5,"Diabetes",'Data set'!$H1198&gt;=7.5,"Uncontrolled")</f>
        <v>Diabetes</v>
      </c>
      <c r="P1198" s="3" t="str">
        <f>_xlfn.IFS('Data set'!$F1198&lt;120,"Low",'Data set'!$F1198&lt;=200,"Normal",'Data set'!$F1198&lt;=240,"Boarderline",'Data set'!$F1198&gt;=241,"High")</f>
        <v>Boarderline</v>
      </c>
      <c r="Q1198" s="3" t="str">
        <f>_xlfn.IFS('Data set'!$D1198&lt;=18.5,"Low",'Data set'!$D1198&lt;=24.9,"Normal",'Data set'!$D1198&lt;=29.9,"High",'Data set'!$D1198&gt;29.9,"Very High")</f>
        <v>High</v>
      </c>
    </row>
    <row r="1199" spans="1:17" x14ac:dyDescent="0.25">
      <c r="A1199" s="5">
        <v>40</v>
      </c>
      <c r="B1199" s="5" t="s">
        <v>0</v>
      </c>
      <c r="C1199" s="6">
        <v>247.81</v>
      </c>
      <c r="D1199" s="6">
        <v>32.71</v>
      </c>
      <c r="E1199" s="5" t="s">
        <v>14</v>
      </c>
      <c r="F1199" s="5">
        <v>182</v>
      </c>
      <c r="G1199" s="5" t="s">
        <v>605</v>
      </c>
      <c r="H1199" s="6">
        <v>6.29</v>
      </c>
      <c r="I1199" s="5">
        <v>4</v>
      </c>
      <c r="J1199" s="5" t="s">
        <v>4</v>
      </c>
      <c r="K1199" s="5" t="s">
        <v>3</v>
      </c>
      <c r="L1199" s="5">
        <v>96</v>
      </c>
      <c r="M1199" s="5">
        <v>63</v>
      </c>
      <c r="N1199" s="5" t="s">
        <v>12</v>
      </c>
      <c r="O1199" s="5" t="str">
        <f>_xlfn.IFS('Data set'!$H1199&lt;5.7,"Normal",'Data set'!$H1199&lt;=6.4,"Prediabetes",'Data set'!$H1199&lt;=7.5,"Diabetes",'Data set'!$H1199&gt;=7.5,"Uncontrolled")</f>
        <v>Prediabetes</v>
      </c>
      <c r="P1199" s="5" t="str">
        <f>_xlfn.IFS('Data set'!$F1199&lt;120,"Low",'Data set'!$F1199&lt;=200,"Normal",'Data set'!$F1199&lt;=240,"Boarderline",'Data set'!$F1199&gt;=241,"High")</f>
        <v>Normal</v>
      </c>
      <c r="Q1199" s="5" t="str">
        <f>_xlfn.IFS('Data set'!$D1199&lt;=18.5,"Low",'Data set'!$D1199&lt;=24.9,"Normal",'Data set'!$D1199&lt;=29.9,"High",'Data set'!$D1199&gt;29.9,"Very High")</f>
        <v>Very High</v>
      </c>
    </row>
    <row r="1200" spans="1:17" x14ac:dyDescent="0.25">
      <c r="A1200" s="3">
        <v>72</v>
      </c>
      <c r="B1200" s="3" t="s">
        <v>0</v>
      </c>
      <c r="C1200" s="4">
        <v>261.58</v>
      </c>
      <c r="D1200" s="4">
        <v>33.28</v>
      </c>
      <c r="E1200" s="3" t="s">
        <v>10</v>
      </c>
      <c r="F1200" s="3">
        <v>119</v>
      </c>
      <c r="G1200" s="3" t="s">
        <v>19</v>
      </c>
      <c r="H1200" s="4">
        <v>8.14</v>
      </c>
      <c r="I1200" s="3">
        <v>1</v>
      </c>
      <c r="J1200" s="3" t="s">
        <v>4</v>
      </c>
      <c r="K1200" s="3" t="s">
        <v>4</v>
      </c>
      <c r="L1200" s="3">
        <v>120</v>
      </c>
      <c r="M1200" s="3">
        <v>83</v>
      </c>
      <c r="N1200" s="3" t="s">
        <v>5</v>
      </c>
      <c r="O1200" s="3" t="str">
        <f>_xlfn.IFS('Data set'!$H1200&lt;5.7,"Normal",'Data set'!$H1200&lt;=6.4,"Prediabetes",'Data set'!$H1200&lt;=7.5,"Diabetes",'Data set'!$H1200&gt;=7.5,"Uncontrolled")</f>
        <v>Uncontrolled</v>
      </c>
      <c r="P1200" s="3" t="str">
        <f>_xlfn.IFS('Data set'!$F1200&lt;120,"Low",'Data set'!$F1200&lt;=200,"Normal",'Data set'!$F1200&lt;=240,"Boarderline",'Data set'!$F1200&gt;=241,"High")</f>
        <v>Low</v>
      </c>
      <c r="Q1200" s="3" t="str">
        <f>_xlfn.IFS('Data set'!$D1200&lt;=18.5,"Low",'Data set'!$D1200&lt;=24.9,"Normal",'Data set'!$D1200&lt;=29.9,"High",'Data set'!$D1200&gt;29.9,"Very High")</f>
        <v>Very High</v>
      </c>
    </row>
    <row r="1201" spans="1:17" x14ac:dyDescent="0.25">
      <c r="A1201" s="5">
        <v>22</v>
      </c>
      <c r="B1201" s="5" t="s">
        <v>0</v>
      </c>
      <c r="C1201" s="6">
        <v>166.47</v>
      </c>
      <c r="D1201" s="6">
        <v>21.59</v>
      </c>
      <c r="E1201" s="5" t="s">
        <v>10</v>
      </c>
      <c r="F1201" s="5">
        <v>154</v>
      </c>
      <c r="G1201" s="5" t="s">
        <v>122</v>
      </c>
      <c r="H1201" s="6">
        <v>7.06</v>
      </c>
      <c r="I1201" s="5">
        <v>2</v>
      </c>
      <c r="J1201" s="5" t="s">
        <v>4</v>
      </c>
      <c r="K1201" s="5" t="s">
        <v>3</v>
      </c>
      <c r="L1201" s="5">
        <v>96</v>
      </c>
      <c r="M1201" s="5">
        <v>71</v>
      </c>
      <c r="N1201" s="5" t="s">
        <v>17</v>
      </c>
      <c r="O1201" s="5" t="str">
        <f>_xlfn.IFS('Data set'!$H1201&lt;5.7,"Normal",'Data set'!$H1201&lt;=6.4,"Prediabetes",'Data set'!$H1201&lt;=7.5,"Diabetes",'Data set'!$H1201&gt;=7.5,"Uncontrolled")</f>
        <v>Diabetes</v>
      </c>
      <c r="P1201" s="5" t="str">
        <f>_xlfn.IFS('Data set'!$F1201&lt;120,"Low",'Data set'!$F1201&lt;=200,"Normal",'Data set'!$F1201&lt;=240,"Boarderline",'Data set'!$F1201&gt;=241,"High")</f>
        <v>Normal</v>
      </c>
      <c r="Q1201" s="5" t="str">
        <f>_xlfn.IFS('Data set'!$D1201&lt;=18.5,"Low",'Data set'!$D1201&lt;=24.9,"Normal",'Data set'!$D1201&lt;=29.9,"High",'Data set'!$D1201&gt;29.9,"Very High")</f>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977A-E782-4502-8B25-277DE2E43AB9}">
  <dimension ref="A1:A15"/>
  <sheetViews>
    <sheetView workbookViewId="0">
      <selection activeCell="A14" sqref="A14"/>
    </sheetView>
  </sheetViews>
  <sheetFormatPr defaultRowHeight="15" x14ac:dyDescent="0.25"/>
  <cols>
    <col min="1" max="1" width="166.42578125" bestFit="1" customWidth="1"/>
  </cols>
  <sheetData>
    <row r="1" spans="1:1" ht="15.75" x14ac:dyDescent="0.25">
      <c r="A1" s="2"/>
    </row>
    <row r="3" spans="1:1" ht="15.75" x14ac:dyDescent="0.25">
      <c r="A3" s="2" t="s">
        <v>882</v>
      </c>
    </row>
    <row r="4" spans="1:1" ht="15.75" x14ac:dyDescent="0.25">
      <c r="A4" s="2" t="s">
        <v>867</v>
      </c>
    </row>
    <row r="5" spans="1:1" ht="15.75" x14ac:dyDescent="0.25">
      <c r="A5" s="2" t="s">
        <v>868</v>
      </c>
    </row>
    <row r="6" spans="1:1" ht="15.75" x14ac:dyDescent="0.25">
      <c r="A6" s="2" t="s">
        <v>869</v>
      </c>
    </row>
    <row r="7" spans="1:1" ht="15.75" x14ac:dyDescent="0.25">
      <c r="A7" s="2" t="s">
        <v>870</v>
      </c>
    </row>
    <row r="8" spans="1:1" ht="15.75" x14ac:dyDescent="0.25">
      <c r="A8" s="2" t="s">
        <v>871</v>
      </c>
    </row>
    <row r="10" spans="1:1" ht="15.75" x14ac:dyDescent="0.25">
      <c r="A10" s="2" t="s">
        <v>883</v>
      </c>
    </row>
    <row r="11" spans="1:1" ht="15.75" x14ac:dyDescent="0.25">
      <c r="A11" s="2" t="s">
        <v>872</v>
      </c>
    </row>
    <row r="12" spans="1:1" ht="15.75" x14ac:dyDescent="0.25">
      <c r="A12" s="2" t="s">
        <v>873</v>
      </c>
    </row>
    <row r="13" spans="1:1" ht="15.75" x14ac:dyDescent="0.25">
      <c r="A13" s="2" t="s">
        <v>874</v>
      </c>
    </row>
    <row r="14" spans="1:1" ht="15.75" x14ac:dyDescent="0.25">
      <c r="A14" s="2" t="s">
        <v>875</v>
      </c>
    </row>
    <row r="15" spans="1:1" ht="15.75" x14ac:dyDescent="0.25">
      <c r="A15" s="2" t="s">
        <v>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9D8E-D4BB-4F68-97BE-B6CF8B361B61}">
  <dimension ref="A1:A19"/>
  <sheetViews>
    <sheetView workbookViewId="0">
      <selection activeCell="A9" sqref="A9"/>
    </sheetView>
  </sheetViews>
  <sheetFormatPr defaultRowHeight="15" x14ac:dyDescent="0.25"/>
  <cols>
    <col min="1" max="1" width="101.140625" bestFit="1" customWidth="1"/>
  </cols>
  <sheetData>
    <row r="1" spans="1:1" ht="15.75" x14ac:dyDescent="0.25">
      <c r="A1" s="2" t="s">
        <v>884</v>
      </c>
    </row>
    <row r="2" spans="1:1" ht="15.75" x14ac:dyDescent="0.25">
      <c r="A2" s="2" t="s">
        <v>877</v>
      </c>
    </row>
    <row r="3" spans="1:1" ht="15.75" x14ac:dyDescent="0.25">
      <c r="A3" s="2" t="s">
        <v>878</v>
      </c>
    </row>
    <row r="4" spans="1:1" ht="15.75" x14ac:dyDescent="0.25">
      <c r="A4" s="2" t="s">
        <v>879</v>
      </c>
    </row>
    <row r="5" spans="1:1" ht="15.75" x14ac:dyDescent="0.25">
      <c r="A5" s="2" t="s">
        <v>880</v>
      </c>
    </row>
    <row r="6" spans="1:1" ht="15.75" x14ac:dyDescent="0.25">
      <c r="A6" s="2" t="s">
        <v>881</v>
      </c>
    </row>
    <row r="7" spans="1:1" ht="15.75" x14ac:dyDescent="0.25">
      <c r="A7" s="2" t="s">
        <v>894</v>
      </c>
    </row>
    <row r="9" spans="1:1" ht="15.75" x14ac:dyDescent="0.25">
      <c r="A9" s="2" t="s">
        <v>918</v>
      </c>
    </row>
    <row r="10" spans="1:1" ht="15.75" x14ac:dyDescent="0.25">
      <c r="A10" s="2" t="s">
        <v>912</v>
      </c>
    </row>
    <row r="11" spans="1:1" ht="15.75" x14ac:dyDescent="0.25">
      <c r="A11" s="2" t="s">
        <v>913</v>
      </c>
    </row>
    <row r="12" spans="1:1" ht="15.75" x14ac:dyDescent="0.25">
      <c r="A12" s="2" t="s">
        <v>914</v>
      </c>
    </row>
    <row r="13" spans="1:1" ht="15.75" x14ac:dyDescent="0.25">
      <c r="A13" s="2" t="s">
        <v>903</v>
      </c>
    </row>
    <row r="14" spans="1:1" ht="15.75" x14ac:dyDescent="0.25">
      <c r="A14" s="2" t="s">
        <v>904</v>
      </c>
    </row>
    <row r="15" spans="1:1" ht="15.75" x14ac:dyDescent="0.25">
      <c r="A15" s="2" t="s">
        <v>915</v>
      </c>
    </row>
    <row r="16" spans="1:1" ht="15.75" x14ac:dyDescent="0.25">
      <c r="A16" s="2" t="s">
        <v>916</v>
      </c>
    </row>
    <row r="17" spans="1:1" ht="15.75" x14ac:dyDescent="0.25">
      <c r="A17" s="2" t="s">
        <v>917</v>
      </c>
    </row>
    <row r="18" spans="1:1" ht="15.75" x14ac:dyDescent="0.25">
      <c r="A18" s="2"/>
    </row>
    <row r="19" spans="1:1" ht="15.75" x14ac:dyDescent="0.25">
      <c r="A1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E7FD-3267-48E2-A92A-386738E7D277}">
  <dimension ref="A2:K34"/>
  <sheetViews>
    <sheetView zoomScale="70" zoomScaleNormal="70" workbookViewId="0">
      <selection activeCell="C6" sqref="C6"/>
    </sheetView>
  </sheetViews>
  <sheetFormatPr defaultRowHeight="15" x14ac:dyDescent="0.25"/>
  <cols>
    <col min="1" max="1" width="28.28515625" bestFit="1" customWidth="1"/>
    <col min="2" max="2" width="18.140625" bestFit="1" customWidth="1"/>
    <col min="3" max="3" width="13.140625" bestFit="1" customWidth="1"/>
    <col min="4" max="4" width="21.7109375" bestFit="1" customWidth="1"/>
    <col min="7" max="7" width="17.85546875" bestFit="1" customWidth="1"/>
    <col min="8" max="8" width="37.85546875" bestFit="1" customWidth="1"/>
    <col min="9" max="9" width="22.85546875" bestFit="1" customWidth="1"/>
    <col min="10" max="10" width="31.140625" bestFit="1" customWidth="1"/>
    <col min="11" max="11" width="16.7109375" bestFit="1" customWidth="1"/>
  </cols>
  <sheetData>
    <row r="2" spans="1:11" x14ac:dyDescent="0.25">
      <c r="C2" t="s">
        <v>900</v>
      </c>
      <c r="G2" t="s">
        <v>904</v>
      </c>
    </row>
    <row r="3" spans="1:11" x14ac:dyDescent="0.25">
      <c r="A3" t="s">
        <v>895</v>
      </c>
      <c r="C3" s="7" t="s">
        <v>885</v>
      </c>
      <c r="D3" t="s">
        <v>895</v>
      </c>
      <c r="G3" s="7" t="s">
        <v>885</v>
      </c>
      <c r="H3" t="s">
        <v>898</v>
      </c>
    </row>
    <row r="4" spans="1:11" x14ac:dyDescent="0.25">
      <c r="A4" s="12">
        <v>1200</v>
      </c>
      <c r="C4" s="8" t="s">
        <v>887</v>
      </c>
      <c r="D4" s="12">
        <v>220</v>
      </c>
      <c r="G4" s="8" t="s">
        <v>3</v>
      </c>
      <c r="H4" s="12">
        <v>187.75039473684194</v>
      </c>
    </row>
    <row r="5" spans="1:11" x14ac:dyDescent="0.25">
      <c r="A5" s="14">
        <f>GETPIVOTDATA("Age",$A$3)</f>
        <v>1200</v>
      </c>
      <c r="C5" s="8" t="s">
        <v>888</v>
      </c>
      <c r="D5" s="12">
        <v>364</v>
      </c>
      <c r="G5" s="8" t="s">
        <v>4</v>
      </c>
      <c r="H5" s="12">
        <v>182.37966216216205</v>
      </c>
    </row>
    <row r="6" spans="1:11" x14ac:dyDescent="0.25">
      <c r="C6" s="8" t="s">
        <v>889</v>
      </c>
      <c r="D6" s="12">
        <v>103</v>
      </c>
      <c r="G6" s="8" t="s">
        <v>886</v>
      </c>
      <c r="H6" s="12">
        <v>185.10083333333313</v>
      </c>
    </row>
    <row r="7" spans="1:11" x14ac:dyDescent="0.25">
      <c r="A7" t="s">
        <v>896</v>
      </c>
      <c r="C7" s="8" t="s">
        <v>890</v>
      </c>
      <c r="D7" s="12">
        <v>513</v>
      </c>
    </row>
    <row r="8" spans="1:11" x14ac:dyDescent="0.25">
      <c r="A8" s="1">
        <v>28.858183333333358</v>
      </c>
      <c r="C8" s="8" t="s">
        <v>886</v>
      </c>
      <c r="D8" s="12">
        <v>1200</v>
      </c>
    </row>
    <row r="9" spans="1:11" x14ac:dyDescent="0.25">
      <c r="A9" s="1">
        <f>GETPIVOTDATA("BMI",$A$7)</f>
        <v>28.858183333333358</v>
      </c>
      <c r="G9" t="s">
        <v>905</v>
      </c>
    </row>
    <row r="10" spans="1:11" x14ac:dyDescent="0.25">
      <c r="A10" t="s">
        <v>897</v>
      </c>
      <c r="C10" s="8" t="s">
        <v>901</v>
      </c>
      <c r="G10" s="7" t="s">
        <v>885</v>
      </c>
      <c r="H10" s="11" t="s">
        <v>897</v>
      </c>
      <c r="J10" t="s">
        <v>905</v>
      </c>
    </row>
    <row r="11" spans="1:11" x14ac:dyDescent="0.25">
      <c r="A11" s="1">
        <v>6.9959249999999962</v>
      </c>
      <c r="C11" s="13" t="s">
        <v>885</v>
      </c>
      <c r="D11" s="1" t="s">
        <v>897</v>
      </c>
      <c r="G11" s="8">
        <v>0</v>
      </c>
      <c r="H11" s="11">
        <v>7.0964285714285742</v>
      </c>
      <c r="J11" s="7" t="s">
        <v>885</v>
      </c>
      <c r="K11" s="11" t="s">
        <v>897</v>
      </c>
    </row>
    <row r="12" spans="1:11" x14ac:dyDescent="0.25">
      <c r="A12" s="1">
        <f>GETPIVOTDATA("HbA1c",$A$10)</f>
        <v>6.9959249999999962</v>
      </c>
      <c r="C12" s="8" t="s">
        <v>17</v>
      </c>
      <c r="D12" s="11">
        <v>6.9576923076923087</v>
      </c>
      <c r="G12" s="8">
        <v>1</v>
      </c>
      <c r="H12" s="11">
        <v>6.8903007518796962</v>
      </c>
      <c r="J12" s="8">
        <v>0</v>
      </c>
      <c r="K12" s="11">
        <v>7.0964285714285742</v>
      </c>
    </row>
    <row r="13" spans="1:11" x14ac:dyDescent="0.25">
      <c r="C13" s="8" t="s">
        <v>12</v>
      </c>
      <c r="D13" s="11">
        <v>6.822432432432433</v>
      </c>
      <c r="G13" s="8">
        <v>2</v>
      </c>
      <c r="H13" s="11">
        <v>6.9016546762589934</v>
      </c>
      <c r="J13" s="8">
        <v>1</v>
      </c>
      <c r="K13" s="11">
        <v>6.8903007518796962</v>
      </c>
    </row>
    <row r="14" spans="1:11" x14ac:dyDescent="0.25">
      <c r="A14" t="s">
        <v>898</v>
      </c>
      <c r="C14" s="8" t="s">
        <v>23</v>
      </c>
      <c r="D14" s="11">
        <v>7.2563999999999957</v>
      </c>
      <c r="G14" s="8">
        <v>3</v>
      </c>
      <c r="H14" s="11">
        <v>6.9698639455782336</v>
      </c>
      <c r="J14" s="8">
        <v>2</v>
      </c>
      <c r="K14" s="11">
        <v>6.9016546762589934</v>
      </c>
    </row>
    <row r="15" spans="1:11" x14ac:dyDescent="0.25">
      <c r="A15" s="1">
        <v>185.10083333333324</v>
      </c>
      <c r="C15" s="8" t="s">
        <v>8</v>
      </c>
      <c r="D15" s="11">
        <v>6.9824186046511612</v>
      </c>
      <c r="G15" s="8">
        <v>4</v>
      </c>
      <c r="H15" s="11">
        <v>7.0685000000000029</v>
      </c>
      <c r="J15" s="8">
        <v>3</v>
      </c>
      <c r="K15" s="11">
        <v>6.9698639455782336</v>
      </c>
    </row>
    <row r="16" spans="1:11" x14ac:dyDescent="0.25">
      <c r="C16" s="8" t="s">
        <v>21</v>
      </c>
      <c r="D16" s="11">
        <v>7.0500537634408591</v>
      </c>
      <c r="G16" s="8">
        <v>5</v>
      </c>
      <c r="H16" s="11">
        <v>7.0821192052980155</v>
      </c>
      <c r="J16" s="8">
        <v>4</v>
      </c>
      <c r="K16" s="11">
        <v>7.0685000000000029</v>
      </c>
    </row>
    <row r="17" spans="1:11" x14ac:dyDescent="0.25">
      <c r="C17" s="8" t="s">
        <v>5</v>
      </c>
      <c r="D17" s="11">
        <v>6.8898203592814422</v>
      </c>
      <c r="G17" s="8">
        <v>6</v>
      </c>
      <c r="H17" s="11">
        <v>6.9233544303797476</v>
      </c>
      <c r="J17" s="8">
        <v>5</v>
      </c>
      <c r="K17" s="11">
        <v>7.0821192052980155</v>
      </c>
    </row>
    <row r="18" spans="1:11" x14ac:dyDescent="0.25">
      <c r="A18" t="s">
        <v>899</v>
      </c>
      <c r="C18" s="8" t="s">
        <v>886</v>
      </c>
      <c r="D18" s="11">
        <v>6.9959249999999988</v>
      </c>
      <c r="G18" s="8">
        <v>7</v>
      </c>
      <c r="H18" s="11">
        <v>7.0107594936708866</v>
      </c>
      <c r="J18" s="8">
        <v>6</v>
      </c>
      <c r="K18" s="11">
        <v>6.9233544303797476</v>
      </c>
    </row>
    <row r="19" spans="1:11" x14ac:dyDescent="0.25">
      <c r="A19" s="1">
        <v>201.57166666666666</v>
      </c>
      <c r="G19" s="8" t="s">
        <v>886</v>
      </c>
      <c r="H19" s="11">
        <v>6.9959250000000006</v>
      </c>
      <c r="J19" s="8">
        <v>7</v>
      </c>
      <c r="K19" s="11">
        <v>7.0107594936708866</v>
      </c>
    </row>
    <row r="20" spans="1:11" x14ac:dyDescent="0.25">
      <c r="A20" s="1">
        <f>GETPIVOTDATA("Cholesterol",$A$18)</f>
        <v>201.57166666666666</v>
      </c>
      <c r="C20" s="8" t="s">
        <v>902</v>
      </c>
      <c r="J20" s="8" t="s">
        <v>886</v>
      </c>
      <c r="K20" s="11">
        <v>6.9959250000000006</v>
      </c>
    </row>
    <row r="21" spans="1:11" x14ac:dyDescent="0.25">
      <c r="A21" s="15"/>
      <c r="C21" s="7" t="s">
        <v>885</v>
      </c>
      <c r="D21" s="11" t="s">
        <v>897</v>
      </c>
    </row>
    <row r="22" spans="1:11" x14ac:dyDescent="0.25">
      <c r="C22" s="8" t="s">
        <v>14</v>
      </c>
      <c r="D22" s="11">
        <v>7.0325081433224712</v>
      </c>
      <c r="G22" t="s">
        <v>906</v>
      </c>
    </row>
    <row r="23" spans="1:11" x14ac:dyDescent="0.25">
      <c r="C23" s="8" t="s">
        <v>10</v>
      </c>
      <c r="D23" s="11">
        <v>6.9324918032786895</v>
      </c>
      <c r="G23" s="7" t="s">
        <v>885</v>
      </c>
      <c r="H23" t="s">
        <v>908</v>
      </c>
      <c r="I23" t="s">
        <v>911</v>
      </c>
    </row>
    <row r="24" spans="1:11" x14ac:dyDescent="0.25">
      <c r="C24" s="8" t="s">
        <v>6</v>
      </c>
      <c r="D24" s="11">
        <v>7.0256551724137921</v>
      </c>
      <c r="G24" s="8" t="s">
        <v>3</v>
      </c>
      <c r="H24" s="11">
        <v>203.09816971713809</v>
      </c>
      <c r="I24" s="11">
        <v>113.79866888519135</v>
      </c>
    </row>
    <row r="25" spans="1:11" x14ac:dyDescent="0.25">
      <c r="C25" s="8" t="s">
        <v>1</v>
      </c>
      <c r="D25" s="11">
        <v>6.9942281879194637</v>
      </c>
      <c r="G25" s="8" t="s">
        <v>4</v>
      </c>
      <c r="H25" s="11">
        <v>200.04006677796326</v>
      </c>
      <c r="I25" s="11">
        <v>115.35893155258765</v>
      </c>
    </row>
    <row r="26" spans="1:11" x14ac:dyDescent="0.25">
      <c r="C26" s="8" t="s">
        <v>886</v>
      </c>
      <c r="D26" s="11">
        <v>6.9959249999999944</v>
      </c>
      <c r="G26" s="8" t="s">
        <v>886</v>
      </c>
      <c r="H26" s="11">
        <v>201.57166666666666</v>
      </c>
      <c r="I26" s="11">
        <v>114.5775</v>
      </c>
    </row>
    <row r="28" spans="1:11" x14ac:dyDescent="0.25">
      <c r="C28" s="8" t="s">
        <v>903</v>
      </c>
    </row>
    <row r="29" spans="1:11" x14ac:dyDescent="0.25">
      <c r="C29" s="7" t="s">
        <v>885</v>
      </c>
      <c r="D29" s="1" t="s">
        <v>899</v>
      </c>
      <c r="G29" t="s">
        <v>907</v>
      </c>
    </row>
    <row r="30" spans="1:11" x14ac:dyDescent="0.25">
      <c r="C30" s="8" t="s">
        <v>891</v>
      </c>
      <c r="D30" s="1">
        <v>204.31851851851852</v>
      </c>
      <c r="G30" s="7" t="s">
        <v>885</v>
      </c>
      <c r="H30" t="s">
        <v>909</v>
      </c>
      <c r="I30" t="s">
        <v>910</v>
      </c>
    </row>
    <row r="31" spans="1:11" x14ac:dyDescent="0.25">
      <c r="C31" s="8" t="s">
        <v>892</v>
      </c>
      <c r="D31" s="1">
        <v>201.82758620689654</v>
      </c>
      <c r="G31" s="8" t="s">
        <v>9</v>
      </c>
      <c r="H31" s="11">
        <v>28.926050847457645</v>
      </c>
      <c r="I31" s="1">
        <v>184.47242372881337</v>
      </c>
    </row>
    <row r="32" spans="1:11" x14ac:dyDescent="0.25">
      <c r="C32" s="8" t="s">
        <v>888</v>
      </c>
      <c r="D32" s="1">
        <v>199.89664804469274</v>
      </c>
      <c r="G32" s="8" t="s">
        <v>0</v>
      </c>
      <c r="H32" s="11">
        <v>28.792540983606546</v>
      </c>
      <c r="I32" s="1">
        <v>185.7086393442622</v>
      </c>
    </row>
    <row r="33" spans="3:9" x14ac:dyDescent="0.25">
      <c r="C33" s="8" t="s">
        <v>893</v>
      </c>
      <c r="D33" s="1">
        <v>201.2965009208103</v>
      </c>
      <c r="G33" s="8" t="s">
        <v>886</v>
      </c>
      <c r="H33" s="11">
        <v>28.858183333333351</v>
      </c>
      <c r="I33" s="11">
        <v>185.1008333333333</v>
      </c>
    </row>
    <row r="34" spans="3:9" x14ac:dyDescent="0.25">
      <c r="C34" s="8" t="s">
        <v>886</v>
      </c>
      <c r="D34" s="1">
        <v>201.57166666666666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CBA8-C009-4C3C-AD27-176AF4CF5B2F}">
  <dimension ref="W23"/>
  <sheetViews>
    <sheetView showGridLines="0" zoomScale="55" zoomScaleNormal="55" workbookViewId="0">
      <selection activeCell="S33" sqref="C1:S33"/>
    </sheetView>
  </sheetViews>
  <sheetFormatPr defaultRowHeight="15" x14ac:dyDescent="0.25"/>
  <sheetData>
    <row r="23" spans="23:23" x14ac:dyDescent="0.25">
      <c r="W2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D113-C85C-4C48-B31A-DBDEFFDAFC2D}">
  <dimension ref="A1:A36"/>
  <sheetViews>
    <sheetView tabSelected="1" zoomScaleNormal="100" workbookViewId="0">
      <selection activeCell="A41" sqref="A41"/>
    </sheetView>
  </sheetViews>
  <sheetFormatPr defaultRowHeight="15" x14ac:dyDescent="0.25"/>
  <cols>
    <col min="1" max="1" width="255.7109375" bestFit="1" customWidth="1"/>
  </cols>
  <sheetData>
    <row r="1" spans="1:1" x14ac:dyDescent="0.25">
      <c r="A1" s="17" t="s">
        <v>919</v>
      </c>
    </row>
    <row r="3" spans="1:1" x14ac:dyDescent="0.25">
      <c r="A3" s="17" t="s">
        <v>920</v>
      </c>
    </row>
    <row r="5" spans="1:1" x14ac:dyDescent="0.25">
      <c r="A5" s="18" t="s">
        <v>932</v>
      </c>
    </row>
    <row r="6" spans="1:1" x14ac:dyDescent="0.25">
      <c r="A6" s="17" t="s">
        <v>921</v>
      </c>
    </row>
    <row r="8" spans="1:1" x14ac:dyDescent="0.25">
      <c r="A8" s="18" t="s">
        <v>933</v>
      </c>
    </row>
    <row r="9" spans="1:1" x14ac:dyDescent="0.25">
      <c r="A9" s="17" t="s">
        <v>922</v>
      </c>
    </row>
    <row r="11" spans="1:1" x14ac:dyDescent="0.25">
      <c r="A11" s="18" t="s">
        <v>934</v>
      </c>
    </row>
    <row r="12" spans="1:1" x14ac:dyDescent="0.25">
      <c r="A12" s="17" t="s">
        <v>923</v>
      </c>
    </row>
    <row r="13" spans="1:1" x14ac:dyDescent="0.25">
      <c r="A13" s="17" t="s">
        <v>924</v>
      </c>
    </row>
    <row r="14" spans="1:1" x14ac:dyDescent="0.25">
      <c r="A14" s="17" t="s">
        <v>925</v>
      </c>
    </row>
    <row r="16" spans="1:1" x14ac:dyDescent="0.25">
      <c r="A16" s="18" t="s">
        <v>935</v>
      </c>
    </row>
    <row r="17" spans="1:1" x14ac:dyDescent="0.25">
      <c r="A17" s="17" t="s">
        <v>926</v>
      </c>
    </row>
    <row r="19" spans="1:1" x14ac:dyDescent="0.25">
      <c r="A19" s="18" t="s">
        <v>936</v>
      </c>
    </row>
    <row r="20" spans="1:1" x14ac:dyDescent="0.25">
      <c r="A20" s="17" t="s">
        <v>927</v>
      </c>
    </row>
    <row r="22" spans="1:1" x14ac:dyDescent="0.25">
      <c r="A22" s="18" t="s">
        <v>937</v>
      </c>
    </row>
    <row r="23" spans="1:1" x14ac:dyDescent="0.25">
      <c r="A23" s="17" t="s">
        <v>928</v>
      </c>
    </row>
    <row r="25" spans="1:1" x14ac:dyDescent="0.25">
      <c r="A25" s="18" t="s">
        <v>938</v>
      </c>
    </row>
    <row r="26" spans="1:1" x14ac:dyDescent="0.25">
      <c r="A26" s="17" t="s">
        <v>929</v>
      </c>
    </row>
    <row r="28" spans="1:1" x14ac:dyDescent="0.25">
      <c r="A28" s="18" t="s">
        <v>939</v>
      </c>
    </row>
    <row r="29" spans="1:1" x14ac:dyDescent="0.25">
      <c r="A29" s="17" t="s">
        <v>930</v>
      </c>
    </row>
    <row r="31" spans="1:1" x14ac:dyDescent="0.25">
      <c r="A31" s="18" t="s">
        <v>940</v>
      </c>
    </row>
    <row r="32" spans="1:1" x14ac:dyDescent="0.25">
      <c r="A32" s="17" t="s">
        <v>941</v>
      </c>
    </row>
    <row r="33" spans="1:1" x14ac:dyDescent="0.25">
      <c r="A33" s="17" t="s">
        <v>942</v>
      </c>
    </row>
    <row r="34" spans="1:1" x14ac:dyDescent="0.25">
      <c r="A34" s="17" t="s">
        <v>943</v>
      </c>
    </row>
    <row r="35" spans="1:1" x14ac:dyDescent="0.25">
      <c r="A35" s="17"/>
    </row>
    <row r="36" spans="1:1" x14ac:dyDescent="0.25">
      <c r="A36" s="17" t="s">
        <v>931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CE6CC4-A966-4252-A8F1-051AEEB2A9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set</vt:lpstr>
      <vt:lpstr>Brief</vt:lpstr>
      <vt:lpstr>Report</vt:lpstr>
      <vt:lpstr>PT</vt:lpstr>
      <vt:lpstr>Dashboard</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ARONNE</dc:creator>
  <cp:lastModifiedBy>bature aaron</cp:lastModifiedBy>
  <dcterms:created xsi:type="dcterms:W3CDTF">2026-09-21T14:13:36Z</dcterms:created>
  <dcterms:modified xsi:type="dcterms:W3CDTF">2026-10-10T13:56:57Z</dcterms:modified>
</cp:coreProperties>
</file>